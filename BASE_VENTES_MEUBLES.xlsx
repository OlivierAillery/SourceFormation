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illery-my.sharepoint.com/personal/olivier_aillery_com/Documents/Sources_POWER-BI/SOURCES PERSO/"/>
    </mc:Choice>
  </mc:AlternateContent>
  <xr:revisionPtr revIDLastSave="0" documentId="8_{4F765E70-5A1C-4E02-A584-65530ED5CF79}" xr6:coauthVersionLast="47" xr6:coauthVersionMax="47" xr10:uidLastSave="{00000000-0000-0000-0000-000000000000}"/>
  <bookViews>
    <workbookView xWindow="-120" yWindow="-120" windowWidth="29040" windowHeight="15720" xr2:uid="{76B77FDC-6CAF-4BEE-B117-107369881534}"/>
  </bookViews>
  <sheets>
    <sheet name="INFOS" sheetId="8" r:id="rId1"/>
    <sheet name="FacturesCALC" sheetId="1" state="hidden" r:id="rId2"/>
    <sheet name="DetFactures" sheetId="2" r:id="rId3"/>
    <sheet name="Clients" sheetId="3" r:id="rId4"/>
    <sheet name="Articles" sheetId="25" r:id="rId5"/>
    <sheet name="FacturesCALC (2)" sheetId="86" state="hidden" r:id="rId6"/>
    <sheet name="FacturesCALC (4)" sheetId="85" state="hidden" r:id="rId7"/>
    <sheet name="Factures" sheetId="84" r:id="rId8"/>
  </sheets>
  <definedNames>
    <definedName name="_xlnm._FilterDatabase" localSheetId="4" hidden="1">Articles!$A$1:$L$570</definedName>
    <definedName name="_xlnm._FilterDatabase" localSheetId="3" hidden="1">Clients!$A$1:$K$2500</definedName>
    <definedName name="_xlnm._FilterDatabase" localSheetId="2" hidden="1">DetFactures!$A$1:$E$2091</definedName>
    <definedName name="_xlnm._FilterDatabase" localSheetId="7" hidden="1">Factures!$A$1:$N$239</definedName>
    <definedName name="_xlnm._FilterDatabase" localSheetId="1" hidden="1">FacturesCALC!$A$1:$R$239</definedName>
    <definedName name="_xlnm._FilterDatabase" localSheetId="5" hidden="1">'FacturesCALC (2)'!$A$1:$R$239</definedName>
    <definedName name="_xlnm._FilterDatabase" localSheetId="6" hidden="1">'FacturesCALC (4)'!$A$1:$R$239</definedName>
    <definedName name="DateDeb">INFOS!$A$4</definedName>
    <definedName name="DateFin">INFOS!$C$4</definedName>
    <definedName name="zonerech" localSheetId="7">Factures!#REF!</definedName>
    <definedName name="zonerech" localSheetId="5">'FacturesCALC (2)'!#REF!</definedName>
    <definedName name="zonerech" localSheetId="6">'FacturesCALC (4)'!#REF!</definedName>
    <definedName name="zonerech">FacturesCALC!#REF!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39" i="86" l="1"/>
  <c r="Q239" i="86" s="1"/>
  <c r="F239" i="86"/>
  <c r="O238" i="86"/>
  <c r="Q238" i="86" s="1"/>
  <c r="F238" i="86"/>
  <c r="O237" i="86"/>
  <c r="Q237" i="86" s="1"/>
  <c r="F237" i="86"/>
  <c r="O236" i="86"/>
  <c r="Q236" i="86" s="1"/>
  <c r="F236" i="86"/>
  <c r="O235" i="86"/>
  <c r="Q235" i="86" s="1"/>
  <c r="F235" i="86"/>
  <c r="P234" i="86"/>
  <c r="R234" i="86" s="1"/>
  <c r="O234" i="86"/>
  <c r="Q234" i="86" s="1"/>
  <c r="F234" i="86"/>
  <c r="O233" i="86"/>
  <c r="P233" i="86" s="1"/>
  <c r="R233" i="86" s="1"/>
  <c r="F233" i="86"/>
  <c r="O232" i="86"/>
  <c r="Q232" i="86" s="1"/>
  <c r="F232" i="86"/>
  <c r="P232" i="86" s="1"/>
  <c r="R232" i="86" s="1"/>
  <c r="O231" i="86"/>
  <c r="Q231" i="86" s="1"/>
  <c r="F231" i="86"/>
  <c r="P231" i="86" s="1"/>
  <c r="R231" i="86" s="1"/>
  <c r="O230" i="86"/>
  <c r="Q230" i="86" s="1"/>
  <c r="F230" i="86"/>
  <c r="P230" i="86" s="1"/>
  <c r="R230" i="86" s="1"/>
  <c r="O229" i="86"/>
  <c r="Q229" i="86" s="1"/>
  <c r="F229" i="86"/>
  <c r="P229" i="86" s="1"/>
  <c r="R229" i="86" s="1"/>
  <c r="Q228" i="86"/>
  <c r="O228" i="86"/>
  <c r="F228" i="86"/>
  <c r="P228" i="86" s="1"/>
  <c r="R228" i="86" s="1"/>
  <c r="Q227" i="86"/>
  <c r="O227" i="86"/>
  <c r="F227" i="86"/>
  <c r="P227" i="86" s="1"/>
  <c r="R227" i="86" s="1"/>
  <c r="O226" i="86"/>
  <c r="Q226" i="86" s="1"/>
  <c r="F226" i="86"/>
  <c r="P226" i="86" s="1"/>
  <c r="R226" i="86" s="1"/>
  <c r="R225" i="86"/>
  <c r="Q225" i="86"/>
  <c r="P225" i="86"/>
  <c r="O225" i="86"/>
  <c r="F225" i="86"/>
  <c r="R224" i="86"/>
  <c r="P224" i="86"/>
  <c r="O224" i="86"/>
  <c r="Q224" i="86" s="1"/>
  <c r="F224" i="86"/>
  <c r="O223" i="86"/>
  <c r="Q223" i="86" s="1"/>
  <c r="F223" i="86"/>
  <c r="P223" i="86" s="1"/>
  <c r="R223" i="86" s="1"/>
  <c r="Q222" i="86"/>
  <c r="P222" i="86"/>
  <c r="R222" i="86" s="1"/>
  <c r="O222" i="86"/>
  <c r="F222" i="86"/>
  <c r="Q221" i="86"/>
  <c r="O221" i="86"/>
  <c r="F221" i="86"/>
  <c r="P221" i="86" s="1"/>
  <c r="R221" i="86" s="1"/>
  <c r="Q220" i="86"/>
  <c r="O220" i="86"/>
  <c r="F220" i="86"/>
  <c r="P220" i="86" s="1"/>
  <c r="R220" i="86" s="1"/>
  <c r="P219" i="86"/>
  <c r="R219" i="86" s="1"/>
  <c r="O219" i="86"/>
  <c r="Q219" i="86" s="1"/>
  <c r="F219" i="86"/>
  <c r="P218" i="86"/>
  <c r="R218" i="86" s="1"/>
  <c r="O218" i="86"/>
  <c r="Q218" i="86" s="1"/>
  <c r="F218" i="86"/>
  <c r="P217" i="86"/>
  <c r="R217" i="86" s="1"/>
  <c r="O217" i="86"/>
  <c r="Q217" i="86" s="1"/>
  <c r="F217" i="86"/>
  <c r="O216" i="86"/>
  <c r="Q216" i="86" s="1"/>
  <c r="F216" i="86"/>
  <c r="P216" i="86" s="1"/>
  <c r="R216" i="86" s="1"/>
  <c r="O215" i="86"/>
  <c r="Q215" i="86" s="1"/>
  <c r="F215" i="86"/>
  <c r="P215" i="86" s="1"/>
  <c r="R215" i="86" s="1"/>
  <c r="O214" i="86"/>
  <c r="Q214" i="86" s="1"/>
  <c r="F214" i="86"/>
  <c r="P214" i="86" s="1"/>
  <c r="R214" i="86" s="1"/>
  <c r="O213" i="86"/>
  <c r="Q213" i="86" s="1"/>
  <c r="F213" i="86"/>
  <c r="P213" i="86" s="1"/>
  <c r="R213" i="86" s="1"/>
  <c r="Q212" i="86"/>
  <c r="O212" i="86"/>
  <c r="F212" i="86"/>
  <c r="P212" i="86" s="1"/>
  <c r="R212" i="86" s="1"/>
  <c r="Q211" i="86"/>
  <c r="O211" i="86"/>
  <c r="F211" i="86"/>
  <c r="P211" i="86" s="1"/>
  <c r="R211" i="86" s="1"/>
  <c r="O210" i="86"/>
  <c r="Q210" i="86" s="1"/>
  <c r="F210" i="86"/>
  <c r="P210" i="86" s="1"/>
  <c r="R210" i="86" s="1"/>
  <c r="R209" i="86"/>
  <c r="Q209" i="86"/>
  <c r="P209" i="86"/>
  <c r="O209" i="86"/>
  <c r="F209" i="86"/>
  <c r="R208" i="86"/>
  <c r="P208" i="86"/>
  <c r="O208" i="86"/>
  <c r="Q208" i="86" s="1"/>
  <c r="F208" i="86"/>
  <c r="O207" i="86"/>
  <c r="Q207" i="86" s="1"/>
  <c r="F207" i="86"/>
  <c r="P207" i="86" s="1"/>
  <c r="R207" i="86" s="1"/>
  <c r="Q206" i="86"/>
  <c r="P206" i="86"/>
  <c r="R206" i="86" s="1"/>
  <c r="O206" i="86"/>
  <c r="F206" i="86"/>
  <c r="Q205" i="86"/>
  <c r="O205" i="86"/>
  <c r="F205" i="86"/>
  <c r="P205" i="86" s="1"/>
  <c r="R205" i="86" s="1"/>
  <c r="Q204" i="86"/>
  <c r="O204" i="86"/>
  <c r="F204" i="86"/>
  <c r="P204" i="86" s="1"/>
  <c r="R204" i="86" s="1"/>
  <c r="P203" i="86"/>
  <c r="R203" i="86" s="1"/>
  <c r="O203" i="86"/>
  <c r="Q203" i="86" s="1"/>
  <c r="F203" i="86"/>
  <c r="P202" i="86"/>
  <c r="R202" i="86" s="1"/>
  <c r="O202" i="86"/>
  <c r="Q202" i="86" s="1"/>
  <c r="F202" i="86"/>
  <c r="P201" i="86"/>
  <c r="R201" i="86" s="1"/>
  <c r="O201" i="86"/>
  <c r="Q201" i="86" s="1"/>
  <c r="F201" i="86"/>
  <c r="O200" i="86"/>
  <c r="Q200" i="86" s="1"/>
  <c r="F200" i="86"/>
  <c r="P200" i="86" s="1"/>
  <c r="R200" i="86" s="1"/>
  <c r="O199" i="86"/>
  <c r="Q199" i="86" s="1"/>
  <c r="F199" i="86"/>
  <c r="P199" i="86" s="1"/>
  <c r="R199" i="86" s="1"/>
  <c r="O198" i="86"/>
  <c r="Q198" i="86" s="1"/>
  <c r="F198" i="86"/>
  <c r="P198" i="86" s="1"/>
  <c r="R198" i="86" s="1"/>
  <c r="O197" i="86"/>
  <c r="Q197" i="86" s="1"/>
  <c r="F197" i="86"/>
  <c r="P197" i="86" s="1"/>
  <c r="R197" i="86" s="1"/>
  <c r="Q196" i="86"/>
  <c r="O196" i="86"/>
  <c r="F196" i="86"/>
  <c r="P196" i="86" s="1"/>
  <c r="R196" i="86" s="1"/>
  <c r="Q195" i="86"/>
  <c r="O195" i="86"/>
  <c r="F195" i="86"/>
  <c r="P195" i="86" s="1"/>
  <c r="R195" i="86" s="1"/>
  <c r="O194" i="86"/>
  <c r="Q194" i="86" s="1"/>
  <c r="F194" i="86"/>
  <c r="P194" i="86" s="1"/>
  <c r="R194" i="86" s="1"/>
  <c r="R193" i="86"/>
  <c r="Q193" i="86"/>
  <c r="P193" i="86"/>
  <c r="O193" i="86"/>
  <c r="F193" i="86"/>
  <c r="R192" i="86"/>
  <c r="P192" i="86"/>
  <c r="O192" i="86"/>
  <c r="Q192" i="86" s="1"/>
  <c r="F192" i="86"/>
  <c r="O191" i="86"/>
  <c r="Q191" i="86" s="1"/>
  <c r="F191" i="86"/>
  <c r="P191" i="86" s="1"/>
  <c r="R191" i="86" s="1"/>
  <c r="Q190" i="86"/>
  <c r="P190" i="86"/>
  <c r="R190" i="86" s="1"/>
  <c r="O190" i="86"/>
  <c r="F190" i="86"/>
  <c r="Q189" i="86"/>
  <c r="O189" i="86"/>
  <c r="F189" i="86"/>
  <c r="P189" i="86" s="1"/>
  <c r="R189" i="86" s="1"/>
  <c r="Q188" i="86"/>
  <c r="O188" i="86"/>
  <c r="F188" i="86"/>
  <c r="P188" i="86" s="1"/>
  <c r="R188" i="86" s="1"/>
  <c r="P187" i="86"/>
  <c r="R187" i="86" s="1"/>
  <c r="O187" i="86"/>
  <c r="Q187" i="86" s="1"/>
  <c r="F187" i="86"/>
  <c r="P186" i="86"/>
  <c r="R186" i="86" s="1"/>
  <c r="O186" i="86"/>
  <c r="Q186" i="86" s="1"/>
  <c r="F186" i="86"/>
  <c r="P185" i="86"/>
  <c r="R185" i="86" s="1"/>
  <c r="O185" i="86"/>
  <c r="Q185" i="86" s="1"/>
  <c r="F185" i="86"/>
  <c r="O184" i="86"/>
  <c r="Q184" i="86" s="1"/>
  <c r="F184" i="86"/>
  <c r="P184" i="86" s="1"/>
  <c r="R184" i="86" s="1"/>
  <c r="O183" i="86"/>
  <c r="Q183" i="86" s="1"/>
  <c r="F183" i="86"/>
  <c r="P183" i="86" s="1"/>
  <c r="R183" i="86" s="1"/>
  <c r="O182" i="86"/>
  <c r="Q182" i="86" s="1"/>
  <c r="F182" i="86"/>
  <c r="P182" i="86" s="1"/>
  <c r="R182" i="86" s="1"/>
  <c r="O181" i="86"/>
  <c r="Q181" i="86" s="1"/>
  <c r="F181" i="86"/>
  <c r="P181" i="86" s="1"/>
  <c r="R181" i="86" s="1"/>
  <c r="Q180" i="86"/>
  <c r="O180" i="86"/>
  <c r="F180" i="86"/>
  <c r="P180" i="86" s="1"/>
  <c r="R180" i="86" s="1"/>
  <c r="Q179" i="86"/>
  <c r="O179" i="86"/>
  <c r="F179" i="86"/>
  <c r="P179" i="86" s="1"/>
  <c r="R179" i="86" s="1"/>
  <c r="O178" i="86"/>
  <c r="Q178" i="86" s="1"/>
  <c r="F178" i="86"/>
  <c r="P178" i="86" s="1"/>
  <c r="R178" i="86" s="1"/>
  <c r="R177" i="86"/>
  <c r="Q177" i="86"/>
  <c r="P177" i="86"/>
  <c r="O177" i="86"/>
  <c r="F177" i="86"/>
  <c r="R176" i="86"/>
  <c r="P176" i="86"/>
  <c r="O176" i="86"/>
  <c r="Q176" i="86" s="1"/>
  <c r="F176" i="86"/>
  <c r="O175" i="86"/>
  <c r="Q175" i="86" s="1"/>
  <c r="F175" i="86"/>
  <c r="P175" i="86" s="1"/>
  <c r="R175" i="86" s="1"/>
  <c r="Q174" i="86"/>
  <c r="P174" i="86"/>
  <c r="R174" i="86" s="1"/>
  <c r="O174" i="86"/>
  <c r="F174" i="86"/>
  <c r="Q173" i="86"/>
  <c r="O173" i="86"/>
  <c r="F173" i="86"/>
  <c r="P173" i="86" s="1"/>
  <c r="R173" i="86" s="1"/>
  <c r="Q172" i="86"/>
  <c r="O172" i="86"/>
  <c r="F172" i="86"/>
  <c r="P172" i="86" s="1"/>
  <c r="R172" i="86" s="1"/>
  <c r="P171" i="86"/>
  <c r="R171" i="86" s="1"/>
  <c r="O171" i="86"/>
  <c r="Q171" i="86" s="1"/>
  <c r="F171" i="86"/>
  <c r="P170" i="86"/>
  <c r="R170" i="86" s="1"/>
  <c r="O170" i="86"/>
  <c r="Q170" i="86" s="1"/>
  <c r="F170" i="86"/>
  <c r="P169" i="86"/>
  <c r="R169" i="86" s="1"/>
  <c r="O169" i="86"/>
  <c r="Q169" i="86" s="1"/>
  <c r="F169" i="86"/>
  <c r="O168" i="86"/>
  <c r="Q168" i="86" s="1"/>
  <c r="F168" i="86"/>
  <c r="P168" i="86" s="1"/>
  <c r="R168" i="86" s="1"/>
  <c r="O167" i="86"/>
  <c r="Q167" i="86" s="1"/>
  <c r="F167" i="86"/>
  <c r="P167" i="86" s="1"/>
  <c r="R167" i="86" s="1"/>
  <c r="O166" i="86"/>
  <c r="Q166" i="86" s="1"/>
  <c r="F166" i="86"/>
  <c r="P166" i="86" s="1"/>
  <c r="R166" i="86" s="1"/>
  <c r="O165" i="86"/>
  <c r="Q165" i="86" s="1"/>
  <c r="F165" i="86"/>
  <c r="P165" i="86" s="1"/>
  <c r="R165" i="86" s="1"/>
  <c r="Q164" i="86"/>
  <c r="O164" i="86"/>
  <c r="F164" i="86"/>
  <c r="P164" i="86" s="1"/>
  <c r="R164" i="86" s="1"/>
  <c r="Q163" i="86"/>
  <c r="O163" i="86"/>
  <c r="F163" i="86"/>
  <c r="P163" i="86" s="1"/>
  <c r="R163" i="86" s="1"/>
  <c r="O162" i="86"/>
  <c r="Q162" i="86" s="1"/>
  <c r="F162" i="86"/>
  <c r="P162" i="86" s="1"/>
  <c r="R162" i="86" s="1"/>
  <c r="R161" i="86"/>
  <c r="Q161" i="86"/>
  <c r="P161" i="86"/>
  <c r="O161" i="86"/>
  <c r="F161" i="86"/>
  <c r="R160" i="86"/>
  <c r="P160" i="86"/>
  <c r="O160" i="86"/>
  <c r="Q160" i="86" s="1"/>
  <c r="F160" i="86"/>
  <c r="O159" i="86"/>
  <c r="Q159" i="86" s="1"/>
  <c r="F159" i="86"/>
  <c r="P159" i="86" s="1"/>
  <c r="R159" i="86" s="1"/>
  <c r="Q158" i="86"/>
  <c r="P158" i="86"/>
  <c r="R158" i="86" s="1"/>
  <c r="O158" i="86"/>
  <c r="F158" i="86"/>
  <c r="Q157" i="86"/>
  <c r="O157" i="86"/>
  <c r="F157" i="86"/>
  <c r="P157" i="86" s="1"/>
  <c r="R157" i="86" s="1"/>
  <c r="Q156" i="86"/>
  <c r="O156" i="86"/>
  <c r="F156" i="86"/>
  <c r="P156" i="86" s="1"/>
  <c r="R156" i="86" s="1"/>
  <c r="P155" i="86"/>
  <c r="R155" i="86" s="1"/>
  <c r="O155" i="86"/>
  <c r="Q155" i="86" s="1"/>
  <c r="F155" i="86"/>
  <c r="P154" i="86"/>
  <c r="R154" i="86" s="1"/>
  <c r="O154" i="86"/>
  <c r="Q154" i="86" s="1"/>
  <c r="F154" i="86"/>
  <c r="P153" i="86"/>
  <c r="R153" i="86" s="1"/>
  <c r="O153" i="86"/>
  <c r="Q153" i="86" s="1"/>
  <c r="F153" i="86"/>
  <c r="O152" i="86"/>
  <c r="Q152" i="86" s="1"/>
  <c r="F152" i="86"/>
  <c r="P152" i="86" s="1"/>
  <c r="R152" i="86" s="1"/>
  <c r="O151" i="86"/>
  <c r="Q151" i="86" s="1"/>
  <c r="F151" i="86"/>
  <c r="P151" i="86" s="1"/>
  <c r="R151" i="86" s="1"/>
  <c r="O150" i="86"/>
  <c r="Q150" i="86" s="1"/>
  <c r="F150" i="86"/>
  <c r="P150" i="86" s="1"/>
  <c r="R150" i="86" s="1"/>
  <c r="O149" i="86"/>
  <c r="Q149" i="86" s="1"/>
  <c r="F149" i="86"/>
  <c r="P149" i="86" s="1"/>
  <c r="R149" i="86" s="1"/>
  <c r="Q148" i="86"/>
  <c r="O148" i="86"/>
  <c r="F148" i="86"/>
  <c r="P148" i="86" s="1"/>
  <c r="R148" i="86" s="1"/>
  <c r="Q147" i="86"/>
  <c r="O147" i="86"/>
  <c r="F147" i="86"/>
  <c r="P147" i="86" s="1"/>
  <c r="R147" i="86" s="1"/>
  <c r="O146" i="86"/>
  <c r="Q146" i="86" s="1"/>
  <c r="F146" i="86"/>
  <c r="P146" i="86" s="1"/>
  <c r="R146" i="86" s="1"/>
  <c r="R145" i="86"/>
  <c r="Q145" i="86"/>
  <c r="P145" i="86"/>
  <c r="O145" i="86"/>
  <c r="F145" i="86"/>
  <c r="R144" i="86"/>
  <c r="P144" i="86"/>
  <c r="O144" i="86"/>
  <c r="Q144" i="86" s="1"/>
  <c r="F144" i="86"/>
  <c r="O143" i="86"/>
  <c r="Q143" i="86" s="1"/>
  <c r="F143" i="86"/>
  <c r="P143" i="86" s="1"/>
  <c r="R143" i="86" s="1"/>
  <c r="Q142" i="86"/>
  <c r="P142" i="86"/>
  <c r="R142" i="86" s="1"/>
  <c r="O142" i="86"/>
  <c r="F142" i="86"/>
  <c r="Q141" i="86"/>
  <c r="O141" i="86"/>
  <c r="F141" i="86"/>
  <c r="P141" i="86" s="1"/>
  <c r="R141" i="86" s="1"/>
  <c r="Q140" i="86"/>
  <c r="O140" i="86"/>
  <c r="F140" i="86"/>
  <c r="P140" i="86" s="1"/>
  <c r="R140" i="86" s="1"/>
  <c r="P139" i="86"/>
  <c r="R139" i="86" s="1"/>
  <c r="O139" i="86"/>
  <c r="Q139" i="86" s="1"/>
  <c r="F139" i="86"/>
  <c r="P138" i="86"/>
  <c r="R138" i="86" s="1"/>
  <c r="O138" i="86"/>
  <c r="Q138" i="86" s="1"/>
  <c r="F138" i="86"/>
  <c r="P137" i="86"/>
  <c r="R137" i="86" s="1"/>
  <c r="O137" i="86"/>
  <c r="Q137" i="86" s="1"/>
  <c r="F137" i="86"/>
  <c r="O136" i="86"/>
  <c r="Q136" i="86" s="1"/>
  <c r="F136" i="86"/>
  <c r="P136" i="86" s="1"/>
  <c r="R136" i="86" s="1"/>
  <c r="O135" i="86"/>
  <c r="Q135" i="86" s="1"/>
  <c r="F135" i="86"/>
  <c r="P135" i="86" s="1"/>
  <c r="R135" i="86" s="1"/>
  <c r="O134" i="86"/>
  <c r="Q134" i="86" s="1"/>
  <c r="F134" i="86"/>
  <c r="P134" i="86" s="1"/>
  <c r="R134" i="86" s="1"/>
  <c r="O133" i="86"/>
  <c r="Q133" i="86" s="1"/>
  <c r="F133" i="86"/>
  <c r="P133" i="86" s="1"/>
  <c r="R133" i="86" s="1"/>
  <c r="Q132" i="86"/>
  <c r="O132" i="86"/>
  <c r="F132" i="86"/>
  <c r="P132" i="86" s="1"/>
  <c r="R132" i="86" s="1"/>
  <c r="Q131" i="86"/>
  <c r="O131" i="86"/>
  <c r="F131" i="86"/>
  <c r="P131" i="86" s="1"/>
  <c r="R131" i="86" s="1"/>
  <c r="O130" i="86"/>
  <c r="Q130" i="86" s="1"/>
  <c r="F130" i="86"/>
  <c r="P130" i="86" s="1"/>
  <c r="R130" i="86" s="1"/>
  <c r="R129" i="86"/>
  <c r="Q129" i="86"/>
  <c r="P129" i="86"/>
  <c r="O129" i="86"/>
  <c r="F129" i="86"/>
  <c r="R128" i="86"/>
  <c r="P128" i="86"/>
  <c r="O128" i="86"/>
  <c r="Q128" i="86" s="1"/>
  <c r="F128" i="86"/>
  <c r="O127" i="86"/>
  <c r="Q127" i="86" s="1"/>
  <c r="F127" i="86"/>
  <c r="P127" i="86" s="1"/>
  <c r="R127" i="86" s="1"/>
  <c r="Q126" i="86"/>
  <c r="P126" i="86"/>
  <c r="R126" i="86" s="1"/>
  <c r="O126" i="86"/>
  <c r="F126" i="86"/>
  <c r="Q125" i="86"/>
  <c r="O125" i="86"/>
  <c r="F125" i="86"/>
  <c r="P125" i="86" s="1"/>
  <c r="R125" i="86" s="1"/>
  <c r="Q124" i="86"/>
  <c r="O124" i="86"/>
  <c r="F124" i="86"/>
  <c r="P124" i="86" s="1"/>
  <c r="R124" i="86" s="1"/>
  <c r="P123" i="86"/>
  <c r="R123" i="86" s="1"/>
  <c r="O123" i="86"/>
  <c r="Q123" i="86" s="1"/>
  <c r="F123" i="86"/>
  <c r="P122" i="86"/>
  <c r="R122" i="86" s="1"/>
  <c r="O122" i="86"/>
  <c r="Q122" i="86" s="1"/>
  <c r="F122" i="86"/>
  <c r="P121" i="86"/>
  <c r="R121" i="86" s="1"/>
  <c r="O121" i="86"/>
  <c r="Q121" i="86" s="1"/>
  <c r="F121" i="86"/>
  <c r="O120" i="86"/>
  <c r="Q120" i="86" s="1"/>
  <c r="F120" i="86"/>
  <c r="P120" i="86" s="1"/>
  <c r="R120" i="86" s="1"/>
  <c r="O119" i="86"/>
  <c r="Q119" i="86" s="1"/>
  <c r="F119" i="86"/>
  <c r="P119" i="86" s="1"/>
  <c r="R119" i="86" s="1"/>
  <c r="O118" i="86"/>
  <c r="Q118" i="86" s="1"/>
  <c r="F118" i="86"/>
  <c r="P118" i="86" s="1"/>
  <c r="R118" i="86" s="1"/>
  <c r="O117" i="86"/>
  <c r="Q117" i="86" s="1"/>
  <c r="F117" i="86"/>
  <c r="P117" i="86" s="1"/>
  <c r="R117" i="86" s="1"/>
  <c r="Q116" i="86"/>
  <c r="O116" i="86"/>
  <c r="F116" i="86"/>
  <c r="P116" i="86" s="1"/>
  <c r="R116" i="86" s="1"/>
  <c r="Q115" i="86"/>
  <c r="O115" i="86"/>
  <c r="F115" i="86"/>
  <c r="P115" i="86" s="1"/>
  <c r="R115" i="86" s="1"/>
  <c r="O114" i="86"/>
  <c r="Q114" i="86" s="1"/>
  <c r="F114" i="86"/>
  <c r="P114" i="86" s="1"/>
  <c r="R114" i="86" s="1"/>
  <c r="R113" i="86"/>
  <c r="Q113" i="86"/>
  <c r="P113" i="86"/>
  <c r="O113" i="86"/>
  <c r="F113" i="86"/>
  <c r="R112" i="86"/>
  <c r="P112" i="86"/>
  <c r="O112" i="86"/>
  <c r="Q112" i="86" s="1"/>
  <c r="F112" i="86"/>
  <c r="O111" i="86"/>
  <c r="Q111" i="86" s="1"/>
  <c r="F111" i="86"/>
  <c r="P111" i="86" s="1"/>
  <c r="R111" i="86" s="1"/>
  <c r="Q110" i="86"/>
  <c r="P110" i="86"/>
  <c r="R110" i="86" s="1"/>
  <c r="O110" i="86"/>
  <c r="F110" i="86"/>
  <c r="Q109" i="86"/>
  <c r="O109" i="86"/>
  <c r="F109" i="86"/>
  <c r="P109" i="86" s="1"/>
  <c r="R109" i="86" s="1"/>
  <c r="Q108" i="86"/>
  <c r="O108" i="86"/>
  <c r="F108" i="86"/>
  <c r="P108" i="86" s="1"/>
  <c r="R108" i="86" s="1"/>
  <c r="P107" i="86"/>
  <c r="R107" i="86" s="1"/>
  <c r="O107" i="86"/>
  <c r="Q107" i="86" s="1"/>
  <c r="F107" i="86"/>
  <c r="P106" i="86"/>
  <c r="R106" i="86" s="1"/>
  <c r="O106" i="86"/>
  <c r="Q106" i="86" s="1"/>
  <c r="F106" i="86"/>
  <c r="P105" i="86"/>
  <c r="R105" i="86" s="1"/>
  <c r="O105" i="86"/>
  <c r="Q105" i="86" s="1"/>
  <c r="F105" i="86"/>
  <c r="O104" i="86"/>
  <c r="Q104" i="86" s="1"/>
  <c r="F104" i="86"/>
  <c r="P104" i="86" s="1"/>
  <c r="R104" i="86" s="1"/>
  <c r="O103" i="86"/>
  <c r="Q103" i="86" s="1"/>
  <c r="F103" i="86"/>
  <c r="P103" i="86" s="1"/>
  <c r="R103" i="86" s="1"/>
  <c r="O102" i="86"/>
  <c r="Q102" i="86" s="1"/>
  <c r="F102" i="86"/>
  <c r="P102" i="86" s="1"/>
  <c r="R102" i="86" s="1"/>
  <c r="O101" i="86"/>
  <c r="Q101" i="86" s="1"/>
  <c r="F101" i="86"/>
  <c r="P101" i="86" s="1"/>
  <c r="R101" i="86" s="1"/>
  <c r="Q100" i="86"/>
  <c r="O100" i="86"/>
  <c r="F100" i="86"/>
  <c r="P100" i="86" s="1"/>
  <c r="R100" i="86" s="1"/>
  <c r="Q99" i="86"/>
  <c r="O99" i="86"/>
  <c r="F99" i="86"/>
  <c r="P99" i="86" s="1"/>
  <c r="R99" i="86" s="1"/>
  <c r="O98" i="86"/>
  <c r="Q98" i="86" s="1"/>
  <c r="F98" i="86"/>
  <c r="P98" i="86" s="1"/>
  <c r="R98" i="86" s="1"/>
  <c r="R97" i="86"/>
  <c r="Q97" i="86"/>
  <c r="P97" i="86"/>
  <c r="O97" i="86"/>
  <c r="F97" i="86"/>
  <c r="R96" i="86"/>
  <c r="P96" i="86"/>
  <c r="O96" i="86"/>
  <c r="Q96" i="86" s="1"/>
  <c r="F96" i="86"/>
  <c r="O95" i="86"/>
  <c r="Q95" i="86" s="1"/>
  <c r="F95" i="86"/>
  <c r="P95" i="86" s="1"/>
  <c r="R95" i="86" s="1"/>
  <c r="Q94" i="86"/>
  <c r="P94" i="86"/>
  <c r="R94" i="86" s="1"/>
  <c r="O94" i="86"/>
  <c r="F94" i="86"/>
  <c r="Q93" i="86"/>
  <c r="O93" i="86"/>
  <c r="F93" i="86"/>
  <c r="P93" i="86" s="1"/>
  <c r="R93" i="86" s="1"/>
  <c r="Q92" i="86"/>
  <c r="O92" i="86"/>
  <c r="F92" i="86"/>
  <c r="P92" i="86" s="1"/>
  <c r="R92" i="86" s="1"/>
  <c r="P91" i="86"/>
  <c r="R91" i="86" s="1"/>
  <c r="O91" i="86"/>
  <c r="Q91" i="86" s="1"/>
  <c r="F91" i="86"/>
  <c r="P90" i="86"/>
  <c r="R90" i="86" s="1"/>
  <c r="O90" i="86"/>
  <c r="Q90" i="86" s="1"/>
  <c r="F90" i="86"/>
  <c r="P89" i="86"/>
  <c r="R89" i="86" s="1"/>
  <c r="O89" i="86"/>
  <c r="Q89" i="86" s="1"/>
  <c r="F89" i="86"/>
  <c r="O88" i="86"/>
  <c r="Q88" i="86" s="1"/>
  <c r="F88" i="86"/>
  <c r="P88" i="86" s="1"/>
  <c r="R88" i="86" s="1"/>
  <c r="O87" i="86"/>
  <c r="Q87" i="86" s="1"/>
  <c r="F87" i="86"/>
  <c r="P87" i="86" s="1"/>
  <c r="R87" i="86" s="1"/>
  <c r="O86" i="86"/>
  <c r="Q86" i="86" s="1"/>
  <c r="F86" i="86"/>
  <c r="P86" i="86" s="1"/>
  <c r="R86" i="86" s="1"/>
  <c r="O85" i="86"/>
  <c r="Q85" i="86" s="1"/>
  <c r="F85" i="86"/>
  <c r="P85" i="86" s="1"/>
  <c r="R85" i="86" s="1"/>
  <c r="Q84" i="86"/>
  <c r="O84" i="86"/>
  <c r="F84" i="86"/>
  <c r="P84" i="86" s="1"/>
  <c r="R84" i="86" s="1"/>
  <c r="Q83" i="86"/>
  <c r="O83" i="86"/>
  <c r="F83" i="86"/>
  <c r="P83" i="86" s="1"/>
  <c r="R83" i="86" s="1"/>
  <c r="O82" i="86"/>
  <c r="Q82" i="86" s="1"/>
  <c r="F82" i="86"/>
  <c r="P82" i="86" s="1"/>
  <c r="R82" i="86" s="1"/>
  <c r="R81" i="86"/>
  <c r="Q81" i="86"/>
  <c r="P81" i="86"/>
  <c r="O81" i="86"/>
  <c r="F81" i="86"/>
  <c r="R80" i="86"/>
  <c r="P80" i="86"/>
  <c r="O80" i="86"/>
  <c r="Q80" i="86" s="1"/>
  <c r="F80" i="86"/>
  <c r="O79" i="86"/>
  <c r="Q79" i="86" s="1"/>
  <c r="F79" i="86"/>
  <c r="P79" i="86" s="1"/>
  <c r="R79" i="86" s="1"/>
  <c r="Q78" i="86"/>
  <c r="P78" i="86"/>
  <c r="R78" i="86" s="1"/>
  <c r="O78" i="86"/>
  <c r="F78" i="86"/>
  <c r="Q77" i="86"/>
  <c r="O77" i="86"/>
  <c r="F77" i="86"/>
  <c r="P77" i="86" s="1"/>
  <c r="R77" i="86" s="1"/>
  <c r="Q76" i="86"/>
  <c r="O76" i="86"/>
  <c r="F76" i="86"/>
  <c r="P76" i="86" s="1"/>
  <c r="R76" i="86" s="1"/>
  <c r="P75" i="86"/>
  <c r="R75" i="86" s="1"/>
  <c r="O75" i="86"/>
  <c r="Q75" i="86" s="1"/>
  <c r="F75" i="86"/>
  <c r="P74" i="86"/>
  <c r="R74" i="86" s="1"/>
  <c r="O74" i="86"/>
  <c r="Q74" i="86" s="1"/>
  <c r="F74" i="86"/>
  <c r="P73" i="86"/>
  <c r="R73" i="86" s="1"/>
  <c r="O73" i="86"/>
  <c r="Q73" i="86" s="1"/>
  <c r="F73" i="86"/>
  <c r="O72" i="86"/>
  <c r="Q72" i="86" s="1"/>
  <c r="F72" i="86"/>
  <c r="P72" i="86" s="1"/>
  <c r="R72" i="86" s="1"/>
  <c r="O71" i="86"/>
  <c r="Q71" i="86" s="1"/>
  <c r="F71" i="86"/>
  <c r="P71" i="86" s="1"/>
  <c r="R71" i="86" s="1"/>
  <c r="O70" i="86"/>
  <c r="Q70" i="86" s="1"/>
  <c r="F70" i="86"/>
  <c r="P70" i="86" s="1"/>
  <c r="R70" i="86" s="1"/>
  <c r="O69" i="86"/>
  <c r="Q69" i="86" s="1"/>
  <c r="F69" i="86"/>
  <c r="P69" i="86" s="1"/>
  <c r="R69" i="86" s="1"/>
  <c r="Q68" i="86"/>
  <c r="O68" i="86"/>
  <c r="F68" i="86"/>
  <c r="P68" i="86" s="1"/>
  <c r="R68" i="86" s="1"/>
  <c r="Q67" i="86"/>
  <c r="O67" i="86"/>
  <c r="F67" i="86"/>
  <c r="P67" i="86" s="1"/>
  <c r="R67" i="86" s="1"/>
  <c r="O66" i="86"/>
  <c r="Q66" i="86" s="1"/>
  <c r="F66" i="86"/>
  <c r="P66" i="86" s="1"/>
  <c r="R66" i="86" s="1"/>
  <c r="R65" i="86"/>
  <c r="Q65" i="86"/>
  <c r="P65" i="86"/>
  <c r="O65" i="86"/>
  <c r="F65" i="86"/>
  <c r="R64" i="86"/>
  <c r="P64" i="86"/>
  <c r="O64" i="86"/>
  <c r="Q64" i="86" s="1"/>
  <c r="F64" i="86"/>
  <c r="O63" i="86"/>
  <c r="Q63" i="86" s="1"/>
  <c r="F63" i="86"/>
  <c r="P63" i="86" s="1"/>
  <c r="R63" i="86" s="1"/>
  <c r="Q62" i="86"/>
  <c r="P62" i="86"/>
  <c r="R62" i="86" s="1"/>
  <c r="O62" i="86"/>
  <c r="F62" i="86"/>
  <c r="Q61" i="86"/>
  <c r="O61" i="86"/>
  <c r="F61" i="86"/>
  <c r="P61" i="86" s="1"/>
  <c r="R61" i="86" s="1"/>
  <c r="Q60" i="86"/>
  <c r="O60" i="86"/>
  <c r="F60" i="86"/>
  <c r="P60" i="86" s="1"/>
  <c r="R60" i="86" s="1"/>
  <c r="P59" i="86"/>
  <c r="R59" i="86" s="1"/>
  <c r="O59" i="86"/>
  <c r="Q59" i="86" s="1"/>
  <c r="F59" i="86"/>
  <c r="P58" i="86"/>
  <c r="R58" i="86" s="1"/>
  <c r="O58" i="86"/>
  <c r="Q58" i="86" s="1"/>
  <c r="F58" i="86"/>
  <c r="P57" i="86"/>
  <c r="R57" i="86" s="1"/>
  <c r="O57" i="86"/>
  <c r="Q57" i="86" s="1"/>
  <c r="F57" i="86"/>
  <c r="O56" i="86"/>
  <c r="Q56" i="86" s="1"/>
  <c r="F56" i="86"/>
  <c r="P56" i="86" s="1"/>
  <c r="R56" i="86" s="1"/>
  <c r="O55" i="86"/>
  <c r="Q55" i="86" s="1"/>
  <c r="F55" i="86"/>
  <c r="P55" i="86" s="1"/>
  <c r="R55" i="86" s="1"/>
  <c r="O54" i="86"/>
  <c r="Q54" i="86" s="1"/>
  <c r="F54" i="86"/>
  <c r="P54" i="86" s="1"/>
  <c r="R54" i="86" s="1"/>
  <c r="O53" i="86"/>
  <c r="Q53" i="86" s="1"/>
  <c r="F53" i="86"/>
  <c r="P53" i="86" s="1"/>
  <c r="R53" i="86" s="1"/>
  <c r="Q52" i="86"/>
  <c r="O52" i="86"/>
  <c r="F52" i="86"/>
  <c r="P52" i="86" s="1"/>
  <c r="R52" i="86" s="1"/>
  <c r="Q51" i="86"/>
  <c r="O51" i="86"/>
  <c r="F51" i="86"/>
  <c r="P51" i="86" s="1"/>
  <c r="R51" i="86" s="1"/>
  <c r="O50" i="86"/>
  <c r="Q50" i="86" s="1"/>
  <c r="F50" i="86"/>
  <c r="P50" i="86" s="1"/>
  <c r="R50" i="86" s="1"/>
  <c r="R49" i="86"/>
  <c r="Q49" i="86"/>
  <c r="P49" i="86"/>
  <c r="O49" i="86"/>
  <c r="F49" i="86"/>
  <c r="R48" i="86"/>
  <c r="P48" i="86"/>
  <c r="O48" i="86"/>
  <c r="Q48" i="86" s="1"/>
  <c r="F48" i="86"/>
  <c r="Q47" i="86"/>
  <c r="O47" i="86"/>
  <c r="F47" i="86"/>
  <c r="P47" i="86" s="1"/>
  <c r="R47" i="86" s="1"/>
  <c r="Q46" i="86"/>
  <c r="P46" i="86"/>
  <c r="R46" i="86" s="1"/>
  <c r="O46" i="86"/>
  <c r="F46" i="86"/>
  <c r="Q45" i="86"/>
  <c r="O45" i="86"/>
  <c r="F45" i="86"/>
  <c r="P45" i="86" s="1"/>
  <c r="R45" i="86" s="1"/>
  <c r="Q44" i="86"/>
  <c r="P44" i="86"/>
  <c r="R44" i="86" s="1"/>
  <c r="O44" i="86"/>
  <c r="F44" i="86"/>
  <c r="P43" i="86"/>
  <c r="R43" i="86" s="1"/>
  <c r="O43" i="86"/>
  <c r="Q43" i="86" s="1"/>
  <c r="F43" i="86"/>
  <c r="P42" i="86"/>
  <c r="R42" i="86" s="1"/>
  <c r="O42" i="86"/>
  <c r="Q42" i="86" s="1"/>
  <c r="F42" i="86"/>
  <c r="P41" i="86"/>
  <c r="R41" i="86" s="1"/>
  <c r="O41" i="86"/>
  <c r="Q41" i="86" s="1"/>
  <c r="F41" i="86"/>
  <c r="O40" i="86"/>
  <c r="Q40" i="86" s="1"/>
  <c r="F40" i="86"/>
  <c r="P40" i="86" s="1"/>
  <c r="R40" i="86" s="1"/>
  <c r="O39" i="86"/>
  <c r="Q39" i="86" s="1"/>
  <c r="F39" i="86"/>
  <c r="P39" i="86" s="1"/>
  <c r="R39" i="86" s="1"/>
  <c r="O38" i="86"/>
  <c r="Q38" i="86" s="1"/>
  <c r="F38" i="86"/>
  <c r="P38" i="86" s="1"/>
  <c r="R38" i="86" s="1"/>
  <c r="O37" i="86"/>
  <c r="Q37" i="86" s="1"/>
  <c r="F37" i="86"/>
  <c r="P37" i="86" s="1"/>
  <c r="R37" i="86" s="1"/>
  <c r="Q36" i="86"/>
  <c r="O36" i="86"/>
  <c r="F36" i="86"/>
  <c r="P36" i="86" s="1"/>
  <c r="R36" i="86" s="1"/>
  <c r="Q35" i="86"/>
  <c r="O35" i="86"/>
  <c r="F35" i="86"/>
  <c r="P35" i="86" s="1"/>
  <c r="R35" i="86" s="1"/>
  <c r="O34" i="86"/>
  <c r="Q34" i="86" s="1"/>
  <c r="F34" i="86"/>
  <c r="P34" i="86" s="1"/>
  <c r="R34" i="86" s="1"/>
  <c r="R33" i="86"/>
  <c r="Q33" i="86"/>
  <c r="P33" i="86"/>
  <c r="O33" i="86"/>
  <c r="F33" i="86"/>
  <c r="R32" i="86"/>
  <c r="P32" i="86"/>
  <c r="O32" i="86"/>
  <c r="Q32" i="86" s="1"/>
  <c r="F32" i="86"/>
  <c r="Q31" i="86"/>
  <c r="O31" i="86"/>
  <c r="F31" i="86"/>
  <c r="P31" i="86" s="1"/>
  <c r="R31" i="86" s="1"/>
  <c r="Q30" i="86"/>
  <c r="P30" i="86"/>
  <c r="R30" i="86" s="1"/>
  <c r="O30" i="86"/>
  <c r="F30" i="86"/>
  <c r="Q29" i="86"/>
  <c r="O29" i="86"/>
  <c r="F29" i="86"/>
  <c r="P29" i="86" s="1"/>
  <c r="R29" i="86" s="1"/>
  <c r="Q28" i="86"/>
  <c r="P28" i="86"/>
  <c r="R28" i="86" s="1"/>
  <c r="O28" i="86"/>
  <c r="F28" i="86"/>
  <c r="P27" i="86"/>
  <c r="R27" i="86" s="1"/>
  <c r="O27" i="86"/>
  <c r="Q27" i="86" s="1"/>
  <c r="F27" i="86"/>
  <c r="P26" i="86"/>
  <c r="R26" i="86" s="1"/>
  <c r="O26" i="86"/>
  <c r="Q26" i="86" s="1"/>
  <c r="F26" i="86"/>
  <c r="P25" i="86"/>
  <c r="R25" i="86" s="1"/>
  <c r="O25" i="86"/>
  <c r="Q25" i="86" s="1"/>
  <c r="F25" i="86"/>
  <c r="O24" i="86"/>
  <c r="Q24" i="86" s="1"/>
  <c r="F24" i="86"/>
  <c r="P24" i="86" s="1"/>
  <c r="R24" i="86" s="1"/>
  <c r="O23" i="86"/>
  <c r="Q23" i="86" s="1"/>
  <c r="F23" i="86"/>
  <c r="P23" i="86" s="1"/>
  <c r="R23" i="86" s="1"/>
  <c r="R22" i="86"/>
  <c r="P22" i="86"/>
  <c r="O22" i="86"/>
  <c r="Q22" i="86" s="1"/>
  <c r="R21" i="86"/>
  <c r="P21" i="86"/>
  <c r="O21" i="86"/>
  <c r="Q21" i="86" s="1"/>
  <c r="F21" i="86"/>
  <c r="R20" i="86"/>
  <c r="Q20" i="86"/>
  <c r="P20" i="86"/>
  <c r="O20" i="86"/>
  <c r="F20" i="86"/>
  <c r="R19" i="86"/>
  <c r="P19" i="86"/>
  <c r="O19" i="86"/>
  <c r="Q19" i="86" s="1"/>
  <c r="F19" i="86"/>
  <c r="Q18" i="86"/>
  <c r="O18" i="86"/>
  <c r="F18" i="86"/>
  <c r="P18" i="86" s="1"/>
  <c r="R18" i="86" s="1"/>
  <c r="Q17" i="86"/>
  <c r="P17" i="86"/>
  <c r="R17" i="86" s="1"/>
  <c r="O17" i="86"/>
  <c r="F17" i="86"/>
  <c r="Q16" i="86"/>
  <c r="O16" i="86"/>
  <c r="F16" i="86"/>
  <c r="P16" i="86" s="1"/>
  <c r="R16" i="86" s="1"/>
  <c r="Q15" i="86"/>
  <c r="P15" i="86"/>
  <c r="R15" i="86" s="1"/>
  <c r="O15" i="86"/>
  <c r="F15" i="86"/>
  <c r="P14" i="86"/>
  <c r="R14" i="86" s="1"/>
  <c r="O14" i="86"/>
  <c r="Q14" i="86" s="1"/>
  <c r="F14" i="86"/>
  <c r="P13" i="86"/>
  <c r="R13" i="86" s="1"/>
  <c r="O13" i="86"/>
  <c r="Q13" i="86" s="1"/>
  <c r="F13" i="86"/>
  <c r="P12" i="86"/>
  <c r="R12" i="86" s="1"/>
  <c r="O12" i="86"/>
  <c r="Q12" i="86" s="1"/>
  <c r="F12" i="86"/>
  <c r="O11" i="86"/>
  <c r="Q11" i="86" s="1"/>
  <c r="F11" i="86"/>
  <c r="P11" i="86" s="1"/>
  <c r="R11" i="86" s="1"/>
  <c r="O10" i="86"/>
  <c r="Q10" i="86" s="1"/>
  <c r="F10" i="86"/>
  <c r="P10" i="86" s="1"/>
  <c r="R10" i="86" s="1"/>
  <c r="O9" i="86"/>
  <c r="Q9" i="86" s="1"/>
  <c r="F9" i="86"/>
  <c r="P9" i="86" s="1"/>
  <c r="R9" i="86" s="1"/>
  <c r="Q8" i="86"/>
  <c r="O8" i="86"/>
  <c r="F8" i="86"/>
  <c r="P8" i="86" s="1"/>
  <c r="R8" i="86" s="1"/>
  <c r="Q7" i="86"/>
  <c r="O7" i="86"/>
  <c r="F7" i="86"/>
  <c r="P7" i="86" s="1"/>
  <c r="R7" i="86" s="1"/>
  <c r="Q6" i="86"/>
  <c r="O6" i="86"/>
  <c r="F6" i="86"/>
  <c r="P6" i="86" s="1"/>
  <c r="R6" i="86" s="1"/>
  <c r="R5" i="86"/>
  <c r="P5" i="86"/>
  <c r="O5" i="86"/>
  <c r="Q5" i="86" s="1"/>
  <c r="F5" i="86"/>
  <c r="R4" i="86"/>
  <c r="Q4" i="86"/>
  <c r="P4" i="86"/>
  <c r="O4" i="86"/>
  <c r="F4" i="86"/>
  <c r="R3" i="86"/>
  <c r="P3" i="86"/>
  <c r="O3" i="86"/>
  <c r="Q3" i="86" s="1"/>
  <c r="F3" i="86"/>
  <c r="R2" i="86"/>
  <c r="Q2" i="86"/>
  <c r="P2" i="86"/>
  <c r="O2" i="86"/>
  <c r="O239" i="85"/>
  <c r="Q239" i="85" s="1"/>
  <c r="F239" i="85"/>
  <c r="O238" i="85"/>
  <c r="Q238" i="85" s="1"/>
  <c r="F238" i="85"/>
  <c r="O237" i="85"/>
  <c r="Q237" i="85" s="1"/>
  <c r="F237" i="85"/>
  <c r="O236" i="85"/>
  <c r="Q236" i="85" s="1"/>
  <c r="F236" i="85"/>
  <c r="O235" i="85"/>
  <c r="Q235" i="85" s="1"/>
  <c r="F235" i="85"/>
  <c r="O234" i="85"/>
  <c r="Q234" i="85" s="1"/>
  <c r="F234" i="85"/>
  <c r="Q233" i="85"/>
  <c r="O233" i="85"/>
  <c r="P233" i="85" s="1"/>
  <c r="R233" i="85" s="1"/>
  <c r="F233" i="85"/>
  <c r="O232" i="85"/>
  <c r="Q232" i="85" s="1"/>
  <c r="F232" i="85"/>
  <c r="P232" i="85" s="1"/>
  <c r="R232" i="85" s="1"/>
  <c r="O231" i="85"/>
  <c r="Q231" i="85" s="1"/>
  <c r="F231" i="85"/>
  <c r="P231" i="85" s="1"/>
  <c r="R231" i="85" s="1"/>
  <c r="R230" i="85"/>
  <c r="Q230" i="85"/>
  <c r="P230" i="85"/>
  <c r="O230" i="85"/>
  <c r="F230" i="85"/>
  <c r="O229" i="85"/>
  <c r="Q229" i="85" s="1"/>
  <c r="F229" i="85"/>
  <c r="P229" i="85" s="1"/>
  <c r="R229" i="85" s="1"/>
  <c r="Q228" i="85"/>
  <c r="O228" i="85"/>
  <c r="F228" i="85"/>
  <c r="P228" i="85" s="1"/>
  <c r="R228" i="85" s="1"/>
  <c r="Q227" i="85"/>
  <c r="P227" i="85"/>
  <c r="R227" i="85" s="1"/>
  <c r="O227" i="85"/>
  <c r="F227" i="85"/>
  <c r="O226" i="85"/>
  <c r="Q226" i="85" s="1"/>
  <c r="F226" i="85"/>
  <c r="P226" i="85" s="1"/>
  <c r="R226" i="85" s="1"/>
  <c r="P225" i="85"/>
  <c r="R225" i="85" s="1"/>
  <c r="O225" i="85"/>
  <c r="Q225" i="85" s="1"/>
  <c r="F225" i="85"/>
  <c r="P224" i="85"/>
  <c r="R224" i="85" s="1"/>
  <c r="O224" i="85"/>
  <c r="Q224" i="85" s="1"/>
  <c r="F224" i="85"/>
  <c r="P223" i="85"/>
  <c r="R223" i="85" s="1"/>
  <c r="O223" i="85"/>
  <c r="Q223" i="85" s="1"/>
  <c r="F223" i="85"/>
  <c r="O222" i="85"/>
  <c r="Q222" i="85" s="1"/>
  <c r="F222" i="85"/>
  <c r="P222" i="85" s="1"/>
  <c r="R222" i="85" s="1"/>
  <c r="O221" i="85"/>
  <c r="Q221" i="85" s="1"/>
  <c r="F221" i="85"/>
  <c r="P221" i="85" s="1"/>
  <c r="R221" i="85" s="1"/>
  <c r="O220" i="85"/>
  <c r="Q220" i="85" s="1"/>
  <c r="F220" i="85"/>
  <c r="P220" i="85" s="1"/>
  <c r="R220" i="85" s="1"/>
  <c r="Q219" i="85"/>
  <c r="O219" i="85"/>
  <c r="F219" i="85"/>
  <c r="P219" i="85" s="1"/>
  <c r="R219" i="85" s="1"/>
  <c r="O218" i="85"/>
  <c r="Q218" i="85" s="1"/>
  <c r="F218" i="85"/>
  <c r="P218" i="85" s="1"/>
  <c r="R218" i="85" s="1"/>
  <c r="O217" i="85"/>
  <c r="Q217" i="85" s="1"/>
  <c r="F217" i="85"/>
  <c r="P217" i="85" s="1"/>
  <c r="R217" i="85" s="1"/>
  <c r="P216" i="85"/>
  <c r="R216" i="85" s="1"/>
  <c r="O216" i="85"/>
  <c r="Q216" i="85" s="1"/>
  <c r="F216" i="85"/>
  <c r="O215" i="85"/>
  <c r="Q215" i="85" s="1"/>
  <c r="F215" i="85"/>
  <c r="P215" i="85" s="1"/>
  <c r="R215" i="85" s="1"/>
  <c r="P214" i="85"/>
  <c r="R214" i="85" s="1"/>
  <c r="O214" i="85"/>
  <c r="Q214" i="85" s="1"/>
  <c r="F214" i="85"/>
  <c r="O213" i="85"/>
  <c r="Q213" i="85" s="1"/>
  <c r="F213" i="85"/>
  <c r="P213" i="85" s="1"/>
  <c r="R213" i="85" s="1"/>
  <c r="Q212" i="85"/>
  <c r="O212" i="85"/>
  <c r="F212" i="85"/>
  <c r="P212" i="85" s="1"/>
  <c r="R212" i="85" s="1"/>
  <c r="P211" i="85"/>
  <c r="R211" i="85" s="1"/>
  <c r="O211" i="85"/>
  <c r="Q211" i="85" s="1"/>
  <c r="F211" i="85"/>
  <c r="O210" i="85"/>
  <c r="Q210" i="85" s="1"/>
  <c r="F210" i="85"/>
  <c r="P210" i="85" s="1"/>
  <c r="R210" i="85" s="1"/>
  <c r="P209" i="85"/>
  <c r="R209" i="85" s="1"/>
  <c r="O209" i="85"/>
  <c r="Q209" i="85" s="1"/>
  <c r="F209" i="85"/>
  <c r="P208" i="85"/>
  <c r="R208" i="85" s="1"/>
  <c r="O208" i="85"/>
  <c r="Q208" i="85" s="1"/>
  <c r="F208" i="85"/>
  <c r="P207" i="85"/>
  <c r="R207" i="85" s="1"/>
  <c r="O207" i="85"/>
  <c r="Q207" i="85" s="1"/>
  <c r="F207" i="85"/>
  <c r="O206" i="85"/>
  <c r="Q206" i="85" s="1"/>
  <c r="F206" i="85"/>
  <c r="P206" i="85" s="1"/>
  <c r="R206" i="85" s="1"/>
  <c r="O205" i="85"/>
  <c r="Q205" i="85" s="1"/>
  <c r="F205" i="85"/>
  <c r="P205" i="85" s="1"/>
  <c r="R205" i="85" s="1"/>
  <c r="O204" i="85"/>
  <c r="Q204" i="85" s="1"/>
  <c r="F204" i="85"/>
  <c r="P204" i="85" s="1"/>
  <c r="R204" i="85" s="1"/>
  <c r="Q203" i="85"/>
  <c r="O203" i="85"/>
  <c r="F203" i="85"/>
  <c r="P203" i="85" s="1"/>
  <c r="R203" i="85" s="1"/>
  <c r="O202" i="85"/>
  <c r="Q202" i="85" s="1"/>
  <c r="F202" i="85"/>
  <c r="P202" i="85" s="1"/>
  <c r="R202" i="85" s="1"/>
  <c r="O201" i="85"/>
  <c r="Q201" i="85" s="1"/>
  <c r="F201" i="85"/>
  <c r="P201" i="85" s="1"/>
  <c r="R201" i="85" s="1"/>
  <c r="P200" i="85"/>
  <c r="R200" i="85" s="1"/>
  <c r="O200" i="85"/>
  <c r="Q200" i="85" s="1"/>
  <c r="F200" i="85"/>
  <c r="O199" i="85"/>
  <c r="Q199" i="85" s="1"/>
  <c r="F199" i="85"/>
  <c r="P199" i="85" s="1"/>
  <c r="R199" i="85" s="1"/>
  <c r="P198" i="85"/>
  <c r="R198" i="85" s="1"/>
  <c r="O198" i="85"/>
  <c r="Q198" i="85" s="1"/>
  <c r="F198" i="85"/>
  <c r="O197" i="85"/>
  <c r="Q197" i="85" s="1"/>
  <c r="F197" i="85"/>
  <c r="P197" i="85" s="1"/>
  <c r="R197" i="85" s="1"/>
  <c r="Q196" i="85"/>
  <c r="O196" i="85"/>
  <c r="F196" i="85"/>
  <c r="P196" i="85" s="1"/>
  <c r="R196" i="85" s="1"/>
  <c r="Q195" i="85"/>
  <c r="P195" i="85"/>
  <c r="R195" i="85" s="1"/>
  <c r="O195" i="85"/>
  <c r="F195" i="85"/>
  <c r="O194" i="85"/>
  <c r="Q194" i="85" s="1"/>
  <c r="F194" i="85"/>
  <c r="P194" i="85" s="1"/>
  <c r="R194" i="85" s="1"/>
  <c r="P193" i="85"/>
  <c r="R193" i="85" s="1"/>
  <c r="O193" i="85"/>
  <c r="Q193" i="85" s="1"/>
  <c r="F193" i="85"/>
  <c r="P192" i="85"/>
  <c r="R192" i="85" s="1"/>
  <c r="O192" i="85"/>
  <c r="Q192" i="85" s="1"/>
  <c r="F192" i="85"/>
  <c r="P191" i="85"/>
  <c r="R191" i="85" s="1"/>
  <c r="O191" i="85"/>
  <c r="Q191" i="85" s="1"/>
  <c r="F191" i="85"/>
  <c r="O190" i="85"/>
  <c r="Q190" i="85" s="1"/>
  <c r="F190" i="85"/>
  <c r="P190" i="85" s="1"/>
  <c r="R190" i="85" s="1"/>
  <c r="O189" i="85"/>
  <c r="Q189" i="85" s="1"/>
  <c r="F189" i="85"/>
  <c r="P189" i="85" s="1"/>
  <c r="R189" i="85" s="1"/>
  <c r="O188" i="85"/>
  <c r="Q188" i="85" s="1"/>
  <c r="F188" i="85"/>
  <c r="P188" i="85" s="1"/>
  <c r="R188" i="85" s="1"/>
  <c r="Q187" i="85"/>
  <c r="O187" i="85"/>
  <c r="F187" i="85"/>
  <c r="P187" i="85" s="1"/>
  <c r="R187" i="85" s="1"/>
  <c r="O186" i="85"/>
  <c r="Q186" i="85" s="1"/>
  <c r="F186" i="85"/>
  <c r="P186" i="85" s="1"/>
  <c r="R186" i="85" s="1"/>
  <c r="Q185" i="85"/>
  <c r="O185" i="85"/>
  <c r="F185" i="85"/>
  <c r="P185" i="85" s="1"/>
  <c r="R185" i="85" s="1"/>
  <c r="P184" i="85"/>
  <c r="R184" i="85" s="1"/>
  <c r="O184" i="85"/>
  <c r="Q184" i="85" s="1"/>
  <c r="F184" i="85"/>
  <c r="O183" i="85"/>
  <c r="Q183" i="85" s="1"/>
  <c r="F183" i="85"/>
  <c r="P183" i="85" s="1"/>
  <c r="R183" i="85" s="1"/>
  <c r="P182" i="85"/>
  <c r="R182" i="85" s="1"/>
  <c r="O182" i="85"/>
  <c r="Q182" i="85" s="1"/>
  <c r="F182" i="85"/>
  <c r="O181" i="85"/>
  <c r="Q181" i="85" s="1"/>
  <c r="F181" i="85"/>
  <c r="P181" i="85" s="1"/>
  <c r="R181" i="85" s="1"/>
  <c r="O180" i="85"/>
  <c r="Q180" i="85" s="1"/>
  <c r="F180" i="85"/>
  <c r="P180" i="85" s="1"/>
  <c r="R180" i="85" s="1"/>
  <c r="Q179" i="85"/>
  <c r="P179" i="85"/>
  <c r="R179" i="85" s="1"/>
  <c r="O179" i="85"/>
  <c r="F179" i="85"/>
  <c r="O178" i="85"/>
  <c r="Q178" i="85" s="1"/>
  <c r="F178" i="85"/>
  <c r="P178" i="85" s="1"/>
  <c r="R178" i="85" s="1"/>
  <c r="P177" i="85"/>
  <c r="R177" i="85" s="1"/>
  <c r="O177" i="85"/>
  <c r="Q177" i="85" s="1"/>
  <c r="F177" i="85"/>
  <c r="P176" i="85"/>
  <c r="R176" i="85" s="1"/>
  <c r="O176" i="85"/>
  <c r="Q176" i="85" s="1"/>
  <c r="F176" i="85"/>
  <c r="P175" i="85"/>
  <c r="R175" i="85" s="1"/>
  <c r="O175" i="85"/>
  <c r="Q175" i="85" s="1"/>
  <c r="F175" i="85"/>
  <c r="O174" i="85"/>
  <c r="Q174" i="85" s="1"/>
  <c r="F174" i="85"/>
  <c r="P174" i="85" s="1"/>
  <c r="R174" i="85" s="1"/>
  <c r="O173" i="85"/>
  <c r="Q173" i="85" s="1"/>
  <c r="F173" i="85"/>
  <c r="P173" i="85" s="1"/>
  <c r="R173" i="85" s="1"/>
  <c r="O172" i="85"/>
  <c r="Q172" i="85" s="1"/>
  <c r="F172" i="85"/>
  <c r="P172" i="85" s="1"/>
  <c r="R172" i="85" s="1"/>
  <c r="Q171" i="85"/>
  <c r="O171" i="85"/>
  <c r="F171" i="85"/>
  <c r="P171" i="85" s="1"/>
  <c r="R171" i="85" s="1"/>
  <c r="O170" i="85"/>
  <c r="Q170" i="85" s="1"/>
  <c r="F170" i="85"/>
  <c r="P170" i="85" s="1"/>
  <c r="R170" i="85" s="1"/>
  <c r="Q169" i="85"/>
  <c r="O169" i="85"/>
  <c r="F169" i="85"/>
  <c r="P169" i="85" s="1"/>
  <c r="R169" i="85" s="1"/>
  <c r="P168" i="85"/>
  <c r="R168" i="85" s="1"/>
  <c r="O168" i="85"/>
  <c r="Q168" i="85" s="1"/>
  <c r="F168" i="85"/>
  <c r="O167" i="85"/>
  <c r="Q167" i="85" s="1"/>
  <c r="F167" i="85"/>
  <c r="P167" i="85" s="1"/>
  <c r="R167" i="85" s="1"/>
  <c r="R166" i="85"/>
  <c r="P166" i="85"/>
  <c r="O166" i="85"/>
  <c r="Q166" i="85" s="1"/>
  <c r="F166" i="85"/>
  <c r="O165" i="85"/>
  <c r="Q165" i="85" s="1"/>
  <c r="F165" i="85"/>
  <c r="P165" i="85" s="1"/>
  <c r="R165" i="85" s="1"/>
  <c r="O164" i="85"/>
  <c r="Q164" i="85" s="1"/>
  <c r="F164" i="85"/>
  <c r="P164" i="85" s="1"/>
  <c r="R164" i="85" s="1"/>
  <c r="P163" i="85"/>
  <c r="R163" i="85" s="1"/>
  <c r="O163" i="85"/>
  <c r="Q163" i="85" s="1"/>
  <c r="F163" i="85"/>
  <c r="O162" i="85"/>
  <c r="Q162" i="85" s="1"/>
  <c r="F162" i="85"/>
  <c r="P162" i="85" s="1"/>
  <c r="R162" i="85" s="1"/>
  <c r="P161" i="85"/>
  <c r="R161" i="85" s="1"/>
  <c r="O161" i="85"/>
  <c r="Q161" i="85" s="1"/>
  <c r="F161" i="85"/>
  <c r="P160" i="85"/>
  <c r="R160" i="85" s="1"/>
  <c r="O160" i="85"/>
  <c r="Q160" i="85" s="1"/>
  <c r="F160" i="85"/>
  <c r="P159" i="85"/>
  <c r="R159" i="85" s="1"/>
  <c r="O159" i="85"/>
  <c r="Q159" i="85" s="1"/>
  <c r="F159" i="85"/>
  <c r="O158" i="85"/>
  <c r="Q158" i="85" s="1"/>
  <c r="F158" i="85"/>
  <c r="P158" i="85" s="1"/>
  <c r="R158" i="85" s="1"/>
  <c r="O157" i="85"/>
  <c r="Q157" i="85" s="1"/>
  <c r="F157" i="85"/>
  <c r="P157" i="85" s="1"/>
  <c r="R157" i="85" s="1"/>
  <c r="O156" i="85"/>
  <c r="Q156" i="85" s="1"/>
  <c r="F156" i="85"/>
  <c r="P156" i="85" s="1"/>
  <c r="R156" i="85" s="1"/>
  <c r="Q155" i="85"/>
  <c r="O155" i="85"/>
  <c r="F155" i="85"/>
  <c r="P155" i="85" s="1"/>
  <c r="R155" i="85" s="1"/>
  <c r="O154" i="85"/>
  <c r="Q154" i="85" s="1"/>
  <c r="F154" i="85"/>
  <c r="P154" i="85" s="1"/>
  <c r="R154" i="85" s="1"/>
  <c r="Q153" i="85"/>
  <c r="O153" i="85"/>
  <c r="F153" i="85"/>
  <c r="P153" i="85" s="1"/>
  <c r="R153" i="85" s="1"/>
  <c r="P152" i="85"/>
  <c r="R152" i="85" s="1"/>
  <c r="O152" i="85"/>
  <c r="Q152" i="85" s="1"/>
  <c r="F152" i="85"/>
  <c r="O151" i="85"/>
  <c r="Q151" i="85" s="1"/>
  <c r="F151" i="85"/>
  <c r="P151" i="85" s="1"/>
  <c r="R151" i="85" s="1"/>
  <c r="R150" i="85"/>
  <c r="P150" i="85"/>
  <c r="O150" i="85"/>
  <c r="Q150" i="85" s="1"/>
  <c r="F150" i="85"/>
  <c r="O149" i="85"/>
  <c r="Q149" i="85" s="1"/>
  <c r="F149" i="85"/>
  <c r="P149" i="85" s="1"/>
  <c r="R149" i="85" s="1"/>
  <c r="O148" i="85"/>
  <c r="Q148" i="85" s="1"/>
  <c r="F148" i="85"/>
  <c r="P148" i="85" s="1"/>
  <c r="R148" i="85" s="1"/>
  <c r="P147" i="85"/>
  <c r="R147" i="85" s="1"/>
  <c r="O147" i="85"/>
  <c r="Q147" i="85" s="1"/>
  <c r="F147" i="85"/>
  <c r="Q146" i="85"/>
  <c r="O146" i="85"/>
  <c r="F146" i="85"/>
  <c r="P146" i="85" s="1"/>
  <c r="R146" i="85" s="1"/>
  <c r="P145" i="85"/>
  <c r="R145" i="85" s="1"/>
  <c r="O145" i="85"/>
  <c r="Q145" i="85" s="1"/>
  <c r="F145" i="85"/>
  <c r="P144" i="85"/>
  <c r="R144" i="85" s="1"/>
  <c r="O144" i="85"/>
  <c r="Q144" i="85" s="1"/>
  <c r="F144" i="85"/>
  <c r="P143" i="85"/>
  <c r="R143" i="85" s="1"/>
  <c r="O143" i="85"/>
  <c r="Q143" i="85" s="1"/>
  <c r="F143" i="85"/>
  <c r="O142" i="85"/>
  <c r="Q142" i="85" s="1"/>
  <c r="F142" i="85"/>
  <c r="P142" i="85" s="1"/>
  <c r="R142" i="85" s="1"/>
  <c r="O141" i="85"/>
  <c r="Q141" i="85" s="1"/>
  <c r="F141" i="85"/>
  <c r="P141" i="85" s="1"/>
  <c r="R141" i="85" s="1"/>
  <c r="O140" i="85"/>
  <c r="Q140" i="85" s="1"/>
  <c r="F140" i="85"/>
  <c r="P140" i="85" s="1"/>
  <c r="R140" i="85" s="1"/>
  <c r="Q139" i="85"/>
  <c r="O139" i="85"/>
  <c r="F139" i="85"/>
  <c r="P139" i="85" s="1"/>
  <c r="R139" i="85" s="1"/>
  <c r="O138" i="85"/>
  <c r="Q138" i="85" s="1"/>
  <c r="F138" i="85"/>
  <c r="P138" i="85" s="1"/>
  <c r="R138" i="85" s="1"/>
  <c r="Q137" i="85"/>
  <c r="O137" i="85"/>
  <c r="F137" i="85"/>
  <c r="P137" i="85" s="1"/>
  <c r="R137" i="85" s="1"/>
  <c r="P136" i="85"/>
  <c r="R136" i="85" s="1"/>
  <c r="O136" i="85"/>
  <c r="Q136" i="85" s="1"/>
  <c r="F136" i="85"/>
  <c r="O135" i="85"/>
  <c r="Q135" i="85" s="1"/>
  <c r="F135" i="85"/>
  <c r="P135" i="85" s="1"/>
  <c r="R135" i="85" s="1"/>
  <c r="Q134" i="85"/>
  <c r="P134" i="85"/>
  <c r="R134" i="85" s="1"/>
  <c r="O134" i="85"/>
  <c r="F134" i="85"/>
  <c r="O133" i="85"/>
  <c r="Q133" i="85" s="1"/>
  <c r="F133" i="85"/>
  <c r="P133" i="85" s="1"/>
  <c r="R133" i="85" s="1"/>
  <c r="O132" i="85"/>
  <c r="Q132" i="85" s="1"/>
  <c r="F132" i="85"/>
  <c r="P132" i="85" s="1"/>
  <c r="R132" i="85" s="1"/>
  <c r="P131" i="85"/>
  <c r="R131" i="85" s="1"/>
  <c r="O131" i="85"/>
  <c r="Q131" i="85" s="1"/>
  <c r="F131" i="85"/>
  <c r="Q130" i="85"/>
  <c r="O130" i="85"/>
  <c r="F130" i="85"/>
  <c r="P130" i="85" s="1"/>
  <c r="R130" i="85" s="1"/>
  <c r="P129" i="85"/>
  <c r="R129" i="85" s="1"/>
  <c r="O129" i="85"/>
  <c r="Q129" i="85" s="1"/>
  <c r="F129" i="85"/>
  <c r="P128" i="85"/>
  <c r="R128" i="85" s="1"/>
  <c r="O128" i="85"/>
  <c r="Q128" i="85" s="1"/>
  <c r="F128" i="85"/>
  <c r="P127" i="85"/>
  <c r="R127" i="85" s="1"/>
  <c r="O127" i="85"/>
  <c r="Q127" i="85" s="1"/>
  <c r="F127" i="85"/>
  <c r="O126" i="85"/>
  <c r="Q126" i="85" s="1"/>
  <c r="F126" i="85"/>
  <c r="P126" i="85" s="1"/>
  <c r="R126" i="85" s="1"/>
  <c r="O125" i="85"/>
  <c r="Q125" i="85" s="1"/>
  <c r="F125" i="85"/>
  <c r="P125" i="85" s="1"/>
  <c r="R125" i="85" s="1"/>
  <c r="O124" i="85"/>
  <c r="Q124" i="85" s="1"/>
  <c r="F124" i="85"/>
  <c r="P124" i="85" s="1"/>
  <c r="R124" i="85" s="1"/>
  <c r="O123" i="85"/>
  <c r="Q123" i="85" s="1"/>
  <c r="F123" i="85"/>
  <c r="P123" i="85" s="1"/>
  <c r="R123" i="85" s="1"/>
  <c r="O122" i="85"/>
  <c r="Q122" i="85" s="1"/>
  <c r="F122" i="85"/>
  <c r="P122" i="85" s="1"/>
  <c r="R122" i="85" s="1"/>
  <c r="O121" i="85"/>
  <c r="Q121" i="85" s="1"/>
  <c r="F121" i="85"/>
  <c r="P121" i="85" s="1"/>
  <c r="R121" i="85" s="1"/>
  <c r="P120" i="85"/>
  <c r="R120" i="85" s="1"/>
  <c r="O120" i="85"/>
  <c r="Q120" i="85" s="1"/>
  <c r="F120" i="85"/>
  <c r="O119" i="85"/>
  <c r="Q119" i="85" s="1"/>
  <c r="F119" i="85"/>
  <c r="P119" i="85" s="1"/>
  <c r="R119" i="85" s="1"/>
  <c r="Q118" i="85"/>
  <c r="P118" i="85"/>
  <c r="R118" i="85" s="1"/>
  <c r="O118" i="85"/>
  <c r="F118" i="85"/>
  <c r="O117" i="85"/>
  <c r="Q117" i="85" s="1"/>
  <c r="F117" i="85"/>
  <c r="P117" i="85" s="1"/>
  <c r="R117" i="85" s="1"/>
  <c r="O116" i="85"/>
  <c r="Q116" i="85" s="1"/>
  <c r="F116" i="85"/>
  <c r="P116" i="85" s="1"/>
  <c r="R116" i="85" s="1"/>
  <c r="P115" i="85"/>
  <c r="R115" i="85" s="1"/>
  <c r="O115" i="85"/>
  <c r="Q115" i="85" s="1"/>
  <c r="F115" i="85"/>
  <c r="Q114" i="85"/>
  <c r="O114" i="85"/>
  <c r="F114" i="85"/>
  <c r="P114" i="85" s="1"/>
  <c r="R114" i="85" s="1"/>
  <c r="P113" i="85"/>
  <c r="R113" i="85" s="1"/>
  <c r="O113" i="85"/>
  <c r="Q113" i="85" s="1"/>
  <c r="F113" i="85"/>
  <c r="P112" i="85"/>
  <c r="R112" i="85" s="1"/>
  <c r="O112" i="85"/>
  <c r="Q112" i="85" s="1"/>
  <c r="F112" i="85"/>
  <c r="P111" i="85"/>
  <c r="R111" i="85" s="1"/>
  <c r="O111" i="85"/>
  <c r="Q111" i="85" s="1"/>
  <c r="F111" i="85"/>
  <c r="O110" i="85"/>
  <c r="Q110" i="85" s="1"/>
  <c r="F110" i="85"/>
  <c r="P110" i="85" s="1"/>
  <c r="R110" i="85" s="1"/>
  <c r="O109" i="85"/>
  <c r="Q109" i="85" s="1"/>
  <c r="F109" i="85"/>
  <c r="P109" i="85" s="1"/>
  <c r="R109" i="85" s="1"/>
  <c r="O108" i="85"/>
  <c r="Q108" i="85" s="1"/>
  <c r="F108" i="85"/>
  <c r="P108" i="85" s="1"/>
  <c r="R108" i="85" s="1"/>
  <c r="O107" i="85"/>
  <c r="Q107" i="85" s="1"/>
  <c r="F107" i="85"/>
  <c r="P107" i="85" s="1"/>
  <c r="R107" i="85" s="1"/>
  <c r="O106" i="85"/>
  <c r="Q106" i="85" s="1"/>
  <c r="F106" i="85"/>
  <c r="P106" i="85" s="1"/>
  <c r="R106" i="85" s="1"/>
  <c r="Q105" i="85"/>
  <c r="O105" i="85"/>
  <c r="F105" i="85"/>
  <c r="P105" i="85" s="1"/>
  <c r="R105" i="85" s="1"/>
  <c r="P104" i="85"/>
  <c r="R104" i="85" s="1"/>
  <c r="O104" i="85"/>
  <c r="Q104" i="85" s="1"/>
  <c r="F104" i="85"/>
  <c r="O103" i="85"/>
  <c r="Q103" i="85" s="1"/>
  <c r="F103" i="85"/>
  <c r="P103" i="85" s="1"/>
  <c r="R103" i="85" s="1"/>
  <c r="Q102" i="85"/>
  <c r="P102" i="85"/>
  <c r="R102" i="85" s="1"/>
  <c r="O102" i="85"/>
  <c r="F102" i="85"/>
  <c r="O101" i="85"/>
  <c r="Q101" i="85" s="1"/>
  <c r="F101" i="85"/>
  <c r="P101" i="85" s="1"/>
  <c r="R101" i="85" s="1"/>
  <c r="Q100" i="85"/>
  <c r="O100" i="85"/>
  <c r="F100" i="85"/>
  <c r="P100" i="85" s="1"/>
  <c r="R100" i="85" s="1"/>
  <c r="P99" i="85"/>
  <c r="R99" i="85" s="1"/>
  <c r="O99" i="85"/>
  <c r="Q99" i="85" s="1"/>
  <c r="F99" i="85"/>
  <c r="Q98" i="85"/>
  <c r="O98" i="85"/>
  <c r="F98" i="85"/>
  <c r="P98" i="85" s="1"/>
  <c r="R98" i="85" s="1"/>
  <c r="P97" i="85"/>
  <c r="R97" i="85" s="1"/>
  <c r="O97" i="85"/>
  <c r="Q97" i="85" s="1"/>
  <c r="F97" i="85"/>
  <c r="P96" i="85"/>
  <c r="R96" i="85" s="1"/>
  <c r="O96" i="85"/>
  <c r="Q96" i="85" s="1"/>
  <c r="F96" i="85"/>
  <c r="P95" i="85"/>
  <c r="R95" i="85" s="1"/>
  <c r="O95" i="85"/>
  <c r="Q95" i="85" s="1"/>
  <c r="F95" i="85"/>
  <c r="O94" i="85"/>
  <c r="Q94" i="85" s="1"/>
  <c r="F94" i="85"/>
  <c r="P94" i="85" s="1"/>
  <c r="R94" i="85" s="1"/>
  <c r="O93" i="85"/>
  <c r="Q93" i="85" s="1"/>
  <c r="F93" i="85"/>
  <c r="P93" i="85" s="1"/>
  <c r="R93" i="85" s="1"/>
  <c r="O92" i="85"/>
  <c r="Q92" i="85" s="1"/>
  <c r="F92" i="85"/>
  <c r="P92" i="85" s="1"/>
  <c r="R92" i="85" s="1"/>
  <c r="O91" i="85"/>
  <c r="Q91" i="85" s="1"/>
  <c r="F91" i="85"/>
  <c r="P91" i="85" s="1"/>
  <c r="R91" i="85" s="1"/>
  <c r="O90" i="85"/>
  <c r="Q90" i="85" s="1"/>
  <c r="F90" i="85"/>
  <c r="P90" i="85" s="1"/>
  <c r="R90" i="85" s="1"/>
  <c r="Q89" i="85"/>
  <c r="O89" i="85"/>
  <c r="F89" i="85"/>
  <c r="P89" i="85" s="1"/>
  <c r="R89" i="85" s="1"/>
  <c r="P88" i="85"/>
  <c r="R88" i="85" s="1"/>
  <c r="O88" i="85"/>
  <c r="Q88" i="85" s="1"/>
  <c r="F88" i="85"/>
  <c r="O87" i="85"/>
  <c r="Q87" i="85" s="1"/>
  <c r="F87" i="85"/>
  <c r="P87" i="85" s="1"/>
  <c r="R87" i="85" s="1"/>
  <c r="Q86" i="85"/>
  <c r="P86" i="85"/>
  <c r="R86" i="85" s="1"/>
  <c r="O86" i="85"/>
  <c r="F86" i="85"/>
  <c r="O85" i="85"/>
  <c r="Q85" i="85" s="1"/>
  <c r="F85" i="85"/>
  <c r="P85" i="85" s="1"/>
  <c r="R85" i="85" s="1"/>
  <c r="Q84" i="85"/>
  <c r="O84" i="85"/>
  <c r="F84" i="85"/>
  <c r="P84" i="85" s="1"/>
  <c r="R84" i="85" s="1"/>
  <c r="Q83" i="85"/>
  <c r="P83" i="85"/>
  <c r="R83" i="85" s="1"/>
  <c r="O83" i="85"/>
  <c r="F83" i="85"/>
  <c r="O82" i="85"/>
  <c r="Q82" i="85" s="1"/>
  <c r="F82" i="85"/>
  <c r="P82" i="85" s="1"/>
  <c r="R82" i="85" s="1"/>
  <c r="P81" i="85"/>
  <c r="R81" i="85" s="1"/>
  <c r="O81" i="85"/>
  <c r="Q81" i="85" s="1"/>
  <c r="F81" i="85"/>
  <c r="P80" i="85"/>
  <c r="R80" i="85" s="1"/>
  <c r="O80" i="85"/>
  <c r="Q80" i="85" s="1"/>
  <c r="F80" i="85"/>
  <c r="P79" i="85"/>
  <c r="R79" i="85" s="1"/>
  <c r="O79" i="85"/>
  <c r="Q79" i="85" s="1"/>
  <c r="F79" i="85"/>
  <c r="O78" i="85"/>
  <c r="Q78" i="85" s="1"/>
  <c r="F78" i="85"/>
  <c r="P78" i="85" s="1"/>
  <c r="R78" i="85" s="1"/>
  <c r="O77" i="85"/>
  <c r="Q77" i="85" s="1"/>
  <c r="F77" i="85"/>
  <c r="P77" i="85" s="1"/>
  <c r="R77" i="85" s="1"/>
  <c r="O76" i="85"/>
  <c r="Q76" i="85" s="1"/>
  <c r="F76" i="85"/>
  <c r="P76" i="85" s="1"/>
  <c r="R76" i="85" s="1"/>
  <c r="O75" i="85"/>
  <c r="Q75" i="85" s="1"/>
  <c r="F75" i="85"/>
  <c r="P75" i="85" s="1"/>
  <c r="R75" i="85" s="1"/>
  <c r="O74" i="85"/>
  <c r="Q74" i="85" s="1"/>
  <c r="F74" i="85"/>
  <c r="P74" i="85" s="1"/>
  <c r="R74" i="85" s="1"/>
  <c r="Q73" i="85"/>
  <c r="O73" i="85"/>
  <c r="F73" i="85"/>
  <c r="P73" i="85" s="1"/>
  <c r="R73" i="85" s="1"/>
  <c r="P72" i="85"/>
  <c r="R72" i="85" s="1"/>
  <c r="O72" i="85"/>
  <c r="Q72" i="85" s="1"/>
  <c r="F72" i="85"/>
  <c r="O71" i="85"/>
  <c r="Q71" i="85" s="1"/>
  <c r="F71" i="85"/>
  <c r="P71" i="85" s="1"/>
  <c r="R71" i="85" s="1"/>
  <c r="Q70" i="85"/>
  <c r="P70" i="85"/>
  <c r="R70" i="85" s="1"/>
  <c r="O70" i="85"/>
  <c r="F70" i="85"/>
  <c r="O69" i="85"/>
  <c r="Q69" i="85" s="1"/>
  <c r="F69" i="85"/>
  <c r="P69" i="85" s="1"/>
  <c r="R69" i="85" s="1"/>
  <c r="Q68" i="85"/>
  <c r="O68" i="85"/>
  <c r="F68" i="85"/>
  <c r="P68" i="85" s="1"/>
  <c r="R68" i="85" s="1"/>
  <c r="Q67" i="85"/>
  <c r="P67" i="85"/>
  <c r="R67" i="85" s="1"/>
  <c r="O67" i="85"/>
  <c r="F67" i="85"/>
  <c r="Q66" i="85"/>
  <c r="O66" i="85"/>
  <c r="F66" i="85"/>
  <c r="P66" i="85" s="1"/>
  <c r="R66" i="85" s="1"/>
  <c r="P65" i="85"/>
  <c r="R65" i="85" s="1"/>
  <c r="O65" i="85"/>
  <c r="Q65" i="85" s="1"/>
  <c r="F65" i="85"/>
  <c r="P64" i="85"/>
  <c r="R64" i="85" s="1"/>
  <c r="O64" i="85"/>
  <c r="Q64" i="85" s="1"/>
  <c r="F64" i="85"/>
  <c r="P63" i="85"/>
  <c r="R63" i="85" s="1"/>
  <c r="O63" i="85"/>
  <c r="Q63" i="85" s="1"/>
  <c r="F63" i="85"/>
  <c r="O62" i="85"/>
  <c r="Q62" i="85" s="1"/>
  <c r="F62" i="85"/>
  <c r="P62" i="85" s="1"/>
  <c r="R62" i="85" s="1"/>
  <c r="O61" i="85"/>
  <c r="Q61" i="85" s="1"/>
  <c r="F61" i="85"/>
  <c r="P61" i="85" s="1"/>
  <c r="R61" i="85" s="1"/>
  <c r="O60" i="85"/>
  <c r="Q60" i="85" s="1"/>
  <c r="F60" i="85"/>
  <c r="P60" i="85" s="1"/>
  <c r="R60" i="85" s="1"/>
  <c r="O59" i="85"/>
  <c r="Q59" i="85" s="1"/>
  <c r="F59" i="85"/>
  <c r="P59" i="85" s="1"/>
  <c r="R59" i="85" s="1"/>
  <c r="O58" i="85"/>
  <c r="Q58" i="85" s="1"/>
  <c r="F58" i="85"/>
  <c r="P58" i="85" s="1"/>
  <c r="R58" i="85" s="1"/>
  <c r="Q57" i="85"/>
  <c r="O57" i="85"/>
  <c r="F57" i="85"/>
  <c r="P57" i="85" s="1"/>
  <c r="R57" i="85" s="1"/>
  <c r="P56" i="85"/>
  <c r="R56" i="85" s="1"/>
  <c r="O56" i="85"/>
  <c r="Q56" i="85" s="1"/>
  <c r="F56" i="85"/>
  <c r="O55" i="85"/>
  <c r="Q55" i="85" s="1"/>
  <c r="F55" i="85"/>
  <c r="P55" i="85" s="1"/>
  <c r="R55" i="85" s="1"/>
  <c r="R54" i="85"/>
  <c r="Q54" i="85"/>
  <c r="P54" i="85"/>
  <c r="O54" i="85"/>
  <c r="F54" i="85"/>
  <c r="O53" i="85"/>
  <c r="Q53" i="85" s="1"/>
  <c r="F53" i="85"/>
  <c r="P53" i="85" s="1"/>
  <c r="R53" i="85" s="1"/>
  <c r="Q52" i="85"/>
  <c r="O52" i="85"/>
  <c r="F52" i="85"/>
  <c r="P52" i="85" s="1"/>
  <c r="R52" i="85" s="1"/>
  <c r="Q51" i="85"/>
  <c r="P51" i="85"/>
  <c r="R51" i="85" s="1"/>
  <c r="O51" i="85"/>
  <c r="F51" i="85"/>
  <c r="Q50" i="85"/>
  <c r="O50" i="85"/>
  <c r="F50" i="85"/>
  <c r="P50" i="85" s="1"/>
  <c r="R50" i="85" s="1"/>
  <c r="P49" i="85"/>
  <c r="R49" i="85" s="1"/>
  <c r="O49" i="85"/>
  <c r="Q49" i="85" s="1"/>
  <c r="F49" i="85"/>
  <c r="P48" i="85"/>
  <c r="R48" i="85" s="1"/>
  <c r="O48" i="85"/>
  <c r="Q48" i="85" s="1"/>
  <c r="F48" i="85"/>
  <c r="P47" i="85"/>
  <c r="R47" i="85" s="1"/>
  <c r="O47" i="85"/>
  <c r="Q47" i="85" s="1"/>
  <c r="F47" i="85"/>
  <c r="O46" i="85"/>
  <c r="Q46" i="85" s="1"/>
  <c r="F46" i="85"/>
  <c r="P46" i="85" s="1"/>
  <c r="R46" i="85" s="1"/>
  <c r="O45" i="85"/>
  <c r="Q45" i="85" s="1"/>
  <c r="F45" i="85"/>
  <c r="P45" i="85" s="1"/>
  <c r="R45" i="85" s="1"/>
  <c r="O44" i="85"/>
  <c r="Q44" i="85" s="1"/>
  <c r="F44" i="85"/>
  <c r="P44" i="85" s="1"/>
  <c r="R44" i="85" s="1"/>
  <c r="Q43" i="85"/>
  <c r="O43" i="85"/>
  <c r="F43" i="85"/>
  <c r="P43" i="85" s="1"/>
  <c r="R43" i="85" s="1"/>
  <c r="O42" i="85"/>
  <c r="Q42" i="85" s="1"/>
  <c r="F42" i="85"/>
  <c r="P42" i="85" s="1"/>
  <c r="R42" i="85" s="1"/>
  <c r="Q41" i="85"/>
  <c r="O41" i="85"/>
  <c r="F41" i="85"/>
  <c r="P41" i="85" s="1"/>
  <c r="R41" i="85" s="1"/>
  <c r="P40" i="85"/>
  <c r="R40" i="85" s="1"/>
  <c r="O40" i="85"/>
  <c r="Q40" i="85" s="1"/>
  <c r="F40" i="85"/>
  <c r="O39" i="85"/>
  <c r="Q39" i="85" s="1"/>
  <c r="F39" i="85"/>
  <c r="P39" i="85" s="1"/>
  <c r="R39" i="85" s="1"/>
  <c r="R38" i="85"/>
  <c r="P38" i="85"/>
  <c r="O38" i="85"/>
  <c r="Q38" i="85" s="1"/>
  <c r="F38" i="85"/>
  <c r="O37" i="85"/>
  <c r="Q37" i="85" s="1"/>
  <c r="F37" i="85"/>
  <c r="P37" i="85" s="1"/>
  <c r="R37" i="85" s="1"/>
  <c r="O36" i="85"/>
  <c r="Q36" i="85" s="1"/>
  <c r="F36" i="85"/>
  <c r="P36" i="85" s="1"/>
  <c r="R36" i="85" s="1"/>
  <c r="Q35" i="85"/>
  <c r="P35" i="85"/>
  <c r="R35" i="85" s="1"/>
  <c r="O35" i="85"/>
  <c r="F35" i="85"/>
  <c r="Q34" i="85"/>
  <c r="O34" i="85"/>
  <c r="F34" i="85"/>
  <c r="P34" i="85" s="1"/>
  <c r="R34" i="85" s="1"/>
  <c r="P33" i="85"/>
  <c r="R33" i="85" s="1"/>
  <c r="O33" i="85"/>
  <c r="Q33" i="85" s="1"/>
  <c r="F33" i="85"/>
  <c r="P32" i="85"/>
  <c r="R32" i="85" s="1"/>
  <c r="O32" i="85"/>
  <c r="Q32" i="85" s="1"/>
  <c r="F32" i="85"/>
  <c r="P31" i="85"/>
  <c r="R31" i="85" s="1"/>
  <c r="O31" i="85"/>
  <c r="Q31" i="85" s="1"/>
  <c r="F31" i="85"/>
  <c r="O30" i="85"/>
  <c r="Q30" i="85" s="1"/>
  <c r="F30" i="85"/>
  <c r="P30" i="85" s="1"/>
  <c r="R30" i="85" s="1"/>
  <c r="O29" i="85"/>
  <c r="Q29" i="85" s="1"/>
  <c r="F29" i="85"/>
  <c r="P29" i="85" s="1"/>
  <c r="R29" i="85" s="1"/>
  <c r="O28" i="85"/>
  <c r="Q28" i="85" s="1"/>
  <c r="F28" i="85"/>
  <c r="P28" i="85" s="1"/>
  <c r="R28" i="85" s="1"/>
  <c r="O27" i="85"/>
  <c r="Q27" i="85" s="1"/>
  <c r="F27" i="85"/>
  <c r="P27" i="85" s="1"/>
  <c r="R27" i="85" s="1"/>
  <c r="O26" i="85"/>
  <c r="Q26" i="85" s="1"/>
  <c r="F26" i="85"/>
  <c r="P26" i="85" s="1"/>
  <c r="R26" i="85" s="1"/>
  <c r="Q25" i="85"/>
  <c r="O25" i="85"/>
  <c r="F25" i="85"/>
  <c r="P25" i="85" s="1"/>
  <c r="R25" i="85" s="1"/>
  <c r="P24" i="85"/>
  <c r="R24" i="85" s="1"/>
  <c r="O24" i="85"/>
  <c r="Q24" i="85" s="1"/>
  <c r="F24" i="85"/>
  <c r="O23" i="85"/>
  <c r="Q23" i="85" s="1"/>
  <c r="F23" i="85"/>
  <c r="P23" i="85" s="1"/>
  <c r="R23" i="85" s="1"/>
  <c r="R22" i="85"/>
  <c r="Q22" i="85"/>
  <c r="P22" i="85"/>
  <c r="O22" i="85"/>
  <c r="Q21" i="85"/>
  <c r="O21" i="85"/>
  <c r="F21" i="85"/>
  <c r="P21" i="85" s="1"/>
  <c r="R21" i="85" s="1"/>
  <c r="P20" i="85"/>
  <c r="R20" i="85" s="1"/>
  <c r="O20" i="85"/>
  <c r="Q20" i="85" s="1"/>
  <c r="F20" i="85"/>
  <c r="P19" i="85"/>
  <c r="R19" i="85" s="1"/>
  <c r="O19" i="85"/>
  <c r="Q19" i="85" s="1"/>
  <c r="F19" i="85"/>
  <c r="P18" i="85"/>
  <c r="R18" i="85" s="1"/>
  <c r="O18" i="85"/>
  <c r="Q18" i="85" s="1"/>
  <c r="F18" i="85"/>
  <c r="O17" i="85"/>
  <c r="Q17" i="85" s="1"/>
  <c r="F17" i="85"/>
  <c r="P17" i="85" s="1"/>
  <c r="R17" i="85" s="1"/>
  <c r="O16" i="85"/>
  <c r="Q16" i="85" s="1"/>
  <c r="F16" i="85"/>
  <c r="P16" i="85" s="1"/>
  <c r="R16" i="85" s="1"/>
  <c r="O15" i="85"/>
  <c r="Q15" i="85" s="1"/>
  <c r="F15" i="85"/>
  <c r="P15" i="85" s="1"/>
  <c r="R15" i="85" s="1"/>
  <c r="Q14" i="85"/>
  <c r="O14" i="85"/>
  <c r="F14" i="85"/>
  <c r="P14" i="85" s="1"/>
  <c r="R14" i="85" s="1"/>
  <c r="O13" i="85"/>
  <c r="Q13" i="85" s="1"/>
  <c r="F13" i="85"/>
  <c r="P13" i="85" s="1"/>
  <c r="R13" i="85" s="1"/>
  <c r="Q12" i="85"/>
  <c r="O12" i="85"/>
  <c r="F12" i="85"/>
  <c r="P12" i="85" s="1"/>
  <c r="R12" i="85" s="1"/>
  <c r="P11" i="85"/>
  <c r="R11" i="85" s="1"/>
  <c r="O11" i="85"/>
  <c r="Q11" i="85" s="1"/>
  <c r="F11" i="85"/>
  <c r="O10" i="85"/>
  <c r="Q10" i="85" s="1"/>
  <c r="F10" i="85"/>
  <c r="P10" i="85" s="1"/>
  <c r="R10" i="85" s="1"/>
  <c r="R9" i="85"/>
  <c r="P9" i="85"/>
  <c r="O9" i="85"/>
  <c r="Q9" i="85" s="1"/>
  <c r="F9" i="85"/>
  <c r="O8" i="85"/>
  <c r="Q8" i="85" s="1"/>
  <c r="F8" i="85"/>
  <c r="P8" i="85" s="1"/>
  <c r="R8" i="85" s="1"/>
  <c r="O7" i="85"/>
  <c r="Q7" i="85" s="1"/>
  <c r="F7" i="85"/>
  <c r="P7" i="85" s="1"/>
  <c r="R7" i="85" s="1"/>
  <c r="Q6" i="85"/>
  <c r="P6" i="85"/>
  <c r="R6" i="85" s="1"/>
  <c r="O6" i="85"/>
  <c r="F6" i="85"/>
  <c r="Q5" i="85"/>
  <c r="O5" i="85"/>
  <c r="F5" i="85"/>
  <c r="P5" i="85" s="1"/>
  <c r="R5" i="85" s="1"/>
  <c r="P4" i="85"/>
  <c r="R4" i="85" s="1"/>
  <c r="O4" i="85"/>
  <c r="Q4" i="85" s="1"/>
  <c r="F4" i="85"/>
  <c r="P3" i="85"/>
  <c r="R3" i="85" s="1"/>
  <c r="O3" i="85"/>
  <c r="Q3" i="85" s="1"/>
  <c r="F3" i="85"/>
  <c r="P2" i="85"/>
  <c r="R2" i="85" s="1"/>
  <c r="O2" i="85"/>
  <c r="Q2" i="85" s="1"/>
  <c r="Q233" i="86" l="1"/>
  <c r="P237" i="86"/>
  <c r="R237" i="86" s="1"/>
  <c r="P238" i="86"/>
  <c r="R238" i="86" s="1"/>
  <c r="P235" i="86"/>
  <c r="R235" i="86" s="1"/>
  <c r="P239" i="86"/>
  <c r="R239" i="86" s="1"/>
  <c r="P236" i="86"/>
  <c r="R236" i="86" s="1"/>
  <c r="P237" i="85"/>
  <c r="R237" i="85" s="1"/>
  <c r="P234" i="85"/>
  <c r="R234" i="85" s="1"/>
  <c r="P238" i="85"/>
  <c r="R238" i="85" s="1"/>
  <c r="P235" i="85"/>
  <c r="R235" i="85" s="1"/>
  <c r="P239" i="85"/>
  <c r="R239" i="85" s="1"/>
  <c r="P236" i="85"/>
  <c r="R236" i="85" s="1"/>
  <c r="C4" i="8"/>
  <c r="A4" i="8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33" i="1" l="1"/>
  <c r="F230" i="1"/>
  <c r="F225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6" i="1"/>
  <c r="F227" i="1"/>
  <c r="F228" i="1"/>
  <c r="F229" i="1"/>
  <c r="F231" i="1"/>
  <c r="F232" i="1"/>
  <c r="F234" i="1"/>
  <c r="F235" i="1"/>
  <c r="F236" i="1"/>
  <c r="F237" i="1"/>
  <c r="F238" i="1"/>
  <c r="F239" i="1"/>
  <c r="F23" i="1"/>
  <c r="P223" i="1" l="1"/>
  <c r="R223" i="1" s="1"/>
  <c r="O20" i="1"/>
  <c r="Q20" i="1" s="1"/>
  <c r="O12" i="1"/>
  <c r="Q12" i="1" s="1"/>
  <c r="O4" i="1"/>
  <c r="Q4" i="1" s="1"/>
  <c r="P20" i="1"/>
  <c r="R20" i="1" s="1"/>
  <c r="O15" i="1"/>
  <c r="Q15" i="1" s="1"/>
  <c r="O7" i="1"/>
  <c r="Q7" i="1" s="1"/>
  <c r="P2" i="1"/>
  <c r="R2" i="1" s="1"/>
  <c r="O10" i="1"/>
  <c r="Q10" i="1" s="1"/>
  <c r="O2" i="1"/>
  <c r="Q2" i="1" s="1"/>
  <c r="O17" i="1"/>
  <c r="Q17" i="1" s="1"/>
  <c r="O9" i="1"/>
  <c r="Q9" i="1" s="1"/>
  <c r="O18" i="1"/>
  <c r="Q18" i="1" s="1"/>
  <c r="P9" i="1"/>
  <c r="R9" i="1" s="1"/>
  <c r="P12" i="1"/>
  <c r="R12" i="1" s="1"/>
  <c r="P4" i="1"/>
  <c r="R4" i="1" s="1"/>
  <c r="O21" i="1"/>
  <c r="Q21" i="1" s="1"/>
  <c r="P16" i="1"/>
  <c r="R16" i="1" s="1"/>
  <c r="O13" i="1"/>
  <c r="Q13" i="1" s="1"/>
  <c r="P8" i="1"/>
  <c r="R8" i="1" s="1"/>
  <c r="O5" i="1"/>
  <c r="Q5" i="1" s="1"/>
  <c r="P22" i="1"/>
  <c r="R22" i="1" s="1"/>
  <c r="O16" i="1"/>
  <c r="Q16" i="1" s="1"/>
  <c r="O8" i="1"/>
  <c r="Q8" i="1" s="1"/>
  <c r="O22" i="1"/>
  <c r="Q22" i="1" s="1"/>
  <c r="O19" i="1"/>
  <c r="Q19" i="1" s="1"/>
  <c r="O11" i="1"/>
  <c r="Q11" i="1" s="1"/>
  <c r="O3" i="1"/>
  <c r="Q3" i="1" s="1"/>
  <c r="P17" i="1"/>
  <c r="R17" i="1" s="1"/>
  <c r="O14" i="1"/>
  <c r="Q14" i="1" s="1"/>
  <c r="O6" i="1"/>
  <c r="Q6" i="1" s="1"/>
  <c r="P21" i="1"/>
  <c r="R21" i="1" s="1"/>
  <c r="P18" i="1"/>
  <c r="R18" i="1" s="1"/>
  <c r="P19" i="1"/>
  <c r="R19" i="1" s="1"/>
  <c r="P7" i="1"/>
  <c r="R7" i="1" s="1"/>
  <c r="P6" i="1"/>
  <c r="R6" i="1" s="1"/>
  <c r="P3" i="1"/>
  <c r="R3" i="1" s="1"/>
  <c r="P15" i="1"/>
  <c r="R15" i="1" s="1"/>
  <c r="P11" i="1"/>
  <c r="R11" i="1" s="1"/>
  <c r="P5" i="1"/>
  <c r="R5" i="1" s="1"/>
  <c r="P13" i="1"/>
  <c r="R13" i="1" s="1"/>
  <c r="P14" i="1"/>
  <c r="R14" i="1" s="1"/>
  <c r="P10" i="1"/>
  <c r="R10" i="1" s="1"/>
  <c r="P43" i="1"/>
  <c r="R43" i="1" s="1"/>
  <c r="P75" i="1"/>
  <c r="R75" i="1" s="1"/>
  <c r="P107" i="1"/>
  <c r="R107" i="1" s="1"/>
  <c r="P139" i="1"/>
  <c r="R139" i="1" s="1"/>
  <c r="P171" i="1"/>
  <c r="R171" i="1" s="1"/>
  <c r="P203" i="1"/>
  <c r="R203" i="1" s="1"/>
  <c r="P39" i="1"/>
  <c r="R39" i="1" s="1"/>
  <c r="P103" i="1"/>
  <c r="R103" i="1" s="1"/>
  <c r="P167" i="1"/>
  <c r="R167" i="1" s="1"/>
  <c r="P23" i="1"/>
  <c r="R23" i="1" s="1"/>
  <c r="P55" i="1"/>
  <c r="R55" i="1" s="1"/>
  <c r="P87" i="1"/>
  <c r="R87" i="1" s="1"/>
  <c r="P119" i="1"/>
  <c r="R119" i="1" s="1"/>
  <c r="P151" i="1"/>
  <c r="R151" i="1" s="1"/>
  <c r="P183" i="1"/>
  <c r="R183" i="1" s="1"/>
  <c r="P215" i="1"/>
  <c r="R215" i="1" s="1"/>
  <c r="P71" i="1"/>
  <c r="R71" i="1" s="1"/>
  <c r="P135" i="1"/>
  <c r="R135" i="1" s="1"/>
  <c r="P199" i="1"/>
  <c r="R199" i="1" s="1"/>
  <c r="P27" i="1"/>
  <c r="R27" i="1" s="1"/>
  <c r="P59" i="1"/>
  <c r="R59" i="1" s="1"/>
  <c r="P91" i="1"/>
  <c r="R91" i="1" s="1"/>
  <c r="P123" i="1"/>
  <c r="R123" i="1" s="1"/>
  <c r="P155" i="1"/>
  <c r="R155" i="1" s="1"/>
  <c r="P187" i="1"/>
  <c r="R187" i="1" s="1"/>
  <c r="P219" i="1"/>
  <c r="R219" i="1" s="1"/>
  <c r="P31" i="1"/>
  <c r="R31" i="1" s="1"/>
  <c r="P47" i="1"/>
  <c r="R47" i="1" s="1"/>
  <c r="P63" i="1"/>
  <c r="R63" i="1" s="1"/>
  <c r="P79" i="1"/>
  <c r="R79" i="1" s="1"/>
  <c r="P95" i="1"/>
  <c r="R95" i="1" s="1"/>
  <c r="P111" i="1"/>
  <c r="R111" i="1" s="1"/>
  <c r="P127" i="1"/>
  <c r="R127" i="1" s="1"/>
  <c r="P143" i="1"/>
  <c r="R143" i="1" s="1"/>
  <c r="P159" i="1"/>
  <c r="R159" i="1" s="1"/>
  <c r="P175" i="1"/>
  <c r="R175" i="1" s="1"/>
  <c r="P191" i="1"/>
  <c r="R191" i="1" s="1"/>
  <c r="P207" i="1"/>
  <c r="R207" i="1" s="1"/>
  <c r="O25" i="1"/>
  <c r="Q25" i="1" s="1"/>
  <c r="O27" i="1"/>
  <c r="Q27" i="1" s="1"/>
  <c r="P29" i="1"/>
  <c r="R29" i="1" s="1"/>
  <c r="O32" i="1"/>
  <c r="Q32" i="1" s="1"/>
  <c r="O34" i="1"/>
  <c r="Q34" i="1" s="1"/>
  <c r="P36" i="1"/>
  <c r="R36" i="1" s="1"/>
  <c r="P38" i="1"/>
  <c r="R38" i="1" s="1"/>
  <c r="O41" i="1"/>
  <c r="Q41" i="1" s="1"/>
  <c r="O43" i="1"/>
  <c r="Q43" i="1" s="1"/>
  <c r="P45" i="1"/>
  <c r="R45" i="1" s="1"/>
  <c r="O48" i="1"/>
  <c r="Q48" i="1" s="1"/>
  <c r="O50" i="1"/>
  <c r="Q50" i="1" s="1"/>
  <c r="P52" i="1"/>
  <c r="R52" i="1" s="1"/>
  <c r="P54" i="1"/>
  <c r="R54" i="1" s="1"/>
  <c r="O57" i="1"/>
  <c r="Q57" i="1" s="1"/>
  <c r="O59" i="1"/>
  <c r="Q59" i="1" s="1"/>
  <c r="P61" i="1"/>
  <c r="R61" i="1" s="1"/>
  <c r="O64" i="1"/>
  <c r="Q64" i="1" s="1"/>
  <c r="O66" i="1"/>
  <c r="Q66" i="1" s="1"/>
  <c r="P68" i="1"/>
  <c r="R68" i="1" s="1"/>
  <c r="P70" i="1"/>
  <c r="R70" i="1" s="1"/>
  <c r="O73" i="1"/>
  <c r="Q73" i="1" s="1"/>
  <c r="O75" i="1"/>
  <c r="Q75" i="1" s="1"/>
  <c r="P77" i="1"/>
  <c r="R77" i="1" s="1"/>
  <c r="O80" i="1"/>
  <c r="Q80" i="1" s="1"/>
  <c r="O82" i="1"/>
  <c r="Q82" i="1" s="1"/>
  <c r="P84" i="1"/>
  <c r="R84" i="1" s="1"/>
  <c r="P86" i="1"/>
  <c r="R86" i="1" s="1"/>
  <c r="O89" i="1"/>
  <c r="Q89" i="1" s="1"/>
  <c r="O91" i="1"/>
  <c r="Q91" i="1" s="1"/>
  <c r="P25" i="1"/>
  <c r="R25" i="1" s="1"/>
  <c r="O28" i="1"/>
  <c r="Q28" i="1" s="1"/>
  <c r="O30" i="1"/>
  <c r="Q30" i="1" s="1"/>
  <c r="P32" i="1"/>
  <c r="R32" i="1" s="1"/>
  <c r="P34" i="1"/>
  <c r="R34" i="1" s="1"/>
  <c r="O37" i="1"/>
  <c r="Q37" i="1" s="1"/>
  <c r="O39" i="1"/>
  <c r="Q39" i="1" s="1"/>
  <c r="P41" i="1"/>
  <c r="R41" i="1" s="1"/>
  <c r="O44" i="1"/>
  <c r="Q44" i="1" s="1"/>
  <c r="O46" i="1"/>
  <c r="Q46" i="1" s="1"/>
  <c r="P48" i="1"/>
  <c r="R48" i="1" s="1"/>
  <c r="P50" i="1"/>
  <c r="R50" i="1" s="1"/>
  <c r="O53" i="1"/>
  <c r="Q53" i="1" s="1"/>
  <c r="O55" i="1"/>
  <c r="Q55" i="1" s="1"/>
  <c r="P57" i="1"/>
  <c r="R57" i="1" s="1"/>
  <c r="O60" i="1"/>
  <c r="Q60" i="1" s="1"/>
  <c r="O62" i="1"/>
  <c r="Q62" i="1" s="1"/>
  <c r="P64" i="1"/>
  <c r="R64" i="1" s="1"/>
  <c r="P66" i="1"/>
  <c r="R66" i="1" s="1"/>
  <c r="O69" i="1"/>
  <c r="Q69" i="1" s="1"/>
  <c r="O71" i="1"/>
  <c r="Q71" i="1" s="1"/>
  <c r="P73" i="1"/>
  <c r="R73" i="1" s="1"/>
  <c r="O76" i="1"/>
  <c r="Q76" i="1" s="1"/>
  <c r="O78" i="1"/>
  <c r="Q78" i="1" s="1"/>
  <c r="P80" i="1"/>
  <c r="R80" i="1" s="1"/>
  <c r="P82" i="1"/>
  <c r="R82" i="1" s="1"/>
  <c r="O85" i="1"/>
  <c r="Q85" i="1" s="1"/>
  <c r="P24" i="1"/>
  <c r="R24" i="1" s="1"/>
  <c r="O29" i="1"/>
  <c r="Q29" i="1" s="1"/>
  <c r="P33" i="1"/>
  <c r="R33" i="1" s="1"/>
  <c r="O38" i="1"/>
  <c r="Q38" i="1" s="1"/>
  <c r="P42" i="1"/>
  <c r="R42" i="1" s="1"/>
  <c r="O47" i="1"/>
  <c r="Q47" i="1" s="1"/>
  <c r="O52" i="1"/>
  <c r="Q52" i="1" s="1"/>
  <c r="O26" i="1"/>
  <c r="Q26" i="1" s="1"/>
  <c r="P30" i="1"/>
  <c r="R30" i="1" s="1"/>
  <c r="O35" i="1"/>
  <c r="Q35" i="1" s="1"/>
  <c r="O40" i="1"/>
  <c r="Q40" i="1" s="1"/>
  <c r="P44" i="1"/>
  <c r="R44" i="1" s="1"/>
  <c r="O49" i="1"/>
  <c r="Q49" i="1" s="1"/>
  <c r="P53" i="1"/>
  <c r="R53" i="1" s="1"/>
  <c r="O58" i="1"/>
  <c r="Q58" i="1" s="1"/>
  <c r="P62" i="1"/>
  <c r="R62" i="1" s="1"/>
  <c r="O67" i="1"/>
  <c r="Q67" i="1" s="1"/>
  <c r="O72" i="1"/>
  <c r="Q72" i="1" s="1"/>
  <c r="P76" i="1"/>
  <c r="R76" i="1" s="1"/>
  <c r="O81" i="1"/>
  <c r="Q81" i="1" s="1"/>
  <c r="P85" i="1"/>
  <c r="R85" i="1" s="1"/>
  <c r="P88" i="1"/>
  <c r="R88" i="1" s="1"/>
  <c r="O92" i="1"/>
  <c r="Q92" i="1" s="1"/>
  <c r="O94" i="1"/>
  <c r="Q94" i="1" s="1"/>
  <c r="P96" i="1"/>
  <c r="R96" i="1" s="1"/>
  <c r="P98" i="1"/>
  <c r="R98" i="1" s="1"/>
  <c r="O101" i="1"/>
  <c r="Q101" i="1" s="1"/>
  <c r="O103" i="1"/>
  <c r="Q103" i="1" s="1"/>
  <c r="P105" i="1"/>
  <c r="R105" i="1" s="1"/>
  <c r="O108" i="1"/>
  <c r="Q108" i="1" s="1"/>
  <c r="O110" i="1"/>
  <c r="Q110" i="1" s="1"/>
  <c r="P112" i="1"/>
  <c r="R112" i="1" s="1"/>
  <c r="P114" i="1"/>
  <c r="R114" i="1" s="1"/>
  <c r="O117" i="1"/>
  <c r="Q117" i="1" s="1"/>
  <c r="O119" i="1"/>
  <c r="Q119" i="1" s="1"/>
  <c r="P121" i="1"/>
  <c r="R121" i="1" s="1"/>
  <c r="O124" i="1"/>
  <c r="Q124" i="1" s="1"/>
  <c r="O126" i="1"/>
  <c r="Q126" i="1" s="1"/>
  <c r="P128" i="1"/>
  <c r="R128" i="1" s="1"/>
  <c r="P130" i="1"/>
  <c r="R130" i="1" s="1"/>
  <c r="O133" i="1"/>
  <c r="Q133" i="1" s="1"/>
  <c r="O135" i="1"/>
  <c r="Q135" i="1" s="1"/>
  <c r="P137" i="1"/>
  <c r="R137" i="1" s="1"/>
  <c r="O140" i="1"/>
  <c r="Q140" i="1" s="1"/>
  <c r="O142" i="1"/>
  <c r="Q142" i="1" s="1"/>
  <c r="P144" i="1"/>
  <c r="R144" i="1" s="1"/>
  <c r="P146" i="1"/>
  <c r="R146" i="1" s="1"/>
  <c r="O149" i="1"/>
  <c r="Q149" i="1" s="1"/>
  <c r="O151" i="1"/>
  <c r="Q151" i="1" s="1"/>
  <c r="P153" i="1"/>
  <c r="R153" i="1" s="1"/>
  <c r="O156" i="1"/>
  <c r="Q156" i="1" s="1"/>
  <c r="O158" i="1"/>
  <c r="Q158" i="1" s="1"/>
  <c r="P160" i="1"/>
  <c r="R160" i="1" s="1"/>
  <c r="P162" i="1"/>
  <c r="R162" i="1" s="1"/>
  <c r="O165" i="1"/>
  <c r="Q165" i="1" s="1"/>
  <c r="O167" i="1"/>
  <c r="Q167" i="1" s="1"/>
  <c r="P169" i="1"/>
  <c r="R169" i="1" s="1"/>
  <c r="O172" i="1"/>
  <c r="Q172" i="1" s="1"/>
  <c r="O174" i="1"/>
  <c r="Q174" i="1" s="1"/>
  <c r="P176" i="1"/>
  <c r="R176" i="1" s="1"/>
  <c r="P178" i="1"/>
  <c r="R178" i="1" s="1"/>
  <c r="O181" i="1"/>
  <c r="Q181" i="1" s="1"/>
  <c r="O183" i="1"/>
  <c r="Q183" i="1" s="1"/>
  <c r="P185" i="1"/>
  <c r="R185" i="1" s="1"/>
  <c r="O188" i="1"/>
  <c r="Q188" i="1" s="1"/>
  <c r="O190" i="1"/>
  <c r="Q190" i="1" s="1"/>
  <c r="O24" i="1"/>
  <c r="Q24" i="1" s="1"/>
  <c r="O33" i="1"/>
  <c r="Q33" i="1" s="1"/>
  <c r="O42" i="1"/>
  <c r="Q42" i="1" s="1"/>
  <c r="O51" i="1"/>
  <c r="Q51" i="1" s="1"/>
  <c r="P58" i="1"/>
  <c r="R58" i="1" s="1"/>
  <c r="O65" i="1"/>
  <c r="Q65" i="1" s="1"/>
  <c r="O70" i="1"/>
  <c r="Q70" i="1" s="1"/>
  <c r="O77" i="1"/>
  <c r="Q77" i="1" s="1"/>
  <c r="O83" i="1"/>
  <c r="Q83" i="1" s="1"/>
  <c r="O88" i="1"/>
  <c r="Q88" i="1" s="1"/>
  <c r="P92" i="1"/>
  <c r="R92" i="1" s="1"/>
  <c r="O95" i="1"/>
  <c r="Q95" i="1" s="1"/>
  <c r="O98" i="1"/>
  <c r="Q98" i="1" s="1"/>
  <c r="P101" i="1"/>
  <c r="R101" i="1" s="1"/>
  <c r="P104" i="1"/>
  <c r="R104" i="1" s="1"/>
  <c r="O107" i="1"/>
  <c r="Q107" i="1" s="1"/>
  <c r="P110" i="1"/>
  <c r="R110" i="1" s="1"/>
  <c r="P113" i="1"/>
  <c r="R113" i="1" s="1"/>
  <c r="P116" i="1"/>
  <c r="R116" i="1" s="1"/>
  <c r="O120" i="1"/>
  <c r="Q120" i="1" s="1"/>
  <c r="P122" i="1"/>
  <c r="R122" i="1" s="1"/>
  <c r="P125" i="1"/>
  <c r="R125" i="1" s="1"/>
  <c r="O129" i="1"/>
  <c r="Q129" i="1" s="1"/>
  <c r="O132" i="1"/>
  <c r="Q132" i="1" s="1"/>
  <c r="P134" i="1"/>
  <c r="R134" i="1" s="1"/>
  <c r="O138" i="1"/>
  <c r="Q138" i="1" s="1"/>
  <c r="O141" i="1"/>
  <c r="Q141" i="1" s="1"/>
  <c r="O144" i="1"/>
  <c r="Q144" i="1" s="1"/>
  <c r="O147" i="1"/>
  <c r="Q147" i="1" s="1"/>
  <c r="O150" i="1"/>
  <c r="Q150" i="1" s="1"/>
  <c r="O153" i="1"/>
  <c r="Q153" i="1" s="1"/>
  <c r="P156" i="1"/>
  <c r="R156" i="1" s="1"/>
  <c r="O159" i="1"/>
  <c r="Q159" i="1" s="1"/>
  <c r="O162" i="1"/>
  <c r="Q162" i="1" s="1"/>
  <c r="P165" i="1"/>
  <c r="R165" i="1" s="1"/>
  <c r="P168" i="1"/>
  <c r="R168" i="1" s="1"/>
  <c r="O171" i="1"/>
  <c r="Q171" i="1" s="1"/>
  <c r="P174" i="1"/>
  <c r="R174" i="1" s="1"/>
  <c r="P177" i="1"/>
  <c r="R177" i="1" s="1"/>
  <c r="P180" i="1"/>
  <c r="R180" i="1" s="1"/>
  <c r="O184" i="1"/>
  <c r="Q184" i="1" s="1"/>
  <c r="P186" i="1"/>
  <c r="R186" i="1" s="1"/>
  <c r="P189" i="1"/>
  <c r="R189" i="1" s="1"/>
  <c r="P192" i="1"/>
  <c r="R192" i="1" s="1"/>
  <c r="P194" i="1"/>
  <c r="R194" i="1" s="1"/>
  <c r="O197" i="1"/>
  <c r="Q197" i="1" s="1"/>
  <c r="O199" i="1"/>
  <c r="Q199" i="1" s="1"/>
  <c r="P201" i="1"/>
  <c r="R201" i="1" s="1"/>
  <c r="O204" i="1"/>
  <c r="Q204" i="1" s="1"/>
  <c r="O206" i="1"/>
  <c r="Q206" i="1" s="1"/>
  <c r="P208" i="1"/>
  <c r="R208" i="1" s="1"/>
  <c r="P210" i="1"/>
  <c r="R210" i="1" s="1"/>
  <c r="O213" i="1"/>
  <c r="Q213" i="1" s="1"/>
  <c r="O215" i="1"/>
  <c r="Q215" i="1" s="1"/>
  <c r="P217" i="1"/>
  <c r="R217" i="1" s="1"/>
  <c r="O220" i="1"/>
  <c r="Q220" i="1" s="1"/>
  <c r="O222" i="1"/>
  <c r="Q222" i="1" s="1"/>
  <c r="P224" i="1"/>
  <c r="R224" i="1" s="1"/>
  <c r="P226" i="1"/>
  <c r="R226" i="1" s="1"/>
  <c r="O229" i="1"/>
  <c r="Q229" i="1" s="1"/>
  <c r="O231" i="1"/>
  <c r="Q231" i="1" s="1"/>
  <c r="O237" i="1"/>
  <c r="P37" i="1"/>
  <c r="R37" i="1" s="1"/>
  <c r="O56" i="1"/>
  <c r="Q56" i="1" s="1"/>
  <c r="O68" i="1"/>
  <c r="Q68" i="1" s="1"/>
  <c r="O74" i="1"/>
  <c r="Q74" i="1" s="1"/>
  <c r="O86" i="1"/>
  <c r="Q86" i="1" s="1"/>
  <c r="P93" i="1"/>
  <c r="R93" i="1" s="1"/>
  <c r="O100" i="1"/>
  <c r="Q100" i="1" s="1"/>
  <c r="O106" i="1"/>
  <c r="Q106" i="1" s="1"/>
  <c r="O112" i="1"/>
  <c r="Q112" i="1" s="1"/>
  <c r="O118" i="1"/>
  <c r="Q118" i="1" s="1"/>
  <c r="P124" i="1"/>
  <c r="R124" i="1" s="1"/>
  <c r="O130" i="1"/>
  <c r="Q130" i="1" s="1"/>
  <c r="O139" i="1"/>
  <c r="Q139" i="1" s="1"/>
  <c r="P145" i="1"/>
  <c r="R145" i="1" s="1"/>
  <c r="O152" i="1"/>
  <c r="Q152" i="1" s="1"/>
  <c r="P157" i="1"/>
  <c r="R157" i="1" s="1"/>
  <c r="O164" i="1"/>
  <c r="Q164" i="1" s="1"/>
  <c r="P166" i="1"/>
  <c r="R166" i="1" s="1"/>
  <c r="O173" i="1"/>
  <c r="Q173" i="1" s="1"/>
  <c r="O179" i="1"/>
  <c r="Q179" i="1" s="1"/>
  <c r="O185" i="1"/>
  <c r="Q185" i="1" s="1"/>
  <c r="O191" i="1"/>
  <c r="Q191" i="1" s="1"/>
  <c r="O196" i="1"/>
  <c r="Q196" i="1" s="1"/>
  <c r="P200" i="1"/>
  <c r="R200" i="1" s="1"/>
  <c r="O205" i="1"/>
  <c r="Q205" i="1" s="1"/>
  <c r="P209" i="1"/>
  <c r="R209" i="1" s="1"/>
  <c r="O214" i="1"/>
  <c r="Q214" i="1" s="1"/>
  <c r="P218" i="1"/>
  <c r="R218" i="1" s="1"/>
  <c r="O223" i="1"/>
  <c r="Q223" i="1" s="1"/>
  <c r="O228" i="1"/>
  <c r="Q228" i="1" s="1"/>
  <c r="P232" i="1"/>
  <c r="R232" i="1" s="1"/>
  <c r="O239" i="1"/>
  <c r="P26" i="1"/>
  <c r="R26" i="1" s="1"/>
  <c r="O36" i="1"/>
  <c r="Q36" i="1" s="1"/>
  <c r="O45" i="1"/>
  <c r="Q45" i="1" s="1"/>
  <c r="O54" i="1"/>
  <c r="Q54" i="1" s="1"/>
  <c r="P60" i="1"/>
  <c r="R60" i="1" s="1"/>
  <c r="P65" i="1"/>
  <c r="R65" i="1" s="1"/>
  <c r="P72" i="1"/>
  <c r="R72" i="1" s="1"/>
  <c r="P78" i="1"/>
  <c r="R78" i="1" s="1"/>
  <c r="O84" i="1"/>
  <c r="Q84" i="1" s="1"/>
  <c r="P89" i="1"/>
  <c r="R89" i="1" s="1"/>
  <c r="O93" i="1"/>
  <c r="Q93" i="1" s="1"/>
  <c r="O96" i="1"/>
  <c r="Q96" i="1" s="1"/>
  <c r="O99" i="1"/>
  <c r="Q99" i="1" s="1"/>
  <c r="O102" i="1"/>
  <c r="Q102" i="1" s="1"/>
  <c r="O105" i="1"/>
  <c r="Q105" i="1" s="1"/>
  <c r="P108" i="1"/>
  <c r="R108" i="1" s="1"/>
  <c r="O111" i="1"/>
  <c r="Q111" i="1" s="1"/>
  <c r="O114" i="1"/>
  <c r="Q114" i="1" s="1"/>
  <c r="P117" i="1"/>
  <c r="R117" i="1" s="1"/>
  <c r="P120" i="1"/>
  <c r="R120" i="1" s="1"/>
  <c r="O123" i="1"/>
  <c r="Q123" i="1" s="1"/>
  <c r="P126" i="1"/>
  <c r="R126" i="1" s="1"/>
  <c r="P129" i="1"/>
  <c r="R129" i="1" s="1"/>
  <c r="P132" i="1"/>
  <c r="R132" i="1" s="1"/>
  <c r="O136" i="1"/>
  <c r="Q136" i="1" s="1"/>
  <c r="P138" i="1"/>
  <c r="R138" i="1" s="1"/>
  <c r="P141" i="1"/>
  <c r="R141" i="1" s="1"/>
  <c r="O145" i="1"/>
  <c r="Q145" i="1" s="1"/>
  <c r="O148" i="1"/>
  <c r="Q148" i="1" s="1"/>
  <c r="P150" i="1"/>
  <c r="R150" i="1" s="1"/>
  <c r="O154" i="1"/>
  <c r="Q154" i="1" s="1"/>
  <c r="O157" i="1"/>
  <c r="Q157" i="1" s="1"/>
  <c r="O160" i="1"/>
  <c r="Q160" i="1" s="1"/>
  <c r="O163" i="1"/>
  <c r="Q163" i="1" s="1"/>
  <c r="O166" i="1"/>
  <c r="Q166" i="1" s="1"/>
  <c r="O169" i="1"/>
  <c r="Q169" i="1" s="1"/>
  <c r="P172" i="1"/>
  <c r="R172" i="1" s="1"/>
  <c r="O175" i="1"/>
  <c r="Q175" i="1" s="1"/>
  <c r="O178" i="1"/>
  <c r="Q178" i="1" s="1"/>
  <c r="P181" i="1"/>
  <c r="R181" i="1" s="1"/>
  <c r="P184" i="1"/>
  <c r="R184" i="1" s="1"/>
  <c r="O187" i="1"/>
  <c r="Q187" i="1" s="1"/>
  <c r="P190" i="1"/>
  <c r="R190" i="1" s="1"/>
  <c r="O193" i="1"/>
  <c r="Q193" i="1" s="1"/>
  <c r="O195" i="1"/>
  <c r="Q195" i="1" s="1"/>
  <c r="P197" i="1"/>
  <c r="R197" i="1" s="1"/>
  <c r="O200" i="1"/>
  <c r="Q200" i="1" s="1"/>
  <c r="O202" i="1"/>
  <c r="Q202" i="1" s="1"/>
  <c r="P204" i="1"/>
  <c r="R204" i="1" s="1"/>
  <c r="P206" i="1"/>
  <c r="R206" i="1" s="1"/>
  <c r="O209" i="1"/>
  <c r="Q209" i="1" s="1"/>
  <c r="O211" i="1"/>
  <c r="Q211" i="1" s="1"/>
  <c r="P213" i="1"/>
  <c r="R213" i="1" s="1"/>
  <c r="O216" i="1"/>
  <c r="Q216" i="1" s="1"/>
  <c r="O218" i="1"/>
  <c r="Q218" i="1" s="1"/>
  <c r="P220" i="1"/>
  <c r="R220" i="1" s="1"/>
  <c r="P222" i="1"/>
  <c r="R222" i="1" s="1"/>
  <c r="O225" i="1"/>
  <c r="Q225" i="1" s="1"/>
  <c r="O227" i="1"/>
  <c r="Q227" i="1" s="1"/>
  <c r="P229" i="1"/>
  <c r="R229" i="1" s="1"/>
  <c r="O232" i="1"/>
  <c r="Q232" i="1" s="1"/>
  <c r="O234" i="1"/>
  <c r="O238" i="1"/>
  <c r="P28" i="1"/>
  <c r="R28" i="1" s="1"/>
  <c r="P46" i="1"/>
  <c r="R46" i="1" s="1"/>
  <c r="O61" i="1"/>
  <c r="Q61" i="1" s="1"/>
  <c r="O79" i="1"/>
  <c r="Q79" i="1" s="1"/>
  <c r="O90" i="1"/>
  <c r="Q90" i="1" s="1"/>
  <c r="O97" i="1"/>
  <c r="Q97" i="1" s="1"/>
  <c r="P102" i="1"/>
  <c r="R102" i="1" s="1"/>
  <c r="O109" i="1"/>
  <c r="Q109" i="1" s="1"/>
  <c r="O115" i="1"/>
  <c r="Q115" i="1" s="1"/>
  <c r="O121" i="1"/>
  <c r="Q121" i="1" s="1"/>
  <c r="O127" i="1"/>
  <c r="Q127" i="1" s="1"/>
  <c r="P133" i="1"/>
  <c r="R133" i="1" s="1"/>
  <c r="P136" i="1"/>
  <c r="R136" i="1" s="1"/>
  <c r="P142" i="1"/>
  <c r="R142" i="1" s="1"/>
  <c r="P148" i="1"/>
  <c r="R148" i="1" s="1"/>
  <c r="P154" i="1"/>
  <c r="R154" i="1" s="1"/>
  <c r="O161" i="1"/>
  <c r="Q161" i="1" s="1"/>
  <c r="O170" i="1"/>
  <c r="Q170" i="1" s="1"/>
  <c r="O176" i="1"/>
  <c r="Q176" i="1" s="1"/>
  <c r="O182" i="1"/>
  <c r="Q182" i="1" s="1"/>
  <c r="P188" i="1"/>
  <c r="R188" i="1" s="1"/>
  <c r="P193" i="1"/>
  <c r="R193" i="1" s="1"/>
  <c r="O198" i="1"/>
  <c r="Q198" i="1" s="1"/>
  <c r="P202" i="1"/>
  <c r="R202" i="1" s="1"/>
  <c r="O207" i="1"/>
  <c r="Q207" i="1" s="1"/>
  <c r="O212" i="1"/>
  <c r="Q212" i="1" s="1"/>
  <c r="P216" i="1"/>
  <c r="R216" i="1" s="1"/>
  <c r="O221" i="1"/>
  <c r="Q221" i="1" s="1"/>
  <c r="P225" i="1"/>
  <c r="R225" i="1" s="1"/>
  <c r="O230" i="1"/>
  <c r="Q230" i="1" s="1"/>
  <c r="O235" i="1"/>
  <c r="P40" i="1"/>
  <c r="R40" i="1" s="1"/>
  <c r="P69" i="1"/>
  <c r="R69" i="1" s="1"/>
  <c r="P90" i="1"/>
  <c r="R90" i="1" s="1"/>
  <c r="O104" i="1"/>
  <c r="Q104" i="1" s="1"/>
  <c r="O116" i="1"/>
  <c r="Q116" i="1" s="1"/>
  <c r="O128" i="1"/>
  <c r="Q128" i="1" s="1"/>
  <c r="P140" i="1"/>
  <c r="R140" i="1" s="1"/>
  <c r="P152" i="1"/>
  <c r="R152" i="1" s="1"/>
  <c r="P164" i="1"/>
  <c r="R164" i="1" s="1"/>
  <c r="O177" i="1"/>
  <c r="Q177" i="1" s="1"/>
  <c r="O189" i="1"/>
  <c r="Q189" i="1" s="1"/>
  <c r="P198" i="1"/>
  <c r="R198" i="1" s="1"/>
  <c r="O208" i="1"/>
  <c r="Q208" i="1" s="1"/>
  <c r="O217" i="1"/>
  <c r="Q217" i="1" s="1"/>
  <c r="O226" i="1"/>
  <c r="Q226" i="1" s="1"/>
  <c r="O236" i="1"/>
  <c r="P56" i="1"/>
  <c r="R56" i="1" s="1"/>
  <c r="P97" i="1"/>
  <c r="R97" i="1" s="1"/>
  <c r="O122" i="1"/>
  <c r="Q122" i="1" s="1"/>
  <c r="O146" i="1"/>
  <c r="Q146" i="1" s="1"/>
  <c r="P170" i="1"/>
  <c r="R170" i="1" s="1"/>
  <c r="O194" i="1"/>
  <c r="Q194" i="1" s="1"/>
  <c r="P212" i="1"/>
  <c r="R212" i="1" s="1"/>
  <c r="P230" i="1"/>
  <c r="R230" i="1" s="1"/>
  <c r="O31" i="1"/>
  <c r="Q31" i="1" s="1"/>
  <c r="O87" i="1"/>
  <c r="Q87" i="1" s="1"/>
  <c r="O113" i="1"/>
  <c r="Q113" i="1" s="1"/>
  <c r="O137" i="1"/>
  <c r="Q137" i="1" s="1"/>
  <c r="P161" i="1"/>
  <c r="R161" i="1" s="1"/>
  <c r="O186" i="1"/>
  <c r="Q186" i="1" s="1"/>
  <c r="P205" i="1"/>
  <c r="R205" i="1" s="1"/>
  <c r="O224" i="1"/>
  <c r="Q224" i="1" s="1"/>
  <c r="P49" i="1"/>
  <c r="R49" i="1" s="1"/>
  <c r="P74" i="1"/>
  <c r="R74" i="1" s="1"/>
  <c r="P94" i="1"/>
  <c r="R94" i="1" s="1"/>
  <c r="P106" i="1"/>
  <c r="R106" i="1" s="1"/>
  <c r="P118" i="1"/>
  <c r="R118" i="1" s="1"/>
  <c r="O131" i="1"/>
  <c r="Q131" i="1" s="1"/>
  <c r="O143" i="1"/>
  <c r="Q143" i="1" s="1"/>
  <c r="O155" i="1"/>
  <c r="Q155" i="1" s="1"/>
  <c r="O168" i="1"/>
  <c r="Q168" i="1" s="1"/>
  <c r="O180" i="1"/>
  <c r="Q180" i="1" s="1"/>
  <c r="O192" i="1"/>
  <c r="Q192" i="1" s="1"/>
  <c r="O201" i="1"/>
  <c r="Q201" i="1" s="1"/>
  <c r="O210" i="1"/>
  <c r="Q210" i="1" s="1"/>
  <c r="O219" i="1"/>
  <c r="Q219" i="1" s="1"/>
  <c r="P228" i="1"/>
  <c r="R228" i="1" s="1"/>
  <c r="O23" i="1"/>
  <c r="Q23" i="1" s="1"/>
  <c r="P81" i="1"/>
  <c r="R81" i="1" s="1"/>
  <c r="P109" i="1"/>
  <c r="R109" i="1" s="1"/>
  <c r="O134" i="1"/>
  <c r="Q134" i="1" s="1"/>
  <c r="P158" i="1"/>
  <c r="R158" i="1" s="1"/>
  <c r="P182" i="1"/>
  <c r="R182" i="1" s="1"/>
  <c r="O203" i="1"/>
  <c r="Q203" i="1" s="1"/>
  <c r="P221" i="1"/>
  <c r="R221" i="1" s="1"/>
  <c r="O63" i="1"/>
  <c r="Q63" i="1" s="1"/>
  <c r="P100" i="1"/>
  <c r="R100" i="1" s="1"/>
  <c r="O125" i="1"/>
  <c r="Q125" i="1" s="1"/>
  <c r="P149" i="1"/>
  <c r="R149" i="1" s="1"/>
  <c r="P173" i="1"/>
  <c r="R173" i="1" s="1"/>
  <c r="P196" i="1"/>
  <c r="R196" i="1" s="1"/>
  <c r="P214" i="1"/>
  <c r="R214" i="1" s="1"/>
  <c r="O233" i="1"/>
  <c r="P231" i="1"/>
  <c r="R231" i="1" s="1"/>
  <c r="P35" i="1"/>
  <c r="R35" i="1" s="1"/>
  <c r="P51" i="1"/>
  <c r="R51" i="1" s="1"/>
  <c r="P67" i="1"/>
  <c r="R67" i="1" s="1"/>
  <c r="P83" i="1"/>
  <c r="R83" i="1" s="1"/>
  <c r="P99" i="1"/>
  <c r="R99" i="1" s="1"/>
  <c r="P115" i="1"/>
  <c r="R115" i="1" s="1"/>
  <c r="P131" i="1"/>
  <c r="R131" i="1" s="1"/>
  <c r="P147" i="1"/>
  <c r="R147" i="1" s="1"/>
  <c r="P163" i="1"/>
  <c r="R163" i="1" s="1"/>
  <c r="P179" i="1"/>
  <c r="R179" i="1" s="1"/>
  <c r="P195" i="1"/>
  <c r="R195" i="1" s="1"/>
  <c r="P211" i="1"/>
  <c r="R211" i="1" s="1"/>
  <c r="P227" i="1"/>
  <c r="R227" i="1" s="1"/>
  <c r="P238" i="1" l="1"/>
  <c r="R238" i="1" s="1"/>
  <c r="Q238" i="1"/>
  <c r="P236" i="1"/>
  <c r="R236" i="1" s="1"/>
  <c r="Q236" i="1"/>
  <c r="P235" i="1"/>
  <c r="R235" i="1" s="1"/>
  <c r="Q235" i="1"/>
  <c r="P234" i="1"/>
  <c r="R234" i="1" s="1"/>
  <c r="Q234" i="1"/>
  <c r="P233" i="1"/>
  <c r="R233" i="1" s="1"/>
  <c r="Q233" i="1"/>
  <c r="P239" i="1"/>
  <c r="R239" i="1" s="1"/>
  <c r="Q239" i="1"/>
  <c r="Q237" i="1"/>
  <c r="P237" i="1"/>
  <c r="R237" i="1" s="1"/>
  <c r="C6" i="8" l="1"/>
  <c r="C7" i="8" s="1"/>
  <c r="A5" i="8"/>
  <c r="C5" i="8"/>
  <c r="A6" i="8"/>
  <c r="A7" i="8" s="1"/>
</calcChain>
</file>

<file path=xl/sharedStrings.xml><?xml version="1.0" encoding="utf-8"?>
<sst xmlns="http://schemas.openxmlformats.org/spreadsheetml/2006/main" count="31536" uniqueCount="9556">
  <si>
    <t>Type</t>
  </si>
  <si>
    <t>Acompte</t>
  </si>
  <si>
    <t>Frais de Port</t>
  </si>
  <si>
    <t>Escompte</t>
  </si>
  <si>
    <t>Facture Réglée</t>
  </si>
  <si>
    <t>Vendeur</t>
  </si>
  <si>
    <t>Commission VRP réglée</t>
  </si>
  <si>
    <t>Avoir</t>
  </si>
  <si>
    <t>RemRelance</t>
  </si>
  <si>
    <t>CommUnitaire</t>
  </si>
  <si>
    <t>SORTIE</t>
  </si>
  <si>
    <t>Quantité</t>
  </si>
  <si>
    <t>INJOBP683B</t>
  </si>
  <si>
    <t>BOUFFADOU</t>
  </si>
  <si>
    <t>IC3E</t>
  </si>
  <si>
    <t>IC3B</t>
  </si>
  <si>
    <t>IC5E</t>
  </si>
  <si>
    <t>IC5B</t>
  </si>
  <si>
    <t>IC7E</t>
  </si>
  <si>
    <t>INBAN017</t>
  </si>
  <si>
    <t>INBAN022</t>
  </si>
  <si>
    <t>INBAN009</t>
  </si>
  <si>
    <t>INJON007</t>
  </si>
  <si>
    <t>INBAN051</t>
  </si>
  <si>
    <t>INBAN053</t>
  </si>
  <si>
    <t>INBAN047</t>
  </si>
  <si>
    <t>INK085</t>
  </si>
  <si>
    <t>INJOBP629</t>
  </si>
  <si>
    <t>INF166</t>
  </si>
  <si>
    <t>INMI069</t>
  </si>
  <si>
    <t>INJON014</t>
  </si>
  <si>
    <t>INC02</t>
  </si>
  <si>
    <t>INMA15</t>
  </si>
  <si>
    <t>PINCE01</t>
  </si>
  <si>
    <t>PELLE01</t>
  </si>
  <si>
    <t>INJOBP180G</t>
  </si>
  <si>
    <t>INJOBP180Y</t>
  </si>
  <si>
    <t>IC4E</t>
  </si>
  <si>
    <t>IC4B</t>
  </si>
  <si>
    <t>IC1E</t>
  </si>
  <si>
    <t>IC1B</t>
  </si>
  <si>
    <t>IC7B</t>
  </si>
  <si>
    <t>INJOB802A</t>
  </si>
  <si>
    <t>IC8E</t>
  </si>
  <si>
    <t>IC8B</t>
  </si>
  <si>
    <t>INJOBP628</t>
  </si>
  <si>
    <t>INMO009R</t>
  </si>
  <si>
    <t>INMO009B</t>
  </si>
  <si>
    <t>INJOBP180B</t>
  </si>
  <si>
    <t>INBAN058</t>
  </si>
  <si>
    <t>KP001</t>
  </si>
  <si>
    <t>INBAN064</t>
  </si>
  <si>
    <t>INBAN013</t>
  </si>
  <si>
    <t>INJOBP511</t>
  </si>
  <si>
    <t>INBAN066</t>
  </si>
  <si>
    <t>INBAN067</t>
  </si>
  <si>
    <t>INBAN055</t>
  </si>
  <si>
    <t>INBAN025</t>
  </si>
  <si>
    <t>INC18</t>
  </si>
  <si>
    <t>INC20</t>
  </si>
  <si>
    <t>INJH005</t>
  </si>
  <si>
    <t>INMI146</t>
  </si>
  <si>
    <t>INJOBP684</t>
  </si>
  <si>
    <t>INBAN014</t>
  </si>
  <si>
    <t>INBAN030</t>
  </si>
  <si>
    <t>INJOBP595</t>
  </si>
  <si>
    <t>INJH007</t>
  </si>
  <si>
    <t>INJH008</t>
  </si>
  <si>
    <t>INBAN057</t>
  </si>
  <si>
    <t>IC4DB</t>
  </si>
  <si>
    <t>INJON008</t>
  </si>
  <si>
    <t>INJOBP652</t>
  </si>
  <si>
    <t>IDYCOC28B</t>
  </si>
  <si>
    <t>INJOB521C</t>
  </si>
  <si>
    <t>INMO011B</t>
  </si>
  <si>
    <t>INMO011R</t>
  </si>
  <si>
    <t>INBAN001</t>
  </si>
  <si>
    <t>INMO025</t>
  </si>
  <si>
    <t>INMI135</t>
  </si>
  <si>
    <t>INJOB424</t>
  </si>
  <si>
    <t>INF072C</t>
  </si>
  <si>
    <t>INJOBP007I</t>
  </si>
  <si>
    <t>INJOBP153</t>
  </si>
  <si>
    <t>INBAN054</t>
  </si>
  <si>
    <t>INJOB521B</t>
  </si>
  <si>
    <t>INJOB524B</t>
  </si>
  <si>
    <t>INJOB524N</t>
  </si>
  <si>
    <t>INMI076</t>
  </si>
  <si>
    <t>INBAN024</t>
  </si>
  <si>
    <t>INJOBP238B</t>
  </si>
  <si>
    <t>INJOBP238A</t>
  </si>
  <si>
    <t>IDYTRS01</t>
  </si>
  <si>
    <t>INMO026</t>
  </si>
  <si>
    <t>INBAN052</t>
  </si>
  <si>
    <t>INJOBP653</t>
  </si>
  <si>
    <t>INJOBP632</t>
  </si>
  <si>
    <t>INBAN004</t>
  </si>
  <si>
    <t>INMI133</t>
  </si>
  <si>
    <t>IDLV06</t>
  </si>
  <si>
    <t>IDLV25</t>
  </si>
  <si>
    <t>INBAN003</t>
  </si>
  <si>
    <t>INJOBP667</t>
  </si>
  <si>
    <t>IC1Y</t>
  </si>
  <si>
    <t>IC1G</t>
  </si>
  <si>
    <t>IC1T</t>
  </si>
  <si>
    <t>INMO035</t>
  </si>
  <si>
    <t>INMI158</t>
  </si>
  <si>
    <t>IDLV26B</t>
  </si>
  <si>
    <t>INBAN019</t>
  </si>
  <si>
    <t>INJOBP119</t>
  </si>
  <si>
    <t>INJOBP118</t>
  </si>
  <si>
    <t>INMI156</t>
  </si>
  <si>
    <t>INMI157</t>
  </si>
  <si>
    <t>INMA17</t>
  </si>
  <si>
    <t>INJOBP075</t>
  </si>
  <si>
    <t>INMI147</t>
  </si>
  <si>
    <t>IC3G</t>
  </si>
  <si>
    <t>IC3Y</t>
  </si>
  <si>
    <t>IC4G</t>
  </si>
  <si>
    <t>IC4Y</t>
  </si>
  <si>
    <t>IC7G</t>
  </si>
  <si>
    <t>IC7Y</t>
  </si>
  <si>
    <t>IC8G</t>
  </si>
  <si>
    <t>IC8Y</t>
  </si>
  <si>
    <t>NumFacture</t>
  </si>
  <si>
    <t>NumClient</t>
  </si>
  <si>
    <t>NumLignDetFact</t>
  </si>
  <si>
    <t>Ref_produit</t>
  </si>
  <si>
    <t>Nom de la société</t>
  </si>
  <si>
    <t>Adress1</t>
  </si>
  <si>
    <t>Adress1b</t>
  </si>
  <si>
    <t>Code postal</t>
  </si>
  <si>
    <t>Ville</t>
  </si>
  <si>
    <t>Réfpays</t>
  </si>
  <si>
    <t>Civilite1</t>
  </si>
  <si>
    <t>Type Client</t>
  </si>
  <si>
    <t>N° de TVA CEE</t>
  </si>
  <si>
    <t>Datecreation</t>
  </si>
  <si>
    <t>1 rue de Perceval</t>
  </si>
  <si>
    <t/>
  </si>
  <si>
    <t>75014</t>
  </si>
  <si>
    <t>PARIS</t>
  </si>
  <si>
    <t>France</t>
  </si>
  <si>
    <t>PARTICULIER</t>
  </si>
  <si>
    <t>13 rue Scipion</t>
  </si>
  <si>
    <t>75005</t>
  </si>
  <si>
    <t>25 rue du Faubourg Poissonière</t>
  </si>
  <si>
    <t>75009</t>
  </si>
  <si>
    <t>244 rue de Rivoli</t>
  </si>
  <si>
    <t>75001</t>
  </si>
  <si>
    <t>1 rue Jean Jaurès</t>
  </si>
  <si>
    <t>78600</t>
  </si>
  <si>
    <t>LE MESNIL le ROI</t>
  </si>
  <si>
    <t>11 bis rue Cantin</t>
  </si>
  <si>
    <t>92400</t>
  </si>
  <si>
    <t>COURBEVOIE</t>
  </si>
  <si>
    <t>4 Bvd de Port Royal</t>
  </si>
  <si>
    <t>Champ de la Perraudière</t>
  </si>
  <si>
    <t>49170</t>
  </si>
  <si>
    <t>St MARTIN DU FOUILLOUX</t>
  </si>
  <si>
    <t>147 bis rue de Silly</t>
  </si>
  <si>
    <t>92100</t>
  </si>
  <si>
    <t>14 rue Bridaine</t>
  </si>
  <si>
    <t>75017</t>
  </si>
  <si>
    <t>11 rue Emile Dubois</t>
  </si>
  <si>
    <t>9 rue Dareau</t>
  </si>
  <si>
    <t>Madame</t>
  </si>
  <si>
    <t>1 rue Félix</t>
  </si>
  <si>
    <t>69003</t>
  </si>
  <si>
    <t>LYON</t>
  </si>
  <si>
    <t>1 allée des Meilliers</t>
  </si>
  <si>
    <t>94500</t>
  </si>
  <si>
    <t>CHAMPIGNY sur MARNE</t>
  </si>
  <si>
    <t>32 avenue E. Boutroux</t>
  </si>
  <si>
    <t>92120</t>
  </si>
  <si>
    <t>MONTROUGE</t>
  </si>
  <si>
    <t>2bis avenue des Abeilles</t>
  </si>
  <si>
    <t>77270</t>
  </si>
  <si>
    <t>VILLEPARISIS</t>
  </si>
  <si>
    <t>25 rue St Vincent de Paul</t>
  </si>
  <si>
    <t>75010</t>
  </si>
  <si>
    <t>63 rue Charles Nodier</t>
  </si>
  <si>
    <t>93500</t>
  </si>
  <si>
    <t>PANTIN</t>
  </si>
  <si>
    <t>14 rue Bleue</t>
  </si>
  <si>
    <t>22 rue Condorcet</t>
  </si>
  <si>
    <t>4 square Ernest Defay</t>
  </si>
  <si>
    <t>78280</t>
  </si>
  <si>
    <t>GUYANCOURT</t>
  </si>
  <si>
    <t>143 rue d'Alesia</t>
  </si>
  <si>
    <t>22 rue Melingue</t>
  </si>
  <si>
    <t>75019</t>
  </si>
  <si>
    <t>33 rue Brochant</t>
  </si>
  <si>
    <t>10 rue Camille Pelletan</t>
  </si>
  <si>
    <t>92300</t>
  </si>
  <si>
    <t>LEVALLOIS-PERRET</t>
  </si>
  <si>
    <t>6 rue de l'Abbé Groult</t>
  </si>
  <si>
    <t>75015</t>
  </si>
  <si>
    <t>80 rue des Plaideurs</t>
  </si>
  <si>
    <t>92000</t>
  </si>
  <si>
    <t>NANTERRE</t>
  </si>
  <si>
    <t>2 rue du renard</t>
  </si>
  <si>
    <t>75004</t>
  </si>
  <si>
    <t>16 rue de Poissy</t>
  </si>
  <si>
    <t>78100</t>
  </si>
  <si>
    <t>St GERMAIN en LAYE</t>
  </si>
  <si>
    <t>4 rue Duperré</t>
  </si>
  <si>
    <t>71 rue Danton</t>
  </si>
  <si>
    <t>23 rue de Cronstadt</t>
  </si>
  <si>
    <t>Bat C</t>
  </si>
  <si>
    <t>56 rue du Chemin Vert</t>
  </si>
  <si>
    <t>1 rue Théophile Roussel</t>
  </si>
  <si>
    <t>75012</t>
  </si>
  <si>
    <t>17/19 rue Frédéric Chopin</t>
  </si>
  <si>
    <t>92160</t>
  </si>
  <si>
    <t>ANTONY</t>
  </si>
  <si>
    <t>4 rue Georges Auric</t>
  </si>
  <si>
    <t>37 rue de la Plaine</t>
  </si>
  <si>
    <t>75020</t>
  </si>
  <si>
    <t>32 Bd de Reuilly</t>
  </si>
  <si>
    <t>22 rue Mélingue</t>
  </si>
  <si>
    <t>2 rue de Colmar</t>
  </si>
  <si>
    <t>94300</t>
  </si>
  <si>
    <t>VINCENNES</t>
  </si>
  <si>
    <t>17 rue Lagrange</t>
  </si>
  <si>
    <t>3 rue Soufflot</t>
  </si>
  <si>
    <t>54 rue de la Verrerie</t>
  </si>
  <si>
    <t>38 avenue Daumesnil</t>
  </si>
  <si>
    <t>58 rue Charlot</t>
  </si>
  <si>
    <t>75003</t>
  </si>
  <si>
    <t>47 avenue du docteur Arnol Metter</t>
  </si>
  <si>
    <t>1 allée Rodin</t>
  </si>
  <si>
    <t>93800</t>
  </si>
  <si>
    <t>EPINAY sur SEINE</t>
  </si>
  <si>
    <t>31 rue Bayen</t>
  </si>
  <si>
    <t>2 rue de la Ronce</t>
  </si>
  <si>
    <t>92410</t>
  </si>
  <si>
    <t>VILLE D'AVRAY</t>
  </si>
  <si>
    <t>1 RN10</t>
  </si>
  <si>
    <t>78690</t>
  </si>
  <si>
    <t>LES ESSARTS le ROI</t>
  </si>
  <si>
    <t>Monsieur</t>
  </si>
  <si>
    <t>Domaine de l'Etang Sec</t>
  </si>
  <si>
    <t>78170</t>
  </si>
  <si>
    <t>LA CELLE St CLOUD</t>
  </si>
  <si>
    <t>2 allée Emile Zola</t>
  </si>
  <si>
    <t>91300</t>
  </si>
  <si>
    <t>MASSY PALAISEAU</t>
  </si>
  <si>
    <t>6 rue Adrien Damalix</t>
  </si>
  <si>
    <t>94410</t>
  </si>
  <si>
    <t>SAINT MAURICE</t>
  </si>
  <si>
    <t>46 avenue du Général De Gaulle</t>
  </si>
  <si>
    <t>235 grande rue</t>
  </si>
  <si>
    <t>92380</t>
  </si>
  <si>
    <t>GARCHES</t>
  </si>
  <si>
    <t>32 avenue Pierre Roussaud</t>
  </si>
  <si>
    <t>94110</t>
  </si>
  <si>
    <t>ARCUEUIL</t>
  </si>
  <si>
    <t>M &amp; Mme</t>
  </si>
  <si>
    <t>31 boulevard Georges Seurat</t>
  </si>
  <si>
    <t>92200</t>
  </si>
  <si>
    <t>NEUILLY sur SEINE</t>
  </si>
  <si>
    <t>27 rue Madame</t>
  </si>
  <si>
    <t>75006</t>
  </si>
  <si>
    <t>13 rue des Envierges</t>
  </si>
  <si>
    <t>12 rue d'Austerlitz</t>
  </si>
  <si>
    <t>10/12 rue de Reims</t>
  </si>
  <si>
    <t>75013</t>
  </si>
  <si>
    <t>24 rue de Savies</t>
  </si>
  <si>
    <t>2 bis rue Emile Verhaeven</t>
  </si>
  <si>
    <t>92210</t>
  </si>
  <si>
    <t>St CLOUD</t>
  </si>
  <si>
    <t>26 bis rue Reinhart</t>
  </si>
  <si>
    <t>23 rue Henri IV</t>
  </si>
  <si>
    <t>91360</t>
  </si>
  <si>
    <t>EPINAY sur ORGE</t>
  </si>
  <si>
    <t>3 rue de Kerbiniou</t>
  </si>
  <si>
    <t>22700</t>
  </si>
  <si>
    <t>PERROS GUIREC</t>
  </si>
  <si>
    <t>11 Bvd Lannes</t>
  </si>
  <si>
    <t>75116</t>
  </si>
  <si>
    <t>43 rue des Parigots</t>
  </si>
  <si>
    <t>92150</t>
  </si>
  <si>
    <t>SURESNES</t>
  </si>
  <si>
    <t>182 rue de Charenton</t>
  </si>
  <si>
    <t>8 rue Aupereau</t>
  </si>
  <si>
    <t>75007</t>
  </si>
  <si>
    <t>75 avenue Simon Bolivar</t>
  </si>
  <si>
    <t>27 Impasse St Gilles</t>
  </si>
  <si>
    <t>10600</t>
  </si>
  <si>
    <t>SAVIERES</t>
  </si>
  <si>
    <t>6 allée des Erables</t>
  </si>
  <si>
    <t>91940</t>
  </si>
  <si>
    <t>LES ULIS</t>
  </si>
  <si>
    <t>79 rue de Paris</t>
  </si>
  <si>
    <t>91570</t>
  </si>
  <si>
    <t>BIEVRES</t>
  </si>
  <si>
    <t>9 rue Fagon</t>
  </si>
  <si>
    <t>10 rue Elisée Reclus</t>
  </si>
  <si>
    <t>91120</t>
  </si>
  <si>
    <t>PALAISEAU</t>
  </si>
  <si>
    <t>63 rue Balard</t>
  </si>
  <si>
    <t>1 Impasse de la Roseraie</t>
  </si>
  <si>
    <t>91370</t>
  </si>
  <si>
    <t>VERRIERES LE BUISSON</t>
  </si>
  <si>
    <t>52 rue du Mont Cenis</t>
  </si>
  <si>
    <t>75018</t>
  </si>
  <si>
    <t>51 Boulevard Beauséjour</t>
  </si>
  <si>
    <t>75016</t>
  </si>
  <si>
    <t>16 rue André Pontier</t>
  </si>
  <si>
    <t>94130</t>
  </si>
  <si>
    <t>NOGENT sur MARNE</t>
  </si>
  <si>
    <t>59 rue Saint Charles</t>
  </si>
  <si>
    <t>78 avenue du Maréchal Foch</t>
  </si>
  <si>
    <t>77590</t>
  </si>
  <si>
    <t>BOIS le ROI</t>
  </si>
  <si>
    <t>24 Avenue Théophile Gaultier</t>
  </si>
  <si>
    <t>9 rue de la Croix Saint Firmin</t>
  </si>
  <si>
    <t>91890</t>
  </si>
  <si>
    <t>VIDELLES</t>
  </si>
  <si>
    <t>35 rue de la Gaité</t>
  </si>
  <si>
    <t>Mademoiselle</t>
  </si>
  <si>
    <t>28/30 rue Pradier</t>
  </si>
  <si>
    <t>6 rue André Antoine</t>
  </si>
  <si>
    <t>8 route Neuve</t>
  </si>
  <si>
    <t>GOMETZ le CHATEL</t>
  </si>
  <si>
    <t>260 rue du Faubourg St Martin</t>
  </si>
  <si>
    <t>6 passage Turquetil</t>
  </si>
  <si>
    <t>75011</t>
  </si>
  <si>
    <t>30 rue Sedaine</t>
  </si>
  <si>
    <t>35 rue du Lieutenant Ricard</t>
  </si>
  <si>
    <t>78400</t>
  </si>
  <si>
    <t>CHATOU</t>
  </si>
  <si>
    <t>Vieux Chemin du Bourg</t>
  </si>
  <si>
    <t>60240</t>
  </si>
  <si>
    <t>VAUDANCOURT</t>
  </si>
  <si>
    <t>19 rue du Docteur Finlay</t>
  </si>
  <si>
    <t>3 impasse Jean Beausire</t>
  </si>
  <si>
    <t>Chemin de Beauregard</t>
  </si>
  <si>
    <t>Les Tupinières</t>
  </si>
  <si>
    <t>38200</t>
  </si>
  <si>
    <t>VIENNE</t>
  </si>
  <si>
    <t>17 rue du capitaine Ferber</t>
  </si>
  <si>
    <t>8 rue Pinel</t>
  </si>
  <si>
    <t>14 rue Marcel Yol</t>
  </si>
  <si>
    <t>92170</t>
  </si>
  <si>
    <t>VANVES</t>
  </si>
  <si>
    <t>37 rue Gabrielle</t>
  </si>
  <si>
    <t>7 rue Eugène Varlin</t>
  </si>
  <si>
    <t>94240</t>
  </si>
  <si>
    <t>L'HAY les ROSES</t>
  </si>
  <si>
    <t>13 rue de la comète</t>
  </si>
  <si>
    <t>48 rue du moulin de la pointe</t>
  </si>
  <si>
    <t>12 rue de la Baume</t>
  </si>
  <si>
    <t>04290</t>
  </si>
  <si>
    <t>VOLONNE</t>
  </si>
  <si>
    <t>7 rue Benoit Malon</t>
  </si>
  <si>
    <t>92800</t>
  </si>
  <si>
    <t>PUTEAUX</t>
  </si>
  <si>
    <t>79 rue de la colonie</t>
  </si>
  <si>
    <t>50/52 rue Joliot Curie</t>
  </si>
  <si>
    <t>93100</t>
  </si>
  <si>
    <t>MONTREUIL</t>
  </si>
  <si>
    <t>3 bis rue Pierre Baudry</t>
  </si>
  <si>
    <t>92140</t>
  </si>
  <si>
    <t>CLAMART</t>
  </si>
  <si>
    <t>26 rue Auguste Renoir</t>
  </si>
  <si>
    <t>7 les fonds d'Armenon</t>
  </si>
  <si>
    <t>91470</t>
  </si>
  <si>
    <t>LIMOURS</t>
  </si>
  <si>
    <t>1 rue Jouvène</t>
  </si>
  <si>
    <t>13200</t>
  </si>
  <si>
    <t>ARLES</t>
  </si>
  <si>
    <t>87 avenue de Verdun</t>
  </si>
  <si>
    <t>94200</t>
  </si>
  <si>
    <t>IVRY sur SEINE</t>
  </si>
  <si>
    <t>20 grande rue</t>
  </si>
  <si>
    <t>92420</t>
  </si>
  <si>
    <t>VAUCRESSON</t>
  </si>
  <si>
    <t>2 rue Boyer Barret</t>
  </si>
  <si>
    <t>15 allée des Acacias</t>
  </si>
  <si>
    <t>92310</t>
  </si>
  <si>
    <t>SEVRES</t>
  </si>
  <si>
    <t>2 rue Broussais</t>
  </si>
  <si>
    <t>49 rue Paul Bertin</t>
  </si>
  <si>
    <t>2  rue Eugène Carrière</t>
  </si>
  <si>
    <t>19 rue Pierre Bérégovoy</t>
  </si>
  <si>
    <t>92110</t>
  </si>
  <si>
    <t>CLICHY</t>
  </si>
  <si>
    <t>9  rue Emile Dubois</t>
  </si>
  <si>
    <t>1  route de l'abbaye</t>
  </si>
  <si>
    <t>91190</t>
  </si>
  <si>
    <t>GIF sur YVETTE</t>
  </si>
  <si>
    <t>19bis  rue Dareau</t>
  </si>
  <si>
    <t>34  rue Dareau</t>
  </si>
  <si>
    <t>14  rue Perdonnet</t>
  </si>
  <si>
    <t>1 place des 4 vierges</t>
  </si>
  <si>
    <t>69110</t>
  </si>
  <si>
    <t>St FOY les LYON</t>
  </si>
  <si>
    <t>32  rue Dareau</t>
  </si>
  <si>
    <t>122  rue d'Alésia</t>
  </si>
  <si>
    <t>32 avenue Thierry</t>
  </si>
  <si>
    <t>254 rue de l'Espinousse</t>
  </si>
  <si>
    <t>34090</t>
  </si>
  <si>
    <t>MONTPELLIER</t>
  </si>
  <si>
    <t>10 rue Fessart</t>
  </si>
  <si>
    <t>30  rue Pajol</t>
  </si>
  <si>
    <t>39 boulevard Richelieu</t>
  </si>
  <si>
    <t>92500</t>
  </si>
  <si>
    <t>RUEIL MALMAISON</t>
  </si>
  <si>
    <t>46 avenue Jean Baptiste Clément</t>
  </si>
  <si>
    <t>REVENDEUR</t>
  </si>
  <si>
    <t>43 rue Alain Chartier</t>
  </si>
  <si>
    <t>Paris</t>
  </si>
  <si>
    <t>FR86732021712</t>
  </si>
  <si>
    <t>25 rue de Samois</t>
  </si>
  <si>
    <t>77930</t>
  </si>
  <si>
    <t>CHAILLY en BIERE</t>
  </si>
  <si>
    <t>9 rue Nationale</t>
  </si>
  <si>
    <t>72000</t>
  </si>
  <si>
    <t>LE MANS</t>
  </si>
  <si>
    <t>FR34431388560</t>
  </si>
  <si>
    <t>Kirwan's Lane</t>
  </si>
  <si>
    <t>GALWAY</t>
  </si>
  <si>
    <t>Irlande</t>
  </si>
  <si>
    <t>ANNECY</t>
  </si>
  <si>
    <t>8/10  rue du chef de la ville</t>
  </si>
  <si>
    <t>20 rue Boulard</t>
  </si>
  <si>
    <t>29 rue Désiré le Hoc</t>
  </si>
  <si>
    <t>14800</t>
  </si>
  <si>
    <t>DEAUVILLE</t>
  </si>
  <si>
    <t>FR 36411853666</t>
  </si>
  <si>
    <t>5  rue Alphonse Daudet</t>
  </si>
  <si>
    <t>46  rue des Marronniers</t>
  </si>
  <si>
    <t>91620</t>
  </si>
  <si>
    <t>NOZAY</t>
  </si>
  <si>
    <t>16  rue du Faubourg St Denis</t>
  </si>
  <si>
    <t>89 rue Henri Regnault</t>
  </si>
  <si>
    <t>15  rue Decamps</t>
  </si>
  <si>
    <t>4  rue Joseph Dijon</t>
  </si>
  <si>
    <t>9  rue Dareau</t>
  </si>
  <si>
    <t>17 Japan Crescent</t>
  </si>
  <si>
    <t>N4 4BB</t>
  </si>
  <si>
    <t>LONDON</t>
  </si>
  <si>
    <t>U.K.</t>
  </si>
  <si>
    <t>GB 731 1426 72</t>
  </si>
  <si>
    <t>1  Allée des Cèdres</t>
  </si>
  <si>
    <t>La Fontaine</t>
  </si>
  <si>
    <t>91220</t>
  </si>
  <si>
    <t>BRETIGNY / ORGE</t>
  </si>
  <si>
    <t>24bis  rue des Plantes</t>
  </si>
  <si>
    <t>14bis  rue Oudinot</t>
  </si>
  <si>
    <t>Keravel</t>
  </si>
  <si>
    <t>56250</t>
  </si>
  <si>
    <t>St NOLFF</t>
  </si>
  <si>
    <t>144 rue de Paris</t>
  </si>
  <si>
    <t>24 boulevard Louis Loucheur</t>
  </si>
  <si>
    <t>29 rue Bernard Palissy</t>
  </si>
  <si>
    <t>RUEIL-MALMAISON</t>
  </si>
  <si>
    <t>28 rue Marcellin Berthelot</t>
  </si>
  <si>
    <t>60180</t>
  </si>
  <si>
    <t>NOGENT sur OISE</t>
  </si>
  <si>
    <t>Z.I. de la Bonde</t>
  </si>
  <si>
    <t>3 rue René Cassin</t>
  </si>
  <si>
    <t>91742</t>
  </si>
  <si>
    <t>MASSY Cedex</t>
  </si>
  <si>
    <t>13  rue Simon Dereure</t>
  </si>
  <si>
    <t>71  rue Lepic</t>
  </si>
  <si>
    <t>22  rue d'Hauteville</t>
  </si>
  <si>
    <t>1 allée Davezac</t>
  </si>
  <si>
    <t>33200</t>
  </si>
  <si>
    <t>BORDEAUX</t>
  </si>
  <si>
    <t>2 rue Bartholdi</t>
  </si>
  <si>
    <t>8  rue Fantin Latour</t>
  </si>
  <si>
    <t>6  avenue de Montespan</t>
  </si>
  <si>
    <t>1  rue Ballu</t>
  </si>
  <si>
    <t>16  allée du Bois Moussu</t>
  </si>
  <si>
    <t>77420</t>
  </si>
  <si>
    <t>CHAMPS sur MARNE</t>
  </si>
  <si>
    <t>3  avenue de Lattre de Tassigny</t>
  </si>
  <si>
    <t>32 avenue Jean Baptiste Clément</t>
  </si>
  <si>
    <t>11 rue Fessart</t>
  </si>
  <si>
    <t>29 rue Gounod</t>
  </si>
  <si>
    <t>48 rue Roque de Fillol</t>
  </si>
  <si>
    <t>18/20 rue Vauthier</t>
  </si>
  <si>
    <t>16 rue Louis Pasteur</t>
  </si>
  <si>
    <t>35  avenue Ferdinand Buisson</t>
  </si>
  <si>
    <t>24 rue de la Fontaine Henri IV</t>
  </si>
  <si>
    <t>92370</t>
  </si>
  <si>
    <t>CHAVILLE</t>
  </si>
  <si>
    <t>98 rue Escudier</t>
  </si>
  <si>
    <t>44 avenue Jean Baptiste Clément</t>
  </si>
  <si>
    <t>10  rue des Vieilles Tuileries</t>
  </si>
  <si>
    <t>78950</t>
  </si>
  <si>
    <t>GAMBAIS</t>
  </si>
  <si>
    <t>20 rue Denfert Rochereau</t>
  </si>
  <si>
    <t>11 rue Vauthier</t>
  </si>
  <si>
    <t>9  rue Raffaelli</t>
  </si>
  <si>
    <t>5 rue Mollien</t>
  </si>
  <si>
    <t>93 rue Royale</t>
  </si>
  <si>
    <t>59800</t>
  </si>
  <si>
    <t>LILLE</t>
  </si>
  <si>
    <t>273  boulevard Voltaire</t>
  </si>
  <si>
    <t>36 avenue de Hautmont</t>
  </si>
  <si>
    <t>59420</t>
  </si>
  <si>
    <t>MOUVAUX</t>
  </si>
  <si>
    <t>10  avenue de la Sœur Rosalie</t>
  </si>
  <si>
    <t>19  rue de Ruisseau</t>
  </si>
  <si>
    <t>18  boulevard Soult</t>
  </si>
  <si>
    <t>130  avenue de Suffren</t>
  </si>
  <si>
    <t>Chouchenot</t>
  </si>
  <si>
    <t>25470</t>
  </si>
  <si>
    <t>THIEBOUHANS</t>
  </si>
  <si>
    <t>19  rue des Lyanes</t>
  </si>
  <si>
    <t>28  avenue de la République</t>
  </si>
  <si>
    <t>66 avenue Jean Jaurès</t>
  </si>
  <si>
    <t>9 place d'Arbout</t>
  </si>
  <si>
    <t>28130</t>
  </si>
  <si>
    <t>BOUGLAINVAL</t>
  </si>
  <si>
    <t>6  rue St Laurent</t>
  </si>
  <si>
    <t>Sougères sur Sinotte</t>
  </si>
  <si>
    <t>89470</t>
  </si>
  <si>
    <t>MONETEAU</t>
  </si>
  <si>
    <t>1 allée de la Forêt</t>
  </si>
  <si>
    <t>28170</t>
  </si>
  <si>
    <t>St MAXIME</t>
  </si>
  <si>
    <t>15 avenue Kennedy</t>
  </si>
  <si>
    <t>28100</t>
  </si>
  <si>
    <t>DREUX</t>
  </si>
  <si>
    <t>25 rue Casteres</t>
  </si>
  <si>
    <t>27 allée des Chênes</t>
  </si>
  <si>
    <t>28210</t>
  </si>
  <si>
    <t>CHAUDON</t>
  </si>
  <si>
    <t>1 Parc de la Bérengère</t>
  </si>
  <si>
    <t>9 rue des Peupliers</t>
  </si>
  <si>
    <t>92190</t>
  </si>
  <si>
    <t>MEUDON</t>
  </si>
  <si>
    <t>3  rue St Didier</t>
  </si>
  <si>
    <t>2 route de la Tuillière</t>
  </si>
  <si>
    <t>33370</t>
  </si>
  <si>
    <t>FARGUES St HILAIRE</t>
  </si>
  <si>
    <t>9  rue Montalembert</t>
  </si>
  <si>
    <t>34  cours de Vincennes</t>
  </si>
  <si>
    <t>26  avenue de Breteuil</t>
  </si>
  <si>
    <t>22  rue Balard</t>
  </si>
  <si>
    <t>65  rue de la Tombe Issoire</t>
  </si>
  <si>
    <t>28  avenue de l'Observatoire</t>
  </si>
  <si>
    <t>13  avenue Bosquet</t>
  </si>
  <si>
    <t>138  boulevard du Montparnasse</t>
  </si>
  <si>
    <t>33  rue de Clignancourt</t>
  </si>
  <si>
    <t>139  boulevard St Michel</t>
  </si>
  <si>
    <t>12  rue de Seine</t>
  </si>
  <si>
    <t>31  rue de la Quintine</t>
  </si>
  <si>
    <t>24  rue de Quincy</t>
  </si>
  <si>
    <t>77380</t>
  </si>
  <si>
    <t>COMBS la VILLE</t>
  </si>
  <si>
    <t>71/77  rue du Théâtre</t>
  </si>
  <si>
    <t>10  avenue Raphaël</t>
  </si>
  <si>
    <t>45  rue Clisson</t>
  </si>
  <si>
    <t>317  rue du faubourg St Antoine</t>
  </si>
  <si>
    <t>19  rue Sepre</t>
  </si>
  <si>
    <t>47  boulevard Suchet</t>
  </si>
  <si>
    <t>182  rue Legendre</t>
  </si>
  <si>
    <t>78  rue Raynouard</t>
  </si>
  <si>
    <t>7  rue de Vaugirard</t>
  </si>
  <si>
    <t>165  rue Marcadet</t>
  </si>
  <si>
    <t>Messieurs</t>
  </si>
  <si>
    <t>162 avenue Marguerite Renardin</t>
  </si>
  <si>
    <t>20 rue Gounod</t>
  </si>
  <si>
    <t>374  rue de Vaugirard</t>
  </si>
  <si>
    <t>42  rue Pascal</t>
  </si>
  <si>
    <t>13  Rue Xavier Privat</t>
  </si>
  <si>
    <t>10 Rue des Raguenets</t>
  </si>
  <si>
    <t>95210</t>
  </si>
  <si>
    <t>St GRATIEN</t>
  </si>
  <si>
    <t>201  rue Bonaparte</t>
  </si>
  <si>
    <t>91000</t>
  </si>
  <si>
    <t>EVRY</t>
  </si>
  <si>
    <t>15 place des Impressionistes</t>
  </si>
  <si>
    <t>4  square Rosny Aîné</t>
  </si>
  <si>
    <t>4/6  Villa la Lauzière</t>
  </si>
  <si>
    <t>92600</t>
  </si>
  <si>
    <t>84  Elysée II</t>
  </si>
  <si>
    <t>10 rue Fernand Pelloutier</t>
  </si>
  <si>
    <t>34 rue Marnes</t>
  </si>
  <si>
    <t>22  rue Duret</t>
  </si>
  <si>
    <t>4  square Raynouard</t>
  </si>
  <si>
    <t>8  Villa Ballu</t>
  </si>
  <si>
    <t>7 place des Sports</t>
  </si>
  <si>
    <t>67130</t>
  </si>
  <si>
    <t>WISCHES</t>
  </si>
  <si>
    <t>les Hameaux du Prieuré</t>
  </si>
  <si>
    <t>78440</t>
  </si>
  <si>
    <t>SAILLY</t>
  </si>
  <si>
    <t>51  Boulevard Auguste Blanqui</t>
  </si>
  <si>
    <t>11  rue du Roi René</t>
  </si>
  <si>
    <t>84000</t>
  </si>
  <si>
    <t>AVIGNON</t>
  </si>
  <si>
    <t>9 Boulevard Richard Wallace</t>
  </si>
  <si>
    <t>135 Avenue de Fré</t>
  </si>
  <si>
    <t>B-1180</t>
  </si>
  <si>
    <t>BRUXELLES</t>
  </si>
  <si>
    <t>Belgique</t>
  </si>
  <si>
    <t>34 Quai de Dion Bouton</t>
  </si>
  <si>
    <t>36  rue des Caillots</t>
  </si>
  <si>
    <t>36 rue du Clos d'Orléans</t>
  </si>
  <si>
    <t>94120</t>
  </si>
  <si>
    <t>FONTENAY sous BOIS</t>
  </si>
  <si>
    <t>2  rue de la Roquette</t>
  </si>
  <si>
    <t>Passage du Cheval Blanc</t>
  </si>
  <si>
    <t>89  rue de Rome</t>
  </si>
  <si>
    <t>16  rue Anna Jacquin</t>
  </si>
  <si>
    <t>39  avenue des Peupliers</t>
  </si>
  <si>
    <t>Villa Montmorency</t>
  </si>
  <si>
    <t>52  avenue des Tilleuls</t>
  </si>
  <si>
    <t>28 rue Marcelin Berthelot</t>
  </si>
  <si>
    <t>14 allée des Pêcheurs</t>
  </si>
  <si>
    <t>DECORATEUR/ARCHI</t>
  </si>
  <si>
    <t>rue julio dinis 247</t>
  </si>
  <si>
    <t>4050</t>
  </si>
  <si>
    <t>PORTO</t>
  </si>
  <si>
    <t>Portugal</t>
  </si>
  <si>
    <t>46 rue Raphaël</t>
  </si>
  <si>
    <t>9 rue Robespierre</t>
  </si>
  <si>
    <t>2 rue du colombier</t>
  </si>
  <si>
    <t>Bat B6</t>
  </si>
  <si>
    <t>8/10 rue d'Alsace</t>
  </si>
  <si>
    <t>14  rue Vasco de Gama</t>
  </si>
  <si>
    <t>6  rue de l'Atlas</t>
  </si>
  <si>
    <t>6  rue de l'Abbé Groult</t>
  </si>
  <si>
    <t>60  boulevard de Clichy</t>
  </si>
  <si>
    <t>Le Four à Pain</t>
  </si>
  <si>
    <t>Surville</t>
  </si>
  <si>
    <t>04140</t>
  </si>
  <si>
    <t>SELONNET</t>
  </si>
  <si>
    <t>Siège à Lisses</t>
  </si>
  <si>
    <t>120 rue Sully</t>
  </si>
  <si>
    <t>69006</t>
  </si>
  <si>
    <t>127 avenue Jean Baptiste Clément</t>
  </si>
  <si>
    <t>28 rue du Château</t>
  </si>
  <si>
    <t>6 Boulevard Garibaldi</t>
  </si>
  <si>
    <t>18  rue Charles Lauth</t>
  </si>
  <si>
    <t>4  villa Jacquemont</t>
  </si>
  <si>
    <t>54  rue du père Corentin</t>
  </si>
  <si>
    <t>8  rue Violet</t>
  </si>
  <si>
    <t>11  Avenue de la Porte de la Plaine</t>
  </si>
  <si>
    <t>5 allée Georges Sand</t>
  </si>
  <si>
    <t>93150</t>
  </si>
  <si>
    <t>LE BLANC MESNIL</t>
  </si>
  <si>
    <t>15  rue Louis Blanc</t>
  </si>
  <si>
    <t>74  rue Dunois</t>
  </si>
  <si>
    <t>23 rue de la Condamine</t>
  </si>
  <si>
    <t>18  rue de la Glacière</t>
  </si>
  <si>
    <t>10 avenue du Château</t>
  </si>
  <si>
    <t>92340</t>
  </si>
  <si>
    <t>BOURG LA REINE</t>
  </si>
  <si>
    <t>2  rue Eugène Oudiné</t>
  </si>
  <si>
    <t>35  rue de la Tombe Issoire</t>
  </si>
  <si>
    <t>32  Villa de Lourcine</t>
  </si>
  <si>
    <t>4  Villa de Lourcine</t>
  </si>
  <si>
    <t>36 rue Serpente</t>
  </si>
  <si>
    <t>20 rue Emile Dubois</t>
  </si>
  <si>
    <t>36 boulevard Charles de Gaulle</t>
  </si>
  <si>
    <t>95110</t>
  </si>
  <si>
    <t>SANNOIS</t>
  </si>
  <si>
    <t>7  rue Paul Escudier</t>
  </si>
  <si>
    <t>11  rue Emile Dubois</t>
  </si>
  <si>
    <t>36-38 rue Cabanis</t>
  </si>
  <si>
    <t>38  rue Cabanis</t>
  </si>
  <si>
    <t>1 Impasse de la Mairie</t>
  </si>
  <si>
    <t>VILLEMEUX</t>
  </si>
  <si>
    <t>4  avenue Paul Adam</t>
  </si>
  <si>
    <t>3, Rue des Thoniers</t>
  </si>
  <si>
    <t>56260</t>
  </si>
  <si>
    <t>LARMOR PLAGE</t>
  </si>
  <si>
    <t>53  Boulevard Lannes</t>
  </si>
  <si>
    <t>Boite N°9</t>
  </si>
  <si>
    <t>16, Villa de Lourcine</t>
  </si>
  <si>
    <t>8bis  rue Jonquoy</t>
  </si>
  <si>
    <t>164  Quai L. Blériot</t>
  </si>
  <si>
    <t>76  rue de la Tombe Issoire</t>
  </si>
  <si>
    <t>41  rue Damrémont</t>
  </si>
  <si>
    <t>6  rue Emile Dubois</t>
  </si>
  <si>
    <t>Boite n° 57</t>
  </si>
  <si>
    <t>32, Villa de Lourcine</t>
  </si>
  <si>
    <t>17 Rue Jean Le Galleu</t>
  </si>
  <si>
    <t>17  rue Emile Dubois</t>
  </si>
  <si>
    <t>23  rue de Rungis</t>
  </si>
  <si>
    <t>19  rue Dareau</t>
  </si>
  <si>
    <t>21  avenue René Coty</t>
  </si>
  <si>
    <t>124  boulevard Auguste Blanqui</t>
  </si>
  <si>
    <t>73  rue de la Chapelle</t>
  </si>
  <si>
    <t>Le Périscope</t>
  </si>
  <si>
    <t>83-87, avenue d'Italie</t>
  </si>
  <si>
    <t>97  rue Oberkampf</t>
  </si>
  <si>
    <t>29 rue de l'église</t>
  </si>
  <si>
    <t>15 rue E. Vaillant</t>
  </si>
  <si>
    <t>93200</t>
  </si>
  <si>
    <t>St DENIS</t>
  </si>
  <si>
    <t>21  Avenue René Coty</t>
  </si>
  <si>
    <t>11  rue du Simplon</t>
  </si>
  <si>
    <t>25  rue Jean Daudin</t>
  </si>
  <si>
    <t>147 Chemin du Halage</t>
  </si>
  <si>
    <t>95630</t>
  </si>
  <si>
    <t>MERIEL</t>
  </si>
  <si>
    <t>22  rue Dussoubs</t>
  </si>
  <si>
    <t>75002</t>
  </si>
  <si>
    <t>36  Boulevard de Sébastopol</t>
  </si>
  <si>
    <t>78 rue de Rome</t>
  </si>
  <si>
    <t>paris</t>
  </si>
  <si>
    <t>98  avenue Denfert Rochereau</t>
  </si>
  <si>
    <t>23  avenue René Coty</t>
  </si>
  <si>
    <t>BP 315</t>
  </si>
  <si>
    <t>75265</t>
  </si>
  <si>
    <t>PARIS Cedex 06</t>
  </si>
  <si>
    <t>102 rue de la Porte Jaune</t>
  </si>
  <si>
    <t>17  rue de Poissy</t>
  </si>
  <si>
    <t>24 rue d'Algésiras</t>
  </si>
  <si>
    <t>94400</t>
  </si>
  <si>
    <t>VITRY sur SEINE</t>
  </si>
  <si>
    <t>8  passage Montbrun</t>
  </si>
  <si>
    <t>18  Avenue Bugeaud</t>
  </si>
  <si>
    <t>46 rue des martyrs</t>
  </si>
  <si>
    <t>FR08401247903</t>
  </si>
  <si>
    <t>61 rue Sevin Vincent</t>
  </si>
  <si>
    <t>27 rue Elie Giraud</t>
  </si>
  <si>
    <t>7  rue des Immeubles Industriels</t>
  </si>
  <si>
    <t>74 avenue des 4 Chemins</t>
  </si>
  <si>
    <t>92290</t>
  </si>
  <si>
    <t>CHATENAY MALABRY</t>
  </si>
  <si>
    <t>55  rue de Varennes</t>
  </si>
  <si>
    <t>30  rue des Changes</t>
  </si>
  <si>
    <t>28000</t>
  </si>
  <si>
    <t>CHARTRES</t>
  </si>
  <si>
    <t>4 rue de l'Epée de Bois</t>
  </si>
  <si>
    <t>11 rue St Nicolas</t>
  </si>
  <si>
    <t>17000</t>
  </si>
  <si>
    <t>LA ROCHELLE</t>
  </si>
  <si>
    <t>FR02422655704</t>
  </si>
  <si>
    <t>36  rue de la Roquette</t>
  </si>
  <si>
    <t>8 square Presles</t>
  </si>
  <si>
    <t>94340</t>
  </si>
  <si>
    <t>JOINVILLE le PONT</t>
  </si>
  <si>
    <t>14  rue Ramey</t>
  </si>
  <si>
    <t>95  avenue Emile Thiébaut</t>
  </si>
  <si>
    <t>78110</t>
  </si>
  <si>
    <t>LE VESINET</t>
  </si>
  <si>
    <t>3 rue des Alouettes</t>
  </si>
  <si>
    <t>2  allée des Poiranges</t>
  </si>
  <si>
    <t>86580</t>
  </si>
  <si>
    <t>VOUNEUIL sous BIARD</t>
  </si>
  <si>
    <t>2  rue Félix Faure</t>
  </si>
  <si>
    <t>78500</t>
  </si>
  <si>
    <t>SARTROUVILLE</t>
  </si>
  <si>
    <t>71  avenue Ronce</t>
  </si>
  <si>
    <t>57  rue Exelmans</t>
  </si>
  <si>
    <t>78000</t>
  </si>
  <si>
    <t>VERSAILLES</t>
  </si>
  <si>
    <t>1  rue Gerbier</t>
  </si>
  <si>
    <t>4  villa des Merisiers
4 villa des Merisiers</t>
  </si>
  <si>
    <t>95390</t>
  </si>
  <si>
    <t>St PRIX</t>
  </si>
  <si>
    <t>82 rue de Roye</t>
  </si>
  <si>
    <t>60280</t>
  </si>
  <si>
    <t>CLAIROIX</t>
  </si>
  <si>
    <t>22  rue de Civry</t>
  </si>
  <si>
    <t>4 rue des Lilas d'Espagne</t>
  </si>
  <si>
    <t>143  boulevard Montparnasse</t>
  </si>
  <si>
    <t>51  rue d'Amsterdam</t>
  </si>
  <si>
    <t>75008</t>
  </si>
  <si>
    <t>8 Brominou Vian</t>
  </si>
  <si>
    <t>29950</t>
  </si>
  <si>
    <t>CLOHARS FOUESNANT</t>
  </si>
  <si>
    <t>2  rue Biscornet</t>
  </si>
  <si>
    <t>22 rue Traversière</t>
  </si>
  <si>
    <t>37000</t>
  </si>
  <si>
    <t>TOURS</t>
  </si>
  <si>
    <t>177  rue de Lourmel</t>
  </si>
  <si>
    <t>35  rue Vital</t>
  </si>
  <si>
    <t>7bis  rue Paul Féval</t>
  </si>
  <si>
    <t>26 rue Jean Jaurès</t>
  </si>
  <si>
    <t>5  rue d'Assas</t>
  </si>
  <si>
    <t>34  boulevard Voltaire</t>
  </si>
  <si>
    <t>33  Domaine de la Boissière</t>
  </si>
  <si>
    <t>78890</t>
  </si>
  <si>
    <t>GARANCIERES</t>
  </si>
  <si>
    <t>7 rue César Franck</t>
  </si>
  <si>
    <t>10  rue du Cdt Rivière</t>
  </si>
  <si>
    <t>23 rue de L'Aubépine</t>
  </si>
  <si>
    <t>49124</t>
  </si>
  <si>
    <t>St BARTHELEMY D'ANJOU</t>
  </si>
  <si>
    <t>10 rue Bellanger</t>
  </si>
  <si>
    <t>13 avenue Fouilleuse</t>
  </si>
  <si>
    <t>20  avenue du Vallon</t>
  </si>
  <si>
    <t>78450</t>
  </si>
  <si>
    <t>CHAVENAY</t>
  </si>
  <si>
    <t>13  rue Paul Doumer</t>
  </si>
  <si>
    <t>19  rue J. Legrand</t>
  </si>
  <si>
    <t>91330</t>
  </si>
  <si>
    <t>YERRES</t>
  </si>
  <si>
    <t>2 rue du Pressoir</t>
  </si>
  <si>
    <t>78430</t>
  </si>
  <si>
    <t>LOUVECIENNES</t>
  </si>
  <si>
    <t>12 rue Eugène Delacroix</t>
  </si>
  <si>
    <t>St MAURICE</t>
  </si>
  <si>
    <t>9 rue du Colonel Fabien</t>
  </si>
  <si>
    <t>187 rue A. Sylvestre</t>
  </si>
  <si>
    <t>10 rue Paul Couderc</t>
  </si>
  <si>
    <t>92330</t>
  </si>
  <si>
    <t>SCEAUX</t>
  </si>
  <si>
    <t>112 rue Lamarck</t>
  </si>
  <si>
    <t>3 rue Bastien Lepage</t>
  </si>
  <si>
    <t>133 avenue des Champs Elysées</t>
  </si>
  <si>
    <t>21 rue de la Villette</t>
  </si>
  <si>
    <t>11  boulevard du Maréchal Leclerc</t>
  </si>
  <si>
    <t>14000</t>
  </si>
  <si>
    <t>CAEN</t>
  </si>
  <si>
    <t>33  avenue des Etats-Unis</t>
  </si>
  <si>
    <t>NAVTECH / Imm le Clémencia</t>
  </si>
  <si>
    <t>196 rue Houdan</t>
  </si>
  <si>
    <t>97  Avenue des bleuets</t>
  </si>
  <si>
    <t>91400</t>
  </si>
  <si>
    <t>ORSAY</t>
  </si>
  <si>
    <t>20  rue du Mont Cenis</t>
  </si>
  <si>
    <t>253 ter Avenue P V Couturier</t>
  </si>
  <si>
    <t>94140</t>
  </si>
  <si>
    <t>ALFORTVILLE</t>
  </si>
  <si>
    <t>72 rue Alexandre Dumas</t>
  </si>
  <si>
    <t>25 rue de Charonne</t>
  </si>
  <si>
    <t>18  rue Commines</t>
  </si>
  <si>
    <t>2 rue Louis Melotte</t>
  </si>
  <si>
    <t>ASNIERES sur SEINE</t>
  </si>
  <si>
    <t>10 rue Lapeyrere</t>
  </si>
  <si>
    <t>7  rue de Villersexel</t>
  </si>
  <si>
    <t>33 rue de Stalingrad</t>
  </si>
  <si>
    <t>93310</t>
  </si>
  <si>
    <t>LE PRE St GERVAIS</t>
  </si>
  <si>
    <t>88  rue des Archives</t>
  </si>
  <si>
    <t>7  rue Oberkampf</t>
  </si>
  <si>
    <t>90  rue Amelot</t>
  </si>
  <si>
    <t>50  boulevard de Courcelles</t>
  </si>
  <si>
    <t>CLERMONT</t>
  </si>
  <si>
    <t>31  avenue Felix Faure</t>
  </si>
  <si>
    <t>10  rue du Grand Prieuré</t>
  </si>
  <si>
    <t>14 rue Mouton Duvernet</t>
  </si>
  <si>
    <t>134  rue de Turenne</t>
  </si>
  <si>
    <t>43  rue de Menilmontant</t>
  </si>
  <si>
    <t>76 rue de Reims</t>
  </si>
  <si>
    <t>94700</t>
  </si>
  <si>
    <t>MAISONS ALFORT</t>
  </si>
  <si>
    <t>1  avenue Richerand</t>
  </si>
  <si>
    <t>2  Impasse du Val d'Osne</t>
  </si>
  <si>
    <t>66  rue du Faubourg Saint Martin</t>
  </si>
  <si>
    <t>31  rue Charlot</t>
  </si>
  <si>
    <t>33 rue de Garches</t>
  </si>
  <si>
    <t>92070</t>
  </si>
  <si>
    <t>SAINT CLOUD</t>
  </si>
  <si>
    <t>place du 8 mai 1945</t>
  </si>
  <si>
    <t>84570</t>
  </si>
  <si>
    <t>VILLES sur AUZON</t>
  </si>
  <si>
    <t>P.O. Box 69124</t>
  </si>
  <si>
    <t>11547</t>
  </si>
  <si>
    <t>RIYADH</t>
  </si>
  <si>
    <t>Arabie Saoudite</t>
  </si>
  <si>
    <t>1 à 7 rue des Grandes Ecoles</t>
  </si>
  <si>
    <t>86000</t>
  </si>
  <si>
    <t>POITIERS</t>
  </si>
  <si>
    <t>13 rue du raisin</t>
  </si>
  <si>
    <t>68100</t>
  </si>
  <si>
    <t>MULHOUSE</t>
  </si>
  <si>
    <t>47 rue des Eaux- Vives</t>
  </si>
  <si>
    <t>CH-1207</t>
  </si>
  <si>
    <t>GENEVE</t>
  </si>
  <si>
    <t>Suisse</t>
  </si>
  <si>
    <t>22 rue Duc</t>
  </si>
  <si>
    <t>24 Place de l'Hotel de Ville</t>
  </si>
  <si>
    <t>13100</t>
  </si>
  <si>
    <t>AIX en PROVENCE</t>
  </si>
  <si>
    <t>FR40442950283</t>
  </si>
  <si>
    <t>Via de Ginori  20r</t>
  </si>
  <si>
    <t>50123</t>
  </si>
  <si>
    <t>FIRENZE</t>
  </si>
  <si>
    <t>Italie</t>
  </si>
  <si>
    <t>IT04517440485</t>
  </si>
  <si>
    <t>8/10 rue Séjourné</t>
  </si>
  <si>
    <t>94000</t>
  </si>
  <si>
    <t>CRETEIL</t>
  </si>
  <si>
    <t>fr49572026052</t>
  </si>
  <si>
    <t>12 rue du Plat</t>
  </si>
  <si>
    <t>69226</t>
  </si>
  <si>
    <t>LYON Cedex 02</t>
  </si>
  <si>
    <t>142 Bd de la République</t>
  </si>
  <si>
    <t>06400</t>
  </si>
  <si>
    <t>CANNES</t>
  </si>
  <si>
    <t>Ioannou Foka 93-95 , Gaiatsi</t>
  </si>
  <si>
    <t>11146</t>
  </si>
  <si>
    <t>ATHENES</t>
  </si>
  <si>
    <t>Grèce</t>
  </si>
  <si>
    <t>27 avenue St-Exupéry</t>
  </si>
  <si>
    <t>81600</t>
  </si>
  <si>
    <t>GAILLAC</t>
  </si>
  <si>
    <t>42 rue Descartes</t>
  </si>
  <si>
    <t>FR6843008747800011</t>
  </si>
  <si>
    <t>12230</t>
  </si>
  <si>
    <t>St JEAN DU BRUEL</t>
  </si>
  <si>
    <t>12 avenue de la Résistance</t>
  </si>
  <si>
    <t>77500</t>
  </si>
  <si>
    <t>CHELLES</t>
  </si>
  <si>
    <t>21 rue de Bordeaux</t>
  </si>
  <si>
    <t>78 avenue Jean Jaurès</t>
  </si>
  <si>
    <t>11  bvd St Martin</t>
  </si>
  <si>
    <t>Villa Laurenti</t>
  </si>
  <si>
    <t>101, Avenue de Brancolar</t>
  </si>
  <si>
    <t>06100</t>
  </si>
  <si>
    <t>NICE</t>
  </si>
  <si>
    <t>10  rue René Villermé</t>
  </si>
  <si>
    <t>9  impasse Delaunay</t>
  </si>
  <si>
    <t>5bis  rue de Prague</t>
  </si>
  <si>
    <t>5 rue Fanfrelin</t>
  </si>
  <si>
    <t>16000</t>
  </si>
  <si>
    <t>ANGOULEME</t>
  </si>
  <si>
    <t>17 rue Marie Laure</t>
  </si>
  <si>
    <t>92270</t>
  </si>
  <si>
    <t>BOIS COLOMBES</t>
  </si>
  <si>
    <t>Atelier 9004 / escalier 13</t>
  </si>
  <si>
    <t>20 rue Hélène Jakubowicz</t>
  </si>
  <si>
    <t>47  rue de l'Echiquier</t>
  </si>
  <si>
    <t>42  rue jean-Pierre Thimbaud</t>
  </si>
  <si>
    <t>92130</t>
  </si>
  <si>
    <t>ISSY-LES-MOULINEAUX</t>
  </si>
  <si>
    <t>35 avenue Clément Ader</t>
  </si>
  <si>
    <t>69800</t>
  </si>
  <si>
    <t>SAINT PRIEST</t>
  </si>
  <si>
    <t>60 rue Orléans</t>
  </si>
  <si>
    <t>49400</t>
  </si>
  <si>
    <t>SAUMUR</t>
  </si>
  <si>
    <t>3  avenue du Québec- BP 90 - Bat Hudson</t>
  </si>
  <si>
    <t>91943</t>
  </si>
  <si>
    <t>LES ULIS Cedex</t>
  </si>
  <si>
    <t>18  rue des Capucines</t>
  </si>
  <si>
    <t>91130</t>
  </si>
  <si>
    <t>RIS ORANGIS</t>
  </si>
  <si>
    <t>17  rue Corbon</t>
  </si>
  <si>
    <t>BP 20</t>
  </si>
  <si>
    <t>3 rue des Champs Fleuris</t>
  </si>
  <si>
    <t>91680</t>
  </si>
  <si>
    <t>BRUYERES le CHATEL</t>
  </si>
  <si>
    <t>1 rue St Georges</t>
  </si>
  <si>
    <t>35000</t>
  </si>
  <si>
    <t>RENNES</t>
  </si>
  <si>
    <t>20 Bd Sébastopol</t>
  </si>
  <si>
    <t>61 rue du Fbg St Antoine</t>
  </si>
  <si>
    <t>32 Bd du Montparnasse</t>
  </si>
  <si>
    <t>50/52 rue Galande</t>
  </si>
  <si>
    <t>15 rue St Jacques</t>
  </si>
  <si>
    <t>2  rue de Franche Comté</t>
  </si>
  <si>
    <t>5  rue Etienne Dolet</t>
  </si>
  <si>
    <t>73440</t>
  </si>
  <si>
    <t>LES MENUIRES</t>
  </si>
  <si>
    <t>113  rue Vieille du Temple</t>
  </si>
  <si>
    <t>28 rue de Picardie</t>
  </si>
  <si>
    <t>6  rue Lefebvre</t>
  </si>
  <si>
    <t>12  14 rue Sursock  Place Tabaris</t>
  </si>
  <si>
    <t>B.P. 175118</t>
  </si>
  <si>
    <t>BEYROUTH</t>
  </si>
  <si>
    <t>Liban</t>
  </si>
  <si>
    <t>1 rue Saint Dominique</t>
  </si>
  <si>
    <t>20169</t>
  </si>
  <si>
    <t>BONIFACIO</t>
  </si>
  <si>
    <t>15 rue Venture</t>
  </si>
  <si>
    <t>13001</t>
  </si>
  <si>
    <t>MARSEILLE</t>
  </si>
  <si>
    <t>rue de l'Abbaye</t>
  </si>
  <si>
    <t>21150</t>
  </si>
  <si>
    <t>FLAVIGNY sur OZEREAU</t>
  </si>
  <si>
    <t>11/12 Quai des Cabestants</t>
  </si>
  <si>
    <t>Port du Crouesty</t>
  </si>
  <si>
    <t>56640</t>
  </si>
  <si>
    <t>ARZON</t>
  </si>
  <si>
    <t>11 rue Abbé Hélin</t>
  </si>
  <si>
    <t>83980</t>
  </si>
  <si>
    <t>LE LAVANDOU</t>
  </si>
  <si>
    <t>26110</t>
  </si>
  <si>
    <t>NYONS</t>
  </si>
  <si>
    <t>20 rue de la République</t>
  </si>
  <si>
    <t>25300</t>
  </si>
  <si>
    <t>PONTARLIER</t>
  </si>
  <si>
    <t>Via Flaminia nuova  208</t>
  </si>
  <si>
    <t>Stazione vigna clara</t>
  </si>
  <si>
    <t>00191</t>
  </si>
  <si>
    <t>ROME</t>
  </si>
  <si>
    <t>IT04172151005</t>
  </si>
  <si>
    <t>245 rue du Gal de Gaulle</t>
  </si>
  <si>
    <t>69530</t>
  </si>
  <si>
    <t>BRIGNAIS</t>
  </si>
  <si>
    <t>2 Rue Gounod</t>
  </si>
  <si>
    <t>FR 25497810374</t>
  </si>
  <si>
    <t>Via Liberta  144</t>
  </si>
  <si>
    <t>07020</t>
  </si>
  <si>
    <t>GOLFO ARANCI (SS)</t>
  </si>
  <si>
    <t>IT01196870909</t>
  </si>
  <si>
    <t>Sophienstrasse  5</t>
  </si>
  <si>
    <t>10178</t>
  </si>
  <si>
    <t>BERLIN-MITTE</t>
  </si>
  <si>
    <t>Allemagne</t>
  </si>
  <si>
    <t>Via Natta Z.I. Settimo di pescantina</t>
  </si>
  <si>
    <t>37026</t>
  </si>
  <si>
    <t>VERONA</t>
  </si>
  <si>
    <t>IT01384560239</t>
  </si>
  <si>
    <t>10 Quai des Terres Neuvas</t>
  </si>
  <si>
    <t>22370</t>
  </si>
  <si>
    <t>PLENEUF VAL ANDRE</t>
  </si>
  <si>
    <t>Via Carducci 32</t>
  </si>
  <si>
    <t>80123</t>
  </si>
  <si>
    <t>NAPLES</t>
  </si>
  <si>
    <t>IT05727230632</t>
  </si>
  <si>
    <t>1 rue des Anciens d'AFN</t>
  </si>
  <si>
    <t>Fontvannes</t>
  </si>
  <si>
    <t>10190</t>
  </si>
  <si>
    <t>ESTISSAC</t>
  </si>
  <si>
    <t>18  rue Volney</t>
  </si>
  <si>
    <t>34  rue Jouffroy d'Abbans</t>
  </si>
  <si>
    <t>20 bis  rue la Boetie</t>
  </si>
  <si>
    <t>L'ORENAGGIO</t>
  </si>
  <si>
    <t>2  rue Dupetit Thouars</t>
  </si>
  <si>
    <t>107 Bd St Germain</t>
  </si>
  <si>
    <t>39 Av. Charles De Gaulle</t>
  </si>
  <si>
    <t>33290</t>
  </si>
  <si>
    <t>BLANQUEFORT</t>
  </si>
  <si>
    <t>1  rue jean-Pierre Timbaud</t>
  </si>
  <si>
    <t>149  rue Gabriel péri</t>
  </si>
  <si>
    <t>94430</t>
  </si>
  <si>
    <t>CHENNEVIERES sur MARNE</t>
  </si>
  <si>
    <t>10 rue du Bac</t>
  </si>
  <si>
    <t>à CASABLANCA</t>
  </si>
  <si>
    <t>Maroc</t>
  </si>
  <si>
    <t>23  rue Traversiere</t>
  </si>
  <si>
    <t>5  place Saint-Nizier</t>
  </si>
  <si>
    <t>69000</t>
  </si>
  <si>
    <t>16  rue Notre-Dame de Nazareth</t>
  </si>
  <si>
    <t>BP 30 / 38 Lot Nelle Cité</t>
  </si>
  <si>
    <t>97215</t>
  </si>
  <si>
    <t>France (DOM TOM)</t>
  </si>
  <si>
    <t>237  rue de Vaugirard</t>
  </si>
  <si>
    <t>6  rue de la Flûte</t>
  </si>
  <si>
    <t>84800</t>
  </si>
  <si>
    <t>ISLE SUR LA SORGUE</t>
  </si>
  <si>
    <t>7 rue Adolphe Casse</t>
  </si>
  <si>
    <t>15 rue Gaston Dourdin</t>
  </si>
  <si>
    <t>25  rue Gallieni</t>
  </si>
  <si>
    <t>94170</t>
  </si>
  <si>
    <t>LE PERREUX</t>
  </si>
  <si>
    <t>77  rue de Noisy le Sec</t>
  </si>
  <si>
    <t>93260</t>
  </si>
  <si>
    <t>LES LILAS</t>
  </si>
  <si>
    <t>5  rue des Beaux lieux</t>
  </si>
  <si>
    <t>51000</t>
  </si>
  <si>
    <t>MONTMIRAIL</t>
  </si>
  <si>
    <t>SERVICES LITIGES</t>
  </si>
  <si>
    <t>Route de Dinan</t>
  </si>
  <si>
    <t>35120</t>
  </si>
  <si>
    <t>DOL de BRETAGNE</t>
  </si>
  <si>
    <t>TRANSPORTEUR</t>
  </si>
  <si>
    <t>1  rue du Débarquadère</t>
  </si>
  <si>
    <t>52  rue des entrepreneurs</t>
  </si>
  <si>
    <t>Sté MOD</t>
  </si>
  <si>
    <t>49 Avenue de Tours</t>
  </si>
  <si>
    <t>37400</t>
  </si>
  <si>
    <t>AMBOISE</t>
  </si>
  <si>
    <t>13 rue Raymond Lefevre</t>
  </si>
  <si>
    <t>94250</t>
  </si>
  <si>
    <t>GENTILLY</t>
  </si>
  <si>
    <t>27, rue des Plantes</t>
  </si>
  <si>
    <t>5  rue de Babylone</t>
  </si>
  <si>
    <t>75322</t>
  </si>
  <si>
    <t>PARIS cedex 07</t>
  </si>
  <si>
    <t>56  rue Marjonin</t>
  </si>
  <si>
    <t>15  rue Anatole France</t>
  </si>
  <si>
    <t>M &amp; Mlle</t>
  </si>
  <si>
    <t>10  rue Valadon</t>
  </si>
  <si>
    <t>1 rue Marietta  Martin</t>
  </si>
  <si>
    <t>Z.A. des Aubins</t>
  </si>
  <si>
    <t>Chemin du Jacloret</t>
  </si>
  <si>
    <t>95820</t>
  </si>
  <si>
    <t>BRUYERES sur OISE</t>
  </si>
  <si>
    <t>68 Quai de Jemmapes</t>
  </si>
  <si>
    <t>64 rue Orfila</t>
  </si>
  <si>
    <t>118 avenue du Gal De Gaulle</t>
  </si>
  <si>
    <t>LE PERREUX sur MARNE</t>
  </si>
  <si>
    <t>5 rue d'Alencon</t>
  </si>
  <si>
    <t>44 rue du 23 Août</t>
  </si>
  <si>
    <t>77630</t>
  </si>
  <si>
    <t>BARBIZON</t>
  </si>
  <si>
    <t>41 rue du Puit du Cormier</t>
  </si>
  <si>
    <t>31 rue E. Pastre</t>
  </si>
  <si>
    <t>25 Rue de Vaucouleurs</t>
  </si>
  <si>
    <t>18 rue des Fossés St Jacques</t>
  </si>
  <si>
    <t>Domaine de l'Aunette</t>
  </si>
  <si>
    <t>9 avenue de l'Essonne</t>
  </si>
  <si>
    <t>130 Avenue de Versailles</t>
  </si>
  <si>
    <t>175 Avenue de la Division Leclerc</t>
  </si>
  <si>
    <t>Les Espaces Multiservices</t>
  </si>
  <si>
    <t>59 Bd de Courcerin</t>
  </si>
  <si>
    <t>77183</t>
  </si>
  <si>
    <t>CROISSY BEAUBOURG</t>
  </si>
  <si>
    <t>7 rue des Rosiers</t>
  </si>
  <si>
    <t>93420</t>
  </si>
  <si>
    <t>VILLEPINTE</t>
  </si>
  <si>
    <t>22 rue de la Division Leclerc</t>
  </si>
  <si>
    <t>50 rue Meslay</t>
  </si>
  <si>
    <t>8 rue d'Angoulème</t>
  </si>
  <si>
    <t>93220</t>
  </si>
  <si>
    <t>GAGNY</t>
  </si>
  <si>
    <t>34 avenue Paul Fleury</t>
  </si>
  <si>
    <t>95170</t>
  </si>
  <si>
    <t>DEUIL LA BARRE</t>
  </si>
  <si>
    <t>8 rue Gregoire de Tour</t>
  </si>
  <si>
    <t>43 rue Saintonge</t>
  </si>
  <si>
    <t>18 rue Henri Martin</t>
  </si>
  <si>
    <t>105 rue du Gal Leclerc</t>
  </si>
  <si>
    <t>45200</t>
  </si>
  <si>
    <t>MONTARGIS</t>
  </si>
  <si>
    <t>route de Provins</t>
  </si>
  <si>
    <t>CHENNEVIERES</t>
  </si>
  <si>
    <t>21 avenue Daumesnil</t>
  </si>
  <si>
    <t>FR36414347245</t>
  </si>
  <si>
    <t>46 rue du Maréchal Gallieni</t>
  </si>
  <si>
    <t>76600</t>
  </si>
  <si>
    <t>LE HAVRE</t>
  </si>
  <si>
    <t>1 bis rue Lafayette</t>
  </si>
  <si>
    <t>38000</t>
  </si>
  <si>
    <t>GRENOBLE</t>
  </si>
  <si>
    <t>18 bvd de la Corniche</t>
  </si>
  <si>
    <t>74200</t>
  </si>
  <si>
    <t>THONON LES BAINS</t>
  </si>
  <si>
    <t>FR35435403746</t>
  </si>
  <si>
    <t>1 route d'Hermance</t>
  </si>
  <si>
    <t>CH-1222</t>
  </si>
  <si>
    <t>VESENAZ / GENEVE</t>
  </si>
  <si>
    <t>320744</t>
  </si>
  <si>
    <t>16 bis rue Sadi-Carnot</t>
  </si>
  <si>
    <t>07100</t>
  </si>
  <si>
    <t>ANNONAY</t>
  </si>
  <si>
    <t>29 Westbury Mall</t>
  </si>
  <si>
    <t>DUBLIN 2</t>
  </si>
  <si>
    <t>IE6549428F</t>
  </si>
  <si>
    <t>17 avenue Bugeaud</t>
  </si>
  <si>
    <t>PO Box 2069</t>
  </si>
  <si>
    <t>Main street , sag Harbor</t>
  </si>
  <si>
    <t>11963</t>
  </si>
  <si>
    <t>BP 160</t>
  </si>
  <si>
    <t>SAINT BARTHELEMY (F.W.I) Cedex</t>
  </si>
  <si>
    <t>Account department</t>
  </si>
  <si>
    <t>38 Russell Square</t>
  </si>
  <si>
    <t>WC1B 3QQ</t>
  </si>
  <si>
    <t>GB 342 0854 75</t>
  </si>
  <si>
    <t>rue Lallemand B.P. 54</t>
  </si>
  <si>
    <t>55001</t>
  </si>
  <si>
    <t>BAR LE DUC Cedex</t>
  </si>
  <si>
    <t>CNE</t>
  </si>
  <si>
    <t>13 rue de Gal de Gaulle</t>
  </si>
  <si>
    <t>78300</t>
  </si>
  <si>
    <t>POISSY</t>
  </si>
  <si>
    <t>16/18 rue de l'Amiral Mouchez</t>
  </si>
  <si>
    <t>75686</t>
  </si>
  <si>
    <t>PARIS Cedex 14</t>
  </si>
  <si>
    <t>11 rue de la Réunion</t>
  </si>
  <si>
    <t>Rte du barrage</t>
  </si>
  <si>
    <t>35870</t>
  </si>
  <si>
    <t>LA RICHARDAIS</t>
  </si>
  <si>
    <t>4 rue Duguesclin</t>
  </si>
  <si>
    <t>5 rue Dupuis</t>
  </si>
  <si>
    <t>Amtsdamm 29</t>
  </si>
  <si>
    <t>27628</t>
  </si>
  <si>
    <t>HAGEN</t>
  </si>
  <si>
    <t>48 rue Guillaume le Conquérant</t>
  </si>
  <si>
    <t>FR39432012110</t>
  </si>
  <si>
    <t>Collegienstr  15</t>
  </si>
  <si>
    <t>06886</t>
  </si>
  <si>
    <t>LUTHERSTADT WITTENBERG</t>
  </si>
  <si>
    <t xml:space="preserve"> Evo corso umberto I 391</t>
  </si>
  <si>
    <t>80034</t>
  </si>
  <si>
    <t>MARIGLIANO</t>
  </si>
  <si>
    <t>146 rue Edouard Vaillant</t>
  </si>
  <si>
    <t>95870</t>
  </si>
  <si>
    <t>BEZONS</t>
  </si>
  <si>
    <t>38 rue des 3 mages</t>
  </si>
  <si>
    <t>13006</t>
  </si>
  <si>
    <t>24 a hight street</t>
  </si>
  <si>
    <t>Bagsnot / SURREY</t>
  </si>
  <si>
    <t>Isle of Skye</t>
  </si>
  <si>
    <t>BROADFORD</t>
  </si>
  <si>
    <t>2 Black Lion Court</t>
  </si>
  <si>
    <t>Honiton / DEVON</t>
  </si>
  <si>
    <t>Schlossallee 11</t>
  </si>
  <si>
    <t>09577</t>
  </si>
  <si>
    <t>LICHTENWALDE</t>
  </si>
  <si>
    <t>27 rue des Godrans</t>
  </si>
  <si>
    <t>21000</t>
  </si>
  <si>
    <t>DIJON</t>
  </si>
  <si>
    <t>84 cours Gimon</t>
  </si>
  <si>
    <t>13300</t>
  </si>
  <si>
    <t>SALON de PROVENCE</t>
  </si>
  <si>
    <t>53 rue Blatin</t>
  </si>
  <si>
    <t>63000</t>
  </si>
  <si>
    <t>CLERMONT FERRAND</t>
  </si>
  <si>
    <t>Service Achat</t>
  </si>
  <si>
    <t>Zac la Giraudais</t>
  </si>
  <si>
    <t>35740</t>
  </si>
  <si>
    <t>PACE</t>
  </si>
  <si>
    <t>Ville Basse</t>
  </si>
  <si>
    <t>05100</t>
  </si>
  <si>
    <t>NEVACHE</t>
  </si>
  <si>
    <t>229 high street</t>
  </si>
  <si>
    <t>PH1 5PB</t>
  </si>
  <si>
    <t>PERTH</t>
  </si>
  <si>
    <t>5 rue Deville</t>
  </si>
  <si>
    <t>65000</t>
  </si>
  <si>
    <t>TARBES</t>
  </si>
  <si>
    <t>39 rue des lacs</t>
  </si>
  <si>
    <t>15100</t>
  </si>
  <si>
    <t>ST FLOUR</t>
  </si>
  <si>
    <t>Avoca county</t>
  </si>
  <si>
    <t>WICKLOW</t>
  </si>
  <si>
    <t>12 Impasse de la Digue</t>
  </si>
  <si>
    <t>28260</t>
  </si>
  <si>
    <t>SAUSSAY</t>
  </si>
  <si>
    <t>1B Nether Edge Road</t>
  </si>
  <si>
    <t>S71</t>
  </si>
  <si>
    <t>SHEFFIELD</t>
  </si>
  <si>
    <t>67 rue d'Avron</t>
  </si>
  <si>
    <t>15 rue des Halles</t>
  </si>
  <si>
    <t>56000</t>
  </si>
  <si>
    <t>VANNES</t>
  </si>
  <si>
    <t>11 place Richemont</t>
  </si>
  <si>
    <t>56370</t>
  </si>
  <si>
    <t>SARZEAU</t>
  </si>
  <si>
    <t>24/26 rue des Prairies</t>
  </si>
  <si>
    <t>15 Route de Houdan</t>
  </si>
  <si>
    <t>78550</t>
  </si>
  <si>
    <t>RICHEBOURG</t>
  </si>
  <si>
    <t>15 Bd Richard Lenoir</t>
  </si>
  <si>
    <t>51 rue de Bitche</t>
  </si>
  <si>
    <t>2 passage du Jeu de Boules</t>
  </si>
  <si>
    <t>23 rue de Fécamp</t>
  </si>
  <si>
    <t>3 rue Guépin</t>
  </si>
  <si>
    <t>44000</t>
  </si>
  <si>
    <t>NANTES</t>
  </si>
  <si>
    <t>MAISON OIHAN ALDE</t>
  </si>
  <si>
    <t>Chemin Apenzendorda</t>
  </si>
  <si>
    <t>64200</t>
  </si>
  <si>
    <t>ARCANGUES</t>
  </si>
  <si>
    <t>BIARRITZ</t>
  </si>
  <si>
    <t>15 rue Decamps</t>
  </si>
  <si>
    <t>21 rue Louis Lejeune / BP 600</t>
  </si>
  <si>
    <t>92542</t>
  </si>
  <si>
    <t>MONTROUGE Cedex</t>
  </si>
  <si>
    <t>11 rue Piétonne</t>
  </si>
  <si>
    <t>85330</t>
  </si>
  <si>
    <t>NOIRMOUTIER</t>
  </si>
  <si>
    <t>34 rue Desbordes Valmore</t>
  </si>
  <si>
    <t>93 rue St Dizier</t>
  </si>
  <si>
    <t>54000</t>
  </si>
  <si>
    <t>NANCY</t>
  </si>
  <si>
    <t>FR72765801246</t>
  </si>
  <si>
    <t>28 rue de la Croix</t>
  </si>
  <si>
    <t>49350</t>
  </si>
  <si>
    <t>LES ROSIERS sur LOIRE</t>
  </si>
  <si>
    <t>72 rue du Fbg Montmartre</t>
  </si>
  <si>
    <t>1017 route de Salernes</t>
  </si>
  <si>
    <t>83510</t>
  </si>
  <si>
    <t>LORGUES</t>
  </si>
  <si>
    <t>Conservatoire international des parcs et jardins</t>
  </si>
  <si>
    <t>Ferme du Château</t>
  </si>
  <si>
    <t>41150</t>
  </si>
  <si>
    <t>CHAUMONT / LOIRE</t>
  </si>
  <si>
    <t>11  Bis Rue Gomot</t>
  </si>
  <si>
    <t>63200</t>
  </si>
  <si>
    <t>RIOM</t>
  </si>
  <si>
    <t>12 rue du faucigny</t>
  </si>
  <si>
    <t>74700</t>
  </si>
  <si>
    <t>SALLANCHES</t>
  </si>
  <si>
    <t>53 rue de Lyon</t>
  </si>
  <si>
    <t>69590</t>
  </si>
  <si>
    <t>St SYMPHORIEN sur COISE</t>
  </si>
  <si>
    <t>4 rue de Reugny</t>
  </si>
  <si>
    <t>89800</t>
  </si>
  <si>
    <t>CHABLIS</t>
  </si>
  <si>
    <t>Lieu dit le grand Mortier</t>
  </si>
  <si>
    <t>72290</t>
  </si>
  <si>
    <t>CONGE sur ORNE</t>
  </si>
  <si>
    <t>32 rue de Picardie</t>
  </si>
  <si>
    <t>14 allée du Dr Picquenard</t>
  </si>
  <si>
    <t>29000</t>
  </si>
  <si>
    <t>QUIMPER</t>
  </si>
  <si>
    <t>29 rue Jacques Cartier</t>
  </si>
  <si>
    <t>35800</t>
  </si>
  <si>
    <t>DINARD</t>
  </si>
  <si>
    <t>1 rue du gal De Gaulle</t>
  </si>
  <si>
    <t>29 place République</t>
  </si>
  <si>
    <t>29120</t>
  </si>
  <si>
    <t>PONT L'ABBE</t>
  </si>
  <si>
    <t>12 rue Clémenceau</t>
  </si>
  <si>
    <t>85000</t>
  </si>
  <si>
    <t>LA ROCHE sur YON</t>
  </si>
  <si>
    <t>16 rue de Verdun</t>
  </si>
  <si>
    <t>56170</t>
  </si>
  <si>
    <t>QUIBERON</t>
  </si>
  <si>
    <t>26 promenade Lafargue</t>
  </si>
  <si>
    <t>85100</t>
  </si>
  <si>
    <t>SABLES D'OLONNE</t>
  </si>
  <si>
    <t>BUCHY</t>
  </si>
  <si>
    <t>28 rue Travot</t>
  </si>
  <si>
    <t>SABLES d'OLONNE</t>
  </si>
  <si>
    <t>106 place Peyennière</t>
  </si>
  <si>
    <t>53100</t>
  </si>
  <si>
    <t>MAYENNE</t>
  </si>
  <si>
    <t>44 rue Levasseur</t>
  </si>
  <si>
    <t>9 rue Scribe</t>
  </si>
  <si>
    <t>28 rue de la Paix</t>
  </si>
  <si>
    <t>44600</t>
  </si>
  <si>
    <t>St NAZAIRE</t>
  </si>
  <si>
    <t>44 av Louis Lajarrige</t>
  </si>
  <si>
    <t>44500</t>
  </si>
  <si>
    <t>LA BAULE</t>
  </si>
  <si>
    <t>68 avenue du Gal De Gaulle</t>
  </si>
  <si>
    <t>2 place du palais royal</t>
  </si>
  <si>
    <t>42 rue Albert Moreau</t>
  </si>
  <si>
    <t>77000</t>
  </si>
  <si>
    <t>MELUN</t>
  </si>
  <si>
    <t>54 rue des martyrs</t>
  </si>
  <si>
    <t>FR 79 478 846 504</t>
  </si>
  <si>
    <t>84 rue des Dames</t>
  </si>
  <si>
    <t>La Fabrique</t>
  </si>
  <si>
    <t>Chemin de Roumieux</t>
  </si>
  <si>
    <t>13690</t>
  </si>
  <si>
    <t>GRAVESON</t>
  </si>
  <si>
    <t>94 rue du Fbg du Temple</t>
  </si>
  <si>
    <t>30 rue Jules Dubrulle</t>
  </si>
  <si>
    <t>60440</t>
  </si>
  <si>
    <t>NAUTEUIL LE HAUDOUIN</t>
  </si>
  <si>
    <t>34 rue du Temple</t>
  </si>
  <si>
    <t>95100</t>
  </si>
  <si>
    <t>ARGENTEUIL</t>
  </si>
  <si>
    <t>16 bis impasse de Volvestre</t>
  </si>
  <si>
    <t>31100</t>
  </si>
  <si>
    <t>TOULOUSE</t>
  </si>
  <si>
    <t>166 av Ledru Rollin</t>
  </si>
  <si>
    <t>23 quai d'Anjou</t>
  </si>
  <si>
    <t>22 rue du 8 Mai 1945</t>
  </si>
  <si>
    <t>49500</t>
  </si>
  <si>
    <t>SEGRE</t>
  </si>
  <si>
    <t>28 allée des Amonts</t>
  </si>
  <si>
    <t>95 rue de Malabry</t>
  </si>
  <si>
    <t>LE PLESSIS ROBINSON</t>
  </si>
  <si>
    <t>5 impasse Boileau</t>
  </si>
  <si>
    <t>93600</t>
  </si>
  <si>
    <t>AULNAY sous BOIS</t>
  </si>
  <si>
    <t>La Fleuriais</t>
  </si>
  <si>
    <t>35330</t>
  </si>
  <si>
    <t>MUR DE BRETAGNE</t>
  </si>
  <si>
    <t>4 sq Grange rue de la Glacière</t>
  </si>
  <si>
    <t>14 rue St Claude</t>
  </si>
  <si>
    <t>24/26 allée des Goujons</t>
  </si>
  <si>
    <t>77400</t>
  </si>
  <si>
    <t>LAGNY / MARNE</t>
  </si>
  <si>
    <t>238 rue Vaillant Couturier</t>
  </si>
  <si>
    <t>42/46 rue des Haies</t>
  </si>
  <si>
    <t>24 rue JP Timbaud</t>
  </si>
  <si>
    <t>65 rue Louise Michel</t>
  </si>
  <si>
    <t>7 av du 8 Mai 1945</t>
  </si>
  <si>
    <t>95400</t>
  </si>
  <si>
    <t>VILLIERS LE BEL</t>
  </si>
  <si>
    <t>16 av Ste Foy</t>
  </si>
  <si>
    <t>62 rue de Turenne</t>
  </si>
  <si>
    <t>18/26 rue de la Cloche</t>
  </si>
  <si>
    <t>59500</t>
  </si>
  <si>
    <t>DOUAI</t>
  </si>
  <si>
    <t>31 rue de Draguiguan</t>
  </si>
  <si>
    <t>ARNOUVILLE LES GONESSE</t>
  </si>
  <si>
    <t>3 av de la République</t>
  </si>
  <si>
    <t>14 av P.V. Couturier</t>
  </si>
  <si>
    <t>VITRY / SEINE</t>
  </si>
  <si>
    <t>176 rue du Temple</t>
  </si>
  <si>
    <t>4 rue du Puits St Pierre</t>
  </si>
  <si>
    <t>83400</t>
  </si>
  <si>
    <t>HYERES</t>
  </si>
  <si>
    <t>16 rue Meslay</t>
  </si>
  <si>
    <t>183 av du Gal de Gaulle</t>
  </si>
  <si>
    <t>54 B rue de Lancry</t>
  </si>
  <si>
    <t>113 rue de Paris</t>
  </si>
  <si>
    <t>1 rue Pablo Picasso</t>
  </si>
  <si>
    <t>95130</t>
  </si>
  <si>
    <t>FRANCONVILLE la GARENNE</t>
  </si>
  <si>
    <t>5 bis rue Béranger</t>
  </si>
  <si>
    <t>15 impasse du Chemin de Fer Chaintreauville</t>
  </si>
  <si>
    <t>77140</t>
  </si>
  <si>
    <t>ST PIERRE LES NEMOURS</t>
  </si>
  <si>
    <t>24 rue Lucien Sampaix</t>
  </si>
  <si>
    <t>Rua Jardim Botanco 129</t>
  </si>
  <si>
    <t>22410010</t>
  </si>
  <si>
    <t>RIO DE JANEIRO</t>
  </si>
  <si>
    <t>Brésil</t>
  </si>
  <si>
    <t>C.C. Art de Vivre</t>
  </si>
  <si>
    <t>78630</t>
  </si>
  <si>
    <t>ORGEVAL</t>
  </si>
  <si>
    <t>Rue Belen 4</t>
  </si>
  <si>
    <t>28004</t>
  </si>
  <si>
    <t>MADRID</t>
  </si>
  <si>
    <t>Espagne</t>
  </si>
  <si>
    <t>10 rue St Victor</t>
  </si>
  <si>
    <t>CH 1227</t>
  </si>
  <si>
    <t>CAROUGE</t>
  </si>
  <si>
    <t>8 rue des Veaux</t>
  </si>
  <si>
    <t>67000</t>
  </si>
  <si>
    <t>STRASBOURG</t>
  </si>
  <si>
    <t>FR82437582414</t>
  </si>
  <si>
    <t>7 rue des Francs Bourgeois</t>
  </si>
  <si>
    <t>56800</t>
  </si>
  <si>
    <t>PLOERMEL</t>
  </si>
  <si>
    <t>Port de Bonneuil sur Marne</t>
  </si>
  <si>
    <t>5 Route de Stains - Bât 15</t>
  </si>
  <si>
    <t>94380</t>
  </si>
  <si>
    <t>BONNEUIL sur MARNE</t>
  </si>
  <si>
    <t>39-41 rue Saint Fargeau</t>
  </si>
  <si>
    <t>RN 89</t>
  </si>
  <si>
    <t>19200</t>
  </si>
  <si>
    <t>SAINT ANGEL</t>
  </si>
  <si>
    <t>36 rue du Port Rhu</t>
  </si>
  <si>
    <t>29100</t>
  </si>
  <si>
    <t>DOUARNENEZ</t>
  </si>
  <si>
    <t>FR31431283217</t>
  </si>
  <si>
    <t>rue Pasteur</t>
  </si>
  <si>
    <t>Centre commercial Hyper 19 géant</t>
  </si>
  <si>
    <t>19360</t>
  </si>
  <si>
    <t>MALEMORT SUR CORREZE</t>
  </si>
  <si>
    <t>79 rue Bonneterie</t>
  </si>
  <si>
    <t>37 avenue d'aubiere</t>
  </si>
  <si>
    <t>63800</t>
  </si>
  <si>
    <t>COURNON D'AUVERGNE</t>
  </si>
  <si>
    <t>1 rue de Bonne Nouvelle</t>
  </si>
  <si>
    <t>7 rue peupliers villemoisson</t>
  </si>
  <si>
    <t>EPINAY SUR ORGE</t>
  </si>
  <si>
    <t>1 passage du jeu de boules</t>
  </si>
  <si>
    <t>7 Bd de Belleville</t>
  </si>
  <si>
    <t>76 rue Charlot</t>
  </si>
  <si>
    <t>5 rue Roquepine</t>
  </si>
  <si>
    <t>7 cour du vieux puit</t>
  </si>
  <si>
    <t>95650</t>
  </si>
  <si>
    <t>GENICOURT</t>
  </si>
  <si>
    <t>2 rue Gabriel Vicaire</t>
  </si>
  <si>
    <t>123 rue de Turenne</t>
  </si>
  <si>
    <t>à NANTERRE</t>
  </si>
  <si>
    <t>6 rue Béranger</t>
  </si>
  <si>
    <t>84 Grande Rue</t>
  </si>
  <si>
    <t>47700</t>
  </si>
  <si>
    <t>CASTELJALOUX</t>
  </si>
  <si>
    <t>FR39341606655</t>
  </si>
  <si>
    <t>24-26 rue des oiseaux</t>
  </si>
  <si>
    <t>71300</t>
  </si>
  <si>
    <t>MONTCEAU LES MINES</t>
  </si>
  <si>
    <t>Chez M BLASCO</t>
  </si>
  <si>
    <t>3 rue de Normandie</t>
  </si>
  <si>
    <t>RN 96</t>
  </si>
  <si>
    <t>04130</t>
  </si>
  <si>
    <t>VOLX</t>
  </si>
  <si>
    <t>3 rue Crin Blanc</t>
  </si>
  <si>
    <t>Résidence St Anne Bat A2</t>
  </si>
  <si>
    <t>30900</t>
  </si>
  <si>
    <t>NIMES</t>
  </si>
  <si>
    <t>4 rue Farman</t>
  </si>
  <si>
    <t>Parc Techno Club</t>
  </si>
  <si>
    <t>31700</t>
  </si>
  <si>
    <t>BLAGNAC</t>
  </si>
  <si>
    <t>7 rue Charlot</t>
  </si>
  <si>
    <t>20  avenue Jean Moulin</t>
  </si>
  <si>
    <t>92390</t>
  </si>
  <si>
    <t>VILLENEUVE LA GARENNE</t>
  </si>
  <si>
    <t>22 rue Notre Dame de Nazareth</t>
  </si>
  <si>
    <t>43 rue Jean Jaurès</t>
  </si>
  <si>
    <t>77720</t>
  </si>
  <si>
    <t>MORMANT</t>
  </si>
  <si>
    <t>16 rue de la corderie</t>
  </si>
  <si>
    <t>106 rue de Turenne</t>
  </si>
  <si>
    <t>46 rue de Saintonge</t>
  </si>
  <si>
    <t>10 rue des portes blanches</t>
  </si>
  <si>
    <t>Calle la Iglesia SN</t>
  </si>
  <si>
    <t>22640</t>
  </si>
  <si>
    <t>SALLENT DE GALLEGO - HUESCA</t>
  </si>
  <si>
    <t>6 rue Chapon</t>
  </si>
  <si>
    <t>33 rue du 8 Mai 1945</t>
  </si>
  <si>
    <t>LEUVILLE SUR ORGE</t>
  </si>
  <si>
    <t>91310</t>
  </si>
  <si>
    <t>MONTLHERY</t>
  </si>
  <si>
    <t>206 rue du fbg St Martin</t>
  </si>
  <si>
    <t>SARL Frecath Fleurs</t>
  </si>
  <si>
    <t>71 rue de Petit Tertre</t>
  </si>
  <si>
    <t>53200</t>
  </si>
  <si>
    <t>AZE</t>
  </si>
  <si>
    <t>9 rue de la République</t>
  </si>
  <si>
    <t>17200</t>
  </si>
  <si>
    <t>ROYAN</t>
  </si>
  <si>
    <t>Boulevard Charles V</t>
  </si>
  <si>
    <t>14600</t>
  </si>
  <si>
    <t>HONFLEUR</t>
  </si>
  <si>
    <t>6 rue Henri Oudin</t>
  </si>
  <si>
    <t>24 av porte d'Asnieres</t>
  </si>
  <si>
    <t>14 rue du fer à cheval</t>
  </si>
  <si>
    <t>91160</t>
  </si>
  <si>
    <t>BALIZY</t>
  </si>
  <si>
    <t>BP 114</t>
  </si>
  <si>
    <t>28 rue des Emeris</t>
  </si>
  <si>
    <t>FONTENAY SOUS BOIS</t>
  </si>
  <si>
    <t>5 rue Charles Renouvier</t>
  </si>
  <si>
    <t>183 route de Lodève</t>
  </si>
  <si>
    <t>34990</t>
  </si>
  <si>
    <t>JUVIGNAC</t>
  </si>
  <si>
    <t>82 rue de Colombes</t>
  </si>
  <si>
    <t>16 rue Dupetit Thouars</t>
  </si>
  <si>
    <t>1 rue Eugene Jumin</t>
  </si>
  <si>
    <t>24-26 rue de la Py</t>
  </si>
  <si>
    <t>41 avenue Gambetta</t>
  </si>
  <si>
    <t>La Gendonnie Basse</t>
  </si>
  <si>
    <t>24200</t>
  </si>
  <si>
    <t>SARLAT LA CANEDA</t>
  </si>
  <si>
    <t>44 avenue de la République</t>
  </si>
  <si>
    <t>Mulistrasse, 3</t>
  </si>
  <si>
    <t>8855</t>
  </si>
  <si>
    <t>LACHEN</t>
  </si>
  <si>
    <t>6 cité du petit Thouars</t>
  </si>
  <si>
    <t>64 avenue Jean Moulin</t>
  </si>
  <si>
    <t>3 rue Jules Guesde</t>
  </si>
  <si>
    <t>87000</t>
  </si>
  <si>
    <t>LIMOGES</t>
  </si>
  <si>
    <t>58 rue volta</t>
  </si>
  <si>
    <t>48 rue de Chabrol</t>
  </si>
  <si>
    <t>4 etage bat A</t>
  </si>
  <si>
    <t>La ville Revault</t>
  </si>
  <si>
    <t>SAINT-LUNAIRE</t>
  </si>
  <si>
    <t>3 Chemin des Granges</t>
  </si>
  <si>
    <t>10440</t>
  </si>
  <si>
    <t>LA RIVIERE DE CORPS</t>
  </si>
  <si>
    <t>43 rue Meslay</t>
  </si>
  <si>
    <t>93 rue de Maubeuge</t>
  </si>
  <si>
    <t>8 rue de la Côte aux anes</t>
  </si>
  <si>
    <t>28190</t>
  </si>
  <si>
    <t>LANDELLES</t>
  </si>
  <si>
    <t>9  cité Popincourt</t>
  </si>
  <si>
    <t>7 rue Dahomey</t>
  </si>
  <si>
    <t>9 rue Laffitte</t>
  </si>
  <si>
    <t>31000</t>
  </si>
  <si>
    <t>67 rue de charenton</t>
  </si>
  <si>
    <t>4 rue du parc</t>
  </si>
  <si>
    <t>02310</t>
  </si>
  <si>
    <t>MONTREUIL AUX LIONS</t>
  </si>
  <si>
    <t>5 avenue du Gal De Gaulle</t>
  </si>
  <si>
    <t>NOGENT LE ROI</t>
  </si>
  <si>
    <t>24-28 rue Arthur Rozier</t>
  </si>
  <si>
    <t>7 rue de la Roquette</t>
  </si>
  <si>
    <t>30 rue du Château</t>
  </si>
  <si>
    <t>21380</t>
  </si>
  <si>
    <t>MESSIGNY ET VANTOUX</t>
  </si>
  <si>
    <t>119 bd Perier</t>
  </si>
  <si>
    <t>13008</t>
  </si>
  <si>
    <t>75 rue Charlot</t>
  </si>
  <si>
    <t>9 av Charles de Gaulle</t>
  </si>
  <si>
    <t>47 av du Ml Lyautey</t>
  </si>
  <si>
    <t>39 rue du Cormier</t>
  </si>
  <si>
    <t>rue Henri Barbusse</t>
  </si>
  <si>
    <t>Bat F</t>
  </si>
  <si>
    <t>93000</t>
  </si>
  <si>
    <t>BOBIGNY</t>
  </si>
  <si>
    <t>17 rue Grande</t>
  </si>
  <si>
    <t>77430</t>
  </si>
  <si>
    <t>CHAMPAGNE/SEINE</t>
  </si>
  <si>
    <t>44 rue de Melun</t>
  </si>
  <si>
    <t>CHAILLY EN BIERE</t>
  </si>
  <si>
    <t>11 rue Brouard</t>
  </si>
  <si>
    <t>Boissettes</t>
  </si>
  <si>
    <t>77350</t>
  </si>
  <si>
    <t>LE MEE SUR SEINE</t>
  </si>
  <si>
    <t>5 rue Bellier-Dedouvre</t>
  </si>
  <si>
    <t>38 B Grande Rue</t>
  </si>
  <si>
    <t>3 res la Favorite</t>
  </si>
  <si>
    <t>rue Edouard Lievin</t>
  </si>
  <si>
    <t>93700</t>
  </si>
  <si>
    <t>DRANCY</t>
  </si>
  <si>
    <t>19 rue de la Plaine</t>
  </si>
  <si>
    <t>91700</t>
  </si>
  <si>
    <t>STE GENEVIEVE DES BOIS</t>
  </si>
  <si>
    <t>39 B avenue Gambetta</t>
  </si>
  <si>
    <t>App 121 Etg 12</t>
  </si>
  <si>
    <t>26 rue Hector Berlioz</t>
  </si>
  <si>
    <t>2 clos des Tilleuls</t>
  </si>
  <si>
    <t>43 rue du Colisee</t>
  </si>
  <si>
    <t>13 rue Eugène Sue</t>
  </si>
  <si>
    <t>13 av de Champagne</t>
  </si>
  <si>
    <t>42 rue des Bourdettes</t>
  </si>
  <si>
    <t>8 rue Jean Moulin</t>
  </si>
  <si>
    <t>92240</t>
  </si>
  <si>
    <t>MALAKOFF</t>
  </si>
  <si>
    <t>14 rue Notre Dame de N azareth</t>
  </si>
  <si>
    <t>75 av Simon Bolivar</t>
  </si>
  <si>
    <t>BAT E</t>
  </si>
  <si>
    <t>10 rue de Bretagne</t>
  </si>
  <si>
    <t>40 bld Thibaut de Champagne</t>
  </si>
  <si>
    <t>77600</t>
  </si>
  <si>
    <t>BUSSY ST GEORGES</t>
  </si>
  <si>
    <t>63 Bld Foch</t>
  </si>
  <si>
    <t>LE PERREUX SUR MARNE</t>
  </si>
  <si>
    <t>1, Place de l'église</t>
  </si>
  <si>
    <t>Nizon</t>
  </si>
  <si>
    <t>29930</t>
  </si>
  <si>
    <t>PONT-AVEN</t>
  </si>
  <si>
    <t>680,  chemin de Roumieux</t>
  </si>
  <si>
    <t>40 rue du Gl Donzelot</t>
  </si>
  <si>
    <t>93330</t>
  </si>
  <si>
    <t>NEUILLY / MARNE</t>
  </si>
  <si>
    <t>21 Avenue Fauconnet</t>
  </si>
  <si>
    <t>13210</t>
  </si>
  <si>
    <t>SAINT-REMY DE PROVENCE</t>
  </si>
  <si>
    <t>Le Puits</t>
  </si>
  <si>
    <t>49 av de Paris</t>
  </si>
  <si>
    <t>28400</t>
  </si>
  <si>
    <t>MARGON</t>
  </si>
  <si>
    <t>FR 86422337378</t>
  </si>
  <si>
    <t>2 rue Georges Clémenceaau</t>
  </si>
  <si>
    <t>10 place de la Madeleine</t>
  </si>
  <si>
    <t>35 quai St  Antoine</t>
  </si>
  <si>
    <t>69002</t>
  </si>
  <si>
    <t>RN 10  rond point Nerpuy</t>
  </si>
  <si>
    <t>86530</t>
  </si>
  <si>
    <t>NAINTRE</t>
  </si>
  <si>
    <t>42 rue Grand Pont</t>
  </si>
  <si>
    <t>76000</t>
  </si>
  <si>
    <t>ROUEN</t>
  </si>
  <si>
    <t>RN 10 / ZI Sablière</t>
  </si>
  <si>
    <t>28630</t>
  </si>
  <si>
    <t>NOGENT LE PHAYE</t>
  </si>
  <si>
    <t>76 rue Thiers</t>
  </si>
  <si>
    <t>62200</t>
  </si>
  <si>
    <t>BOULOGNE SUR MER</t>
  </si>
  <si>
    <t>222 av Michel Croz</t>
  </si>
  <si>
    <t>74400</t>
  </si>
  <si>
    <t>CHAMONIX</t>
  </si>
  <si>
    <t>23 av Charles de Gaulle</t>
  </si>
  <si>
    <t>73100</t>
  </si>
  <si>
    <t>AIX LES BAINS</t>
  </si>
  <si>
    <t>8 rue St Jean</t>
  </si>
  <si>
    <t>74120</t>
  </si>
  <si>
    <t>MEGEVE</t>
  </si>
  <si>
    <t>10 rue de la folie Mericourt</t>
  </si>
  <si>
    <t>27 rue Jean Pierre Timbaud</t>
  </si>
  <si>
    <t>5 rue Blanche</t>
  </si>
  <si>
    <t>74230</t>
  </si>
  <si>
    <t>THÔNES</t>
  </si>
  <si>
    <t>2 rue Michelet</t>
  </si>
  <si>
    <t>22000</t>
  </si>
  <si>
    <t>ST BRIEUC</t>
  </si>
  <si>
    <t>21 rue du Général de Gaulle</t>
  </si>
  <si>
    <t>49 route Notre Dame de la Gorge</t>
  </si>
  <si>
    <t>74170</t>
  </si>
  <si>
    <t>LES CONTAMINES</t>
  </si>
  <si>
    <t>FR 23407747781</t>
  </si>
  <si>
    <t>36 route Nationale</t>
  </si>
  <si>
    <t>Immeuble le "Petaru"</t>
  </si>
  <si>
    <t>73550</t>
  </si>
  <si>
    <t>MERIBEL</t>
  </si>
  <si>
    <t>fr 68451227367</t>
  </si>
  <si>
    <t>Val Village BP 112</t>
  </si>
  <si>
    <t>73150</t>
  </si>
  <si>
    <t>VAL D'ISERE CEDEX</t>
  </si>
  <si>
    <t>FR 05338851488</t>
  </si>
  <si>
    <t>BP 83</t>
  </si>
  <si>
    <t>73124</t>
  </si>
  <si>
    <t>COURCHEVEL CEDEX</t>
  </si>
  <si>
    <t>Les Hameaux du Bez</t>
  </si>
  <si>
    <t>Serre Chevalier 1400</t>
  </si>
  <si>
    <t>05240</t>
  </si>
  <si>
    <t>LA SALLE LES ALPES</t>
  </si>
  <si>
    <t>FR 08429254519</t>
  </si>
  <si>
    <t>347 rue du Centre</t>
  </si>
  <si>
    <t>74260</t>
  </si>
  <si>
    <t>LES GETS</t>
  </si>
  <si>
    <t>fr 60941200013</t>
  </si>
  <si>
    <t>11 rue Balzac</t>
  </si>
  <si>
    <t>37190</t>
  </si>
  <si>
    <t>AZAY LE RIDEAU</t>
  </si>
  <si>
    <t>fr 70434913455</t>
  </si>
  <si>
    <t>96 rue de Londres</t>
  </si>
  <si>
    <t>62520</t>
  </si>
  <si>
    <t>LE TOUQUET PARIS PLAGE</t>
  </si>
  <si>
    <t>28  rue Travot</t>
  </si>
  <si>
    <t>LES SABLES D'OLONNE</t>
  </si>
  <si>
    <t>16 route de Versailles</t>
  </si>
  <si>
    <t>78150</t>
  </si>
  <si>
    <t>ROCQUENCOURT</t>
  </si>
  <si>
    <t>FR 45382374205</t>
  </si>
  <si>
    <t>C/C Cap Sud</t>
  </si>
  <si>
    <t>C/C Avignon Nord BP 86</t>
  </si>
  <si>
    <t>84703</t>
  </si>
  <si>
    <t>SORGUES CEDEX</t>
  </si>
  <si>
    <t>10 av Frédéric Mistral</t>
  </si>
  <si>
    <t>ST REMY DE PROVENCE</t>
  </si>
  <si>
    <t>38 Bd Victor Hugo</t>
  </si>
  <si>
    <t>30 Bd Mirabeau</t>
  </si>
  <si>
    <t>9 rue Hoche</t>
  </si>
  <si>
    <t>28 rue Lafayette</t>
  </si>
  <si>
    <t>6 rue Carnot</t>
  </si>
  <si>
    <t>24 rue de la Commune</t>
  </si>
  <si>
    <t>FR40342917093</t>
  </si>
  <si>
    <t>25 Bd Victor Hugo</t>
  </si>
  <si>
    <t>12bis rue du Docteur Roux</t>
  </si>
  <si>
    <t>94600</t>
  </si>
  <si>
    <t>CHOISY LE ROI</t>
  </si>
  <si>
    <t>2 avenue du Lt Atger</t>
  </si>
  <si>
    <t>2 rue de Franche Comté</t>
  </si>
  <si>
    <t>33 rue de la Halle</t>
  </si>
  <si>
    <t>17450</t>
  </si>
  <si>
    <t>FOURAS</t>
  </si>
  <si>
    <t>FR 27419005764</t>
  </si>
  <si>
    <t>134 rue Theophile Roussel</t>
  </si>
  <si>
    <t>48200</t>
  </si>
  <si>
    <t>ST CHELY D'APCHER</t>
  </si>
  <si>
    <t>3 rue du vingt quatres Aout</t>
  </si>
  <si>
    <t>55 avenue Grande Côte</t>
  </si>
  <si>
    <t>17420</t>
  </si>
  <si>
    <t>ST PALAIS SUR MER</t>
  </si>
  <si>
    <t>57 rue Grignan</t>
  </si>
  <si>
    <t>Kerviglouse</t>
  </si>
  <si>
    <t>29360</t>
  </si>
  <si>
    <t>CLOHARS CARNOET</t>
  </si>
  <si>
    <t>14 Quai M.Boissard</t>
  </si>
  <si>
    <t>44400</t>
  </si>
  <si>
    <t>TRENTEMOULT</t>
  </si>
  <si>
    <t>AIME</t>
  </si>
  <si>
    <t>32 Ledbury road</t>
  </si>
  <si>
    <t>W11 2 AB</t>
  </si>
  <si>
    <t>LONDRES</t>
  </si>
  <si>
    <t>53 Avenue Victor-Hugo</t>
  </si>
  <si>
    <t>FR 5820385858</t>
  </si>
  <si>
    <t>19 rue de la république</t>
  </si>
  <si>
    <t>48100</t>
  </si>
  <si>
    <t>MARVEJOLS</t>
  </si>
  <si>
    <t>Route André Citroen 32</t>
  </si>
  <si>
    <t>Usine Center lot 24A</t>
  </si>
  <si>
    <t>78140</t>
  </si>
  <si>
    <t>VELIZY / VILLACOUBLAY</t>
  </si>
  <si>
    <t>19 Pont d'Arve / CP 227</t>
  </si>
  <si>
    <t>CH 1211</t>
  </si>
  <si>
    <t>GENEVE 4</t>
  </si>
  <si>
    <t>CH 423803</t>
  </si>
  <si>
    <t>13 rue du Sallé</t>
  </si>
  <si>
    <t>Place au beurre</t>
  </si>
  <si>
    <t>FR54401473231</t>
  </si>
  <si>
    <t>19 rue Auber</t>
  </si>
  <si>
    <t>62100</t>
  </si>
  <si>
    <t>CALAIS</t>
  </si>
  <si>
    <t>23 rue des Fossés</t>
  </si>
  <si>
    <t>1110</t>
  </si>
  <si>
    <t>MORGES</t>
  </si>
  <si>
    <t>7 rue du Docteur GOUJON</t>
  </si>
  <si>
    <t>FR69314055658</t>
  </si>
  <si>
    <t>30, rue François Miron</t>
  </si>
  <si>
    <t>Place de l'Eglise</t>
  </si>
  <si>
    <t>18330</t>
  </si>
  <si>
    <t>NANCAY</t>
  </si>
  <si>
    <t>FR 93340984418</t>
  </si>
  <si>
    <t>10 Place du Grand Martroy</t>
  </si>
  <si>
    <t>95300</t>
  </si>
  <si>
    <t>PONTOISE</t>
  </si>
  <si>
    <t>Aeromer</t>
  </si>
  <si>
    <t>40 rue Hemet</t>
  </si>
  <si>
    <t>93300</t>
  </si>
  <si>
    <t>AUBERVILLIERS</t>
  </si>
  <si>
    <t>16 rue Gai Lussac</t>
  </si>
  <si>
    <t>ZI de Trepillot</t>
  </si>
  <si>
    <t>25000</t>
  </si>
  <si>
    <t>BESANCON</t>
  </si>
  <si>
    <t>16 rue du Maréchal Joffre</t>
  </si>
  <si>
    <t>18100</t>
  </si>
  <si>
    <t>VIERZON</t>
  </si>
  <si>
    <t>14 rue des acacias</t>
  </si>
  <si>
    <t>68230</t>
  </si>
  <si>
    <t>WALBACH</t>
  </si>
  <si>
    <t>6 rue de Sorrelouis</t>
  </si>
  <si>
    <t>57320</t>
  </si>
  <si>
    <t>BOUZONVILLE</t>
  </si>
  <si>
    <t>24 Galerie Vivienne</t>
  </si>
  <si>
    <t>FR46409377421</t>
  </si>
  <si>
    <t>L'Entrepont</t>
  </si>
  <si>
    <t>97133</t>
  </si>
  <si>
    <t>9 av de Genève</t>
  </si>
  <si>
    <t>01220</t>
  </si>
  <si>
    <t>DIVONNE LES BAINS</t>
  </si>
  <si>
    <t>Les Jardiniers d'Aix SA</t>
  </si>
  <si>
    <t>ZC  la Pioline les Milles</t>
  </si>
  <si>
    <t>13546</t>
  </si>
  <si>
    <t>AIX EN PROVENCE CEDEX 4</t>
  </si>
  <si>
    <t>800 Crandon Blud</t>
  </si>
  <si>
    <t>Suite 202 Key Biscayne</t>
  </si>
  <si>
    <t>33149</t>
  </si>
  <si>
    <t>C/O Cyril King Airport</t>
  </si>
  <si>
    <t>8100 Lindberg Bay-suite # 4</t>
  </si>
  <si>
    <t>USVI 00802-5904</t>
  </si>
  <si>
    <t>ST THOMAS</t>
  </si>
  <si>
    <t>124 rue St Charles</t>
  </si>
  <si>
    <t>19 avenue Mozart</t>
  </si>
  <si>
    <t>Pierre - Belle</t>
  </si>
  <si>
    <t>05350</t>
  </si>
  <si>
    <t>ST VERAN</t>
  </si>
  <si>
    <t>20 rue St Michel</t>
  </si>
  <si>
    <t>06500</t>
  </si>
  <si>
    <t>MENTON</t>
  </si>
  <si>
    <t>20 rue Jean Pierre Thimbaud</t>
  </si>
  <si>
    <t>102 av du Gd de Gaulle</t>
  </si>
  <si>
    <t>94490</t>
  </si>
  <si>
    <t>ORMESSON   S/MARNE</t>
  </si>
  <si>
    <t>Les pieces nobles</t>
  </si>
  <si>
    <t>04210</t>
  </si>
  <si>
    <t>BRUNET</t>
  </si>
  <si>
    <t>16 rue des jeuneurs</t>
  </si>
  <si>
    <t>59 cours Mirabeau</t>
  </si>
  <si>
    <t>AIX EN PROVENCE</t>
  </si>
  <si>
    <t>Place d'Inguimberg</t>
  </si>
  <si>
    <t>84200</t>
  </si>
  <si>
    <t>CARPENTRAS</t>
  </si>
  <si>
    <t>2 crech castiou</t>
  </si>
  <si>
    <t>22610</t>
  </si>
  <si>
    <t>PLEUBIAN</t>
  </si>
  <si>
    <t>9 rue de la Roquette</t>
  </si>
  <si>
    <t>158 rue de courcelles</t>
  </si>
  <si>
    <t>13 rue de l'Annonciation</t>
  </si>
  <si>
    <t>FR67444058226</t>
  </si>
  <si>
    <t>73 rue Notre Dame de Lorette</t>
  </si>
  <si>
    <t>Rue de la République</t>
  </si>
  <si>
    <t>13110</t>
  </si>
  <si>
    <t>PORT DE BOUC</t>
  </si>
  <si>
    <t>rue Jacques Jarser</t>
  </si>
  <si>
    <t>1030</t>
  </si>
  <si>
    <t>6 rue du Poteau</t>
  </si>
  <si>
    <t>8 rue Béranger</t>
  </si>
  <si>
    <t>42 rue Réaumur</t>
  </si>
  <si>
    <t>33  rue Grande</t>
  </si>
  <si>
    <t>04100</t>
  </si>
  <si>
    <t>MANOSQUE</t>
  </si>
  <si>
    <t>9 rue Gubernatis</t>
  </si>
  <si>
    <t>06000</t>
  </si>
  <si>
    <t>15 avenue otre Dame</t>
  </si>
  <si>
    <t>Le Gray d'Albion, 17 La Croisette</t>
  </si>
  <si>
    <t>10 12 Avenue de Toulon</t>
  </si>
  <si>
    <t>62 rue Breteuil</t>
  </si>
  <si>
    <t>19 rue Granet</t>
  </si>
  <si>
    <t>8 rue du Dr Fanton</t>
  </si>
  <si>
    <t>67 bd de la Libération</t>
  </si>
  <si>
    <t>2 rue du Plat</t>
  </si>
  <si>
    <t>1 rue du Mail</t>
  </si>
  <si>
    <t>69004</t>
  </si>
  <si>
    <t>20 rue du Commerce</t>
  </si>
  <si>
    <t>74100</t>
  </si>
  <si>
    <t>ANNEMASSE</t>
  </si>
  <si>
    <t>9 avenue Gal de Gaulle</t>
  </si>
  <si>
    <t>6 rue Quaranta</t>
  </si>
  <si>
    <t>83990</t>
  </si>
  <si>
    <t>ST TROPEZ</t>
  </si>
  <si>
    <t>9 rue Cdt André</t>
  </si>
  <si>
    <t>85 rue Chardon Lagache</t>
  </si>
  <si>
    <t>21 rue Bisson</t>
  </si>
  <si>
    <t>19 tue de la pierre-Levée</t>
  </si>
  <si>
    <t>6 rue Gaston de Saporta</t>
  </si>
  <si>
    <t>5  Rue du 9 Septembre</t>
  </si>
  <si>
    <t>20110</t>
  </si>
  <si>
    <t>PROPRIANO</t>
  </si>
  <si>
    <t>Market Place, Burnham Market</t>
  </si>
  <si>
    <t>PE31 8HF</t>
  </si>
  <si>
    <t>NORFOLK</t>
  </si>
  <si>
    <t>10 rue Napoléon</t>
  </si>
  <si>
    <t>20200</t>
  </si>
  <si>
    <t>BASTIA</t>
  </si>
  <si>
    <t>14 Quai Marcel Boissolrol</t>
  </si>
  <si>
    <t>REZE</t>
  </si>
  <si>
    <t>C/ Isabel la Catolica, 7</t>
  </si>
  <si>
    <t>40001</t>
  </si>
  <si>
    <t>Segovia</t>
  </si>
  <si>
    <t>E401 89 98 7</t>
  </si>
  <si>
    <t>94 rue Juiverie</t>
  </si>
  <si>
    <t>73000</t>
  </si>
  <si>
    <t>CHAMBERY</t>
  </si>
  <si>
    <t>Chaussée de Namur 262</t>
  </si>
  <si>
    <t>B-5310</t>
  </si>
  <si>
    <t>LEUZE-EGHEZEE</t>
  </si>
  <si>
    <t>BE 475 593 374</t>
  </si>
  <si>
    <t xml:space="preserve"> ZI de Baleone RN 194</t>
  </si>
  <si>
    <t>20167</t>
  </si>
  <si>
    <t>MEZZAVIA</t>
  </si>
  <si>
    <t>88 rue de Grenelle</t>
  </si>
  <si>
    <t>48 rue de Joinville</t>
  </si>
  <si>
    <t>FONTENAY-SOUS -BOIS</t>
  </si>
  <si>
    <t>29 rue des Fontaines</t>
  </si>
  <si>
    <t>95420</t>
  </si>
  <si>
    <t>OMERVILLE</t>
  </si>
  <si>
    <t>13-15 rue du Bourg</t>
  </si>
  <si>
    <t>19 place de la Halle</t>
  </si>
  <si>
    <t>27400</t>
  </si>
  <si>
    <t>LOUVIERS</t>
  </si>
  <si>
    <t>musée du Mayet de Montagne</t>
  </si>
  <si>
    <t>03250</t>
  </si>
  <si>
    <t>MAYET DE MONTAGNE</t>
  </si>
  <si>
    <t>3 rue des Hirondelles</t>
  </si>
  <si>
    <t>4680</t>
  </si>
  <si>
    <t>OUPEYE</t>
  </si>
  <si>
    <t>BE 757.453.697</t>
  </si>
  <si>
    <t>Louise de Colignystraat 61</t>
  </si>
  <si>
    <t>NL-2595</t>
  </si>
  <si>
    <t>SM DEN HAAG</t>
  </si>
  <si>
    <t>Pays-Bas</t>
  </si>
  <si>
    <t>NL008391282B01</t>
  </si>
  <si>
    <t>78490</t>
  </si>
  <si>
    <t>MONTFORT LAMAURY</t>
  </si>
  <si>
    <t>via E.Reginato 69/63</t>
  </si>
  <si>
    <t>TREVISO</t>
  </si>
  <si>
    <t>via San Felice 12/A</t>
  </si>
  <si>
    <t>40122</t>
  </si>
  <si>
    <t>BOLOGNA</t>
  </si>
  <si>
    <t>51 rue Louis Aguillon</t>
  </si>
  <si>
    <t>79200</t>
  </si>
  <si>
    <t>PARTHENAY</t>
  </si>
  <si>
    <t>Marché Malassis, 142 rue des rosiers</t>
  </si>
  <si>
    <t>93400</t>
  </si>
  <si>
    <t>SAINT OUEN</t>
  </si>
  <si>
    <t>4 rue bersot</t>
  </si>
  <si>
    <t>297 rue des pyrénées</t>
  </si>
  <si>
    <t>41 Boulevard des Belges</t>
  </si>
  <si>
    <t>14390</t>
  </si>
  <si>
    <t>CABOURG</t>
  </si>
  <si>
    <t>FR 02433904406</t>
  </si>
  <si>
    <t>71 bvd Malsherbes</t>
  </si>
  <si>
    <t>34 A  avenue de Montmorency</t>
  </si>
  <si>
    <t>60500</t>
  </si>
  <si>
    <t>CHANTILLY</t>
  </si>
  <si>
    <t>22 rue Paul Valerie</t>
  </si>
  <si>
    <t>34130</t>
  </si>
  <si>
    <t>CANDILLARGUES</t>
  </si>
  <si>
    <t>3 bis rue Garnier</t>
  </si>
  <si>
    <t>NEUILLY SUR SEINE</t>
  </si>
  <si>
    <t>12 avenue Henri IV</t>
  </si>
  <si>
    <t>98 avenue Parmentier</t>
  </si>
  <si>
    <t>28 rue traversière</t>
  </si>
  <si>
    <t>64 rue lafayette</t>
  </si>
  <si>
    <t>99 rue de la verrerie</t>
  </si>
  <si>
    <t>02 rue FLECHIER</t>
  </si>
  <si>
    <t>62 rue Charlot</t>
  </si>
  <si>
    <t>51 rue saint honoré</t>
  </si>
  <si>
    <t>166 Boulevard du Montparnasse</t>
  </si>
  <si>
    <t>30 bis rue du Bailly bat C</t>
  </si>
  <si>
    <t>93210</t>
  </si>
  <si>
    <t>LA PLAINE-ST-DENIS</t>
  </si>
  <si>
    <t>41800</t>
  </si>
  <si>
    <t>MONTOIRE SUR LOIR</t>
  </si>
  <si>
    <t>28 rue Delambre</t>
  </si>
  <si>
    <t>Case postale 7</t>
  </si>
  <si>
    <t>1226</t>
  </si>
  <si>
    <t>THONEX-GE</t>
  </si>
  <si>
    <t>8 rue Paul Féval</t>
  </si>
  <si>
    <t>35150</t>
  </si>
  <si>
    <t>JANZE</t>
  </si>
  <si>
    <t>135 rue de clignancourt</t>
  </si>
  <si>
    <t>13 rue du pont aux choux</t>
  </si>
  <si>
    <t>18 Allée du Château</t>
  </si>
  <si>
    <t>77360</t>
  </si>
  <si>
    <t>Vaires sur marne</t>
  </si>
  <si>
    <t>29 rue du Caire</t>
  </si>
  <si>
    <t>10 rue Paul Féval</t>
  </si>
  <si>
    <t>126 rue de Tocqueville</t>
  </si>
  <si>
    <t>gravy</t>
  </si>
  <si>
    <t>43800</t>
  </si>
  <si>
    <t>ROSIERE</t>
  </si>
  <si>
    <t>5 avenue du Pont Rouge</t>
  </si>
  <si>
    <t>57070</t>
  </si>
  <si>
    <t>METZ</t>
  </si>
  <si>
    <t>57130</t>
  </si>
  <si>
    <t>3 rue Grandes Fabriques</t>
  </si>
  <si>
    <t>66000</t>
  </si>
  <si>
    <t>PERPIGNAN</t>
  </si>
  <si>
    <t>43 rue de Saintonge</t>
  </si>
  <si>
    <t>1 rue Bourbon le Château</t>
  </si>
  <si>
    <t>78 rue Foch</t>
  </si>
  <si>
    <t>CHARTRETTES</t>
  </si>
  <si>
    <t>1 rue de Filay Trézan</t>
  </si>
  <si>
    <t>45330</t>
  </si>
  <si>
    <t>MALSHERBES</t>
  </si>
  <si>
    <t>26 rue André Gide</t>
  </si>
  <si>
    <t>10 rue du 23 Aout</t>
  </si>
  <si>
    <t>177 rue de Bagnolet</t>
  </si>
  <si>
    <t>10 rue des prés</t>
  </si>
  <si>
    <t>3 bis rue de Versaille</t>
  </si>
  <si>
    <t>MASSY</t>
  </si>
  <si>
    <t>37 rue Françoise Dolto</t>
  </si>
  <si>
    <t>91510</t>
  </si>
  <si>
    <t>LARDY</t>
  </si>
  <si>
    <t>361 rue Lecourbe</t>
  </si>
  <si>
    <t>120 avenue Achille Peretti</t>
  </si>
  <si>
    <t>la marre aux trois saules</t>
  </si>
  <si>
    <t>ST SAUVEUR SUR ECOLE</t>
  </si>
  <si>
    <t>7 allée du charron</t>
  </si>
  <si>
    <t>16 avenue du Maréchal Foch</t>
  </si>
  <si>
    <t>389 rue Mesnil</t>
  </si>
  <si>
    <t>76400</t>
  </si>
  <si>
    <t>SENNEVILLE SUR FECAMP</t>
  </si>
  <si>
    <t>12 avenueSainte Marie</t>
  </si>
  <si>
    <t>94160</t>
  </si>
  <si>
    <t>ST MANDE</t>
  </si>
  <si>
    <t>16 rue Louis de Broglie</t>
  </si>
  <si>
    <t>BP1</t>
  </si>
  <si>
    <t>95508</t>
  </si>
  <si>
    <t>LE THILLAY</t>
  </si>
  <si>
    <t>200 Avenue de la Mer</t>
  </si>
  <si>
    <t>11210</t>
  </si>
  <si>
    <t>PORT LA NOUVELLE</t>
  </si>
  <si>
    <t>52 rue d'Emerainville</t>
  </si>
  <si>
    <t>Impasse Champenois</t>
  </si>
  <si>
    <t>21470</t>
  </si>
  <si>
    <t>BRAZEY EN PLAINE</t>
  </si>
  <si>
    <t>18 rue de la garenne</t>
  </si>
  <si>
    <t>28700</t>
  </si>
  <si>
    <t>LELAINVILLE</t>
  </si>
  <si>
    <t>48 rue de joinville</t>
  </si>
  <si>
    <t>FONTENAY S/ BOIS</t>
  </si>
  <si>
    <t>2 rue Fontange</t>
  </si>
  <si>
    <t>7 rue du Docteur Combalat</t>
  </si>
  <si>
    <t>ZI Nord rue Copernic</t>
  </si>
  <si>
    <t>4 place Blanqui</t>
  </si>
  <si>
    <t>ZA la Fenouillet</t>
  </si>
  <si>
    <t>RD 559</t>
  </si>
  <si>
    <t>83240</t>
  </si>
  <si>
    <t>CAVALAIRE</t>
  </si>
  <si>
    <t>808 avenue Brossolette</t>
  </si>
  <si>
    <t>Rte de Lorgues</t>
  </si>
  <si>
    <t>83300</t>
  </si>
  <si>
    <t>DRAGNIGNAN</t>
  </si>
  <si>
    <t>Quartier de la Bouillabaisse</t>
  </si>
  <si>
    <t>83580</t>
  </si>
  <si>
    <t>GASSIN - ST TROPEZ</t>
  </si>
  <si>
    <t>C.C les Mercunales</t>
  </si>
  <si>
    <t>83440</t>
  </si>
  <si>
    <t>TOURETTES</t>
  </si>
  <si>
    <t>77 rue Mal Foch</t>
  </si>
  <si>
    <t>40 Grande rue</t>
  </si>
  <si>
    <t>1630</t>
  </si>
  <si>
    <t>BULLE</t>
  </si>
  <si>
    <t>54  Allée de la Flanerie</t>
  </si>
  <si>
    <t>34300</t>
  </si>
  <si>
    <t>CAP D'AGDE</t>
  </si>
  <si>
    <t>Route de Carnon</t>
  </si>
  <si>
    <t>34970</t>
  </si>
  <si>
    <t>LATTES MONTPELLIER</t>
  </si>
  <si>
    <t>2 plan de l'Aspic</t>
  </si>
  <si>
    <t>30000</t>
  </si>
  <si>
    <t>av J Baptiste Castel</t>
  </si>
  <si>
    <t>83160</t>
  </si>
  <si>
    <t>LA VALETTE</t>
  </si>
  <si>
    <t>1936</t>
  </si>
  <si>
    <t>VERBIER</t>
  </si>
  <si>
    <t>Villigerhaus</t>
  </si>
  <si>
    <t>CH 3780</t>
  </si>
  <si>
    <t>GSTARD</t>
  </si>
  <si>
    <t>10 rue Guillaume le Conquérant</t>
  </si>
  <si>
    <t>BP 134</t>
  </si>
  <si>
    <t>50270</t>
  </si>
  <si>
    <t>BARNEVILLE CARTERET</t>
  </si>
  <si>
    <t>11 rue du Général de Gaulle</t>
  </si>
  <si>
    <t>85800</t>
  </si>
  <si>
    <t>ST GILLES CROIX DE VIE</t>
  </si>
  <si>
    <t>10 av Jean Guiton</t>
  </si>
  <si>
    <t>7 avenue des Salines</t>
  </si>
  <si>
    <t>56340</t>
  </si>
  <si>
    <t>CARNAC</t>
  </si>
  <si>
    <t>36 rue Adam de la Halle</t>
  </si>
  <si>
    <t>62000</t>
  </si>
  <si>
    <t>ARRAS</t>
  </si>
  <si>
    <t>132 bld Suchet</t>
  </si>
  <si>
    <t>6 rue de la paix</t>
  </si>
  <si>
    <t>NEUILLY SUR MARNE</t>
  </si>
  <si>
    <t>4 rue Pierre de Coubertin</t>
  </si>
  <si>
    <t>15 Main St.</t>
  </si>
  <si>
    <t>Kinsale Cork</t>
  </si>
  <si>
    <t>IE5349380E</t>
  </si>
  <si>
    <t>Hoornstraat 4</t>
  </si>
  <si>
    <t>9000</t>
  </si>
  <si>
    <t>Getn</t>
  </si>
  <si>
    <t>BE441158869</t>
  </si>
  <si>
    <t>BAPEAUME LES ROUEN</t>
  </si>
  <si>
    <t>40 rue du Canal</t>
  </si>
  <si>
    <t>76380</t>
  </si>
  <si>
    <t>CANTELEU</t>
  </si>
  <si>
    <t>45 rue du Docteur Robin</t>
  </si>
  <si>
    <t>8 ch de la Planquette Emeraude 19</t>
  </si>
  <si>
    <t>27300</t>
  </si>
  <si>
    <t>BERNAY</t>
  </si>
  <si>
    <t>61 rue Gambetta</t>
  </si>
  <si>
    <t>BP36</t>
  </si>
  <si>
    <t>51766</t>
  </si>
  <si>
    <t>REIMS</t>
  </si>
  <si>
    <t>FR 5343194579900010</t>
  </si>
  <si>
    <t>Via dei ponti, 7</t>
  </si>
  <si>
    <t>I-33097</t>
  </si>
  <si>
    <t>Spilimbergo (PN)</t>
  </si>
  <si>
    <t>I01804600300</t>
  </si>
  <si>
    <t>Topacio 30</t>
  </si>
  <si>
    <t>47012</t>
  </si>
  <si>
    <t>Valladolid</t>
  </si>
  <si>
    <t>B-47413711</t>
  </si>
  <si>
    <t>2 bis, rue du Ponant</t>
  </si>
  <si>
    <t>83310</t>
  </si>
  <si>
    <t>Port Cogolin</t>
  </si>
  <si>
    <t>Z.A. du Landreau</t>
  </si>
  <si>
    <t>49610</t>
  </si>
  <si>
    <t>Moze S/Louet</t>
  </si>
  <si>
    <t>Weinbrennerstr.2a</t>
  </si>
  <si>
    <t>79539</t>
  </si>
  <si>
    <t>Lörrach</t>
  </si>
  <si>
    <t>10 rue de l'orvosserie</t>
  </si>
  <si>
    <t>44800</t>
  </si>
  <si>
    <t>st herblain</t>
  </si>
  <si>
    <t>zone commerciale  mercuria 2, 1 rue des catalaunes</t>
  </si>
  <si>
    <t>51470</t>
  </si>
  <si>
    <t>SAINT MEMMIE</t>
  </si>
  <si>
    <t>Senach / Bat E1</t>
  </si>
  <si>
    <t>150 avenue du merlan</t>
  </si>
  <si>
    <t>13014</t>
  </si>
  <si>
    <t>FR07349701359</t>
  </si>
  <si>
    <t>6 rue Saint Germain</t>
  </si>
  <si>
    <t>95380</t>
  </si>
  <si>
    <t>VILLERON</t>
  </si>
  <si>
    <t>58 Bd Basly</t>
  </si>
  <si>
    <t>62300</t>
  </si>
  <si>
    <t>LENS</t>
  </si>
  <si>
    <t>FR17302700174</t>
  </si>
  <si>
    <t>8 rue Berthollet</t>
  </si>
  <si>
    <t>MONTFRANC</t>
  </si>
  <si>
    <t>41300</t>
  </si>
  <si>
    <t>PIRREFITTE sur SAULDRE</t>
  </si>
  <si>
    <t>93 rue de l'Alzette</t>
  </si>
  <si>
    <t>L4011</t>
  </si>
  <si>
    <t>Luxembourg</t>
  </si>
  <si>
    <t>LU18464256</t>
  </si>
  <si>
    <t>71 ter rue de meaux</t>
  </si>
  <si>
    <t>77450</t>
  </si>
  <si>
    <t>ISLES LES VILLENOY</t>
  </si>
  <si>
    <t>7 rue de versailles</t>
  </si>
  <si>
    <t>15 rue du 4 septembre</t>
  </si>
  <si>
    <t>klokputten 5</t>
  </si>
  <si>
    <t>2221</t>
  </si>
  <si>
    <t>BOOISCHOT</t>
  </si>
  <si>
    <t>BE 448-673-597</t>
  </si>
  <si>
    <t>30 rue du Temple</t>
  </si>
  <si>
    <t>61 rue Henri IV</t>
  </si>
  <si>
    <t>27540</t>
  </si>
  <si>
    <t>IVRY LA BATAILLE</t>
  </si>
  <si>
    <t>105 route de Tours</t>
  </si>
  <si>
    <t>9 cours de la liberté</t>
  </si>
  <si>
    <t>Rosellon , 237 tda.2</t>
  </si>
  <si>
    <t>08008</t>
  </si>
  <si>
    <t>BARCELONA</t>
  </si>
  <si>
    <t>Espace Rroussel</t>
  </si>
  <si>
    <t>47500</t>
  </si>
  <si>
    <t>MONTAYRAL</t>
  </si>
  <si>
    <t>1 CH des vignettes</t>
  </si>
  <si>
    <t>ch-1026</t>
  </si>
  <si>
    <t>DENGES</t>
  </si>
  <si>
    <t>293229</t>
  </si>
  <si>
    <t>14 avenue Victor Hugo</t>
  </si>
  <si>
    <t>19000</t>
  </si>
  <si>
    <t>TULLE</t>
  </si>
  <si>
    <t>10 rue des Frères d'Astier de la vignerie</t>
  </si>
  <si>
    <t>1 rue van-dyck</t>
  </si>
  <si>
    <t>Calais</t>
  </si>
  <si>
    <t>rot. das Tojas-Edif. Cascais office 1.°h</t>
  </si>
  <si>
    <t>2645-091</t>
  </si>
  <si>
    <t>Alcabideche</t>
  </si>
  <si>
    <t>516 San Ysidro Road</t>
  </si>
  <si>
    <t>CA 93108</t>
  </si>
  <si>
    <t>Santa Barbara</t>
  </si>
  <si>
    <t>40 rue Auguste conté</t>
  </si>
  <si>
    <t>27 place Bellecour</t>
  </si>
  <si>
    <t>128 avenue de flandre</t>
  </si>
  <si>
    <t>10 rue Edouard Vaillant</t>
  </si>
  <si>
    <t>94270</t>
  </si>
  <si>
    <t>LE KREMLIN BICETRE</t>
  </si>
  <si>
    <t>5 allée des prés de Renneuil</t>
  </si>
  <si>
    <t>78590</t>
  </si>
  <si>
    <t>NOISY LE ROI</t>
  </si>
  <si>
    <t>34 rue de citeaux</t>
  </si>
  <si>
    <t>22 bis rue de Chartres</t>
  </si>
  <si>
    <t>FR45393292040</t>
  </si>
  <si>
    <t>26 rue Edouard Vaillant</t>
  </si>
  <si>
    <t>93170</t>
  </si>
  <si>
    <t>BAGNOLET</t>
  </si>
  <si>
    <t>34, rue de sanem</t>
  </si>
  <si>
    <t>L - 4485</t>
  </si>
  <si>
    <t>Soleuvre</t>
  </si>
  <si>
    <t>LU 14426888</t>
  </si>
  <si>
    <t>11 Blvd Voltaire</t>
  </si>
  <si>
    <t>le bariolet</t>
  </si>
  <si>
    <t>19410</t>
  </si>
  <si>
    <t>perpezac le noir</t>
  </si>
  <si>
    <t>15 rue diderot</t>
  </si>
  <si>
    <t>Montreuil</t>
  </si>
  <si>
    <t>55 rue au mair</t>
  </si>
  <si>
    <t>Sté EMSTIL</t>
  </si>
  <si>
    <t>105, C.Cial BERCY 2</t>
  </si>
  <si>
    <t>94228</t>
  </si>
  <si>
    <t>Charenton cedex</t>
  </si>
  <si>
    <t>FABRIM</t>
  </si>
  <si>
    <t>64 rue de lafayette</t>
  </si>
  <si>
    <t>21 rue Ste-Croix-de-la-Bretonnerie</t>
  </si>
  <si>
    <t>27 rue des archives</t>
  </si>
  <si>
    <t>77 avenue Ledru-Rollin</t>
  </si>
  <si>
    <t>63 rue de Bretagne</t>
  </si>
  <si>
    <t>11 rue Mathurin Régnier</t>
  </si>
  <si>
    <t>chartres</t>
  </si>
  <si>
    <t>5 rue de la Volaille</t>
  </si>
  <si>
    <t>11 Avenue de la Bourdonnais</t>
  </si>
  <si>
    <t>6 rue Beethoven</t>
  </si>
  <si>
    <t>6, rue Rambuan du Coudray</t>
  </si>
  <si>
    <t>FR22401424577</t>
  </si>
  <si>
    <t>30 za de Calebassier</t>
  </si>
  <si>
    <t>97100</t>
  </si>
  <si>
    <t>BASSE-TERRE</t>
  </si>
  <si>
    <t>Hoveniersstraat 50-52 b4</t>
  </si>
  <si>
    <t>2018</t>
  </si>
  <si>
    <t>ANVERS</t>
  </si>
  <si>
    <t>rotunda das tojas, edificio cascais office, 1°H</t>
  </si>
  <si>
    <t>57 rue au pain</t>
  </si>
  <si>
    <t xml:space="preserve"> ST GERMAIN EN LAYE</t>
  </si>
  <si>
    <t>14 rue de Paris</t>
  </si>
  <si>
    <t>ST GERMAIN EN LAYE</t>
  </si>
  <si>
    <t>53 rue de Paris</t>
  </si>
  <si>
    <t>ST GERMAIN-EN-LAYE</t>
  </si>
  <si>
    <t>Centre Commercial PARLY 2</t>
  </si>
  <si>
    <t>Local Postal 447</t>
  </si>
  <si>
    <t>78158</t>
  </si>
  <si>
    <t>LE CHESNAY Cedex</t>
  </si>
  <si>
    <t>ZAC des prés</t>
  </si>
  <si>
    <t>90400</t>
  </si>
  <si>
    <t>ANDELNANS</t>
  </si>
  <si>
    <t>FR92442906715</t>
  </si>
  <si>
    <t>51 rue des bleuets</t>
  </si>
  <si>
    <t>77330</t>
  </si>
  <si>
    <t>Ozoir La férriére</t>
  </si>
  <si>
    <t>10 chemin de coteau - Penvern</t>
  </si>
  <si>
    <t>22560</t>
  </si>
  <si>
    <t>Pleumeur-Bodou</t>
  </si>
  <si>
    <t>RN1 - lieu dit "La cavée"</t>
  </si>
  <si>
    <t>95570</t>
  </si>
  <si>
    <t>Moisselles</t>
  </si>
  <si>
    <t>keringant</t>
  </si>
  <si>
    <t>22450</t>
  </si>
  <si>
    <t>Hengoat</t>
  </si>
  <si>
    <t>026 940 635 00175</t>
  </si>
  <si>
    <t>5 rue andrée Dubois</t>
  </si>
  <si>
    <t>6 rue de verdun</t>
  </si>
  <si>
    <t>21370</t>
  </si>
  <si>
    <t>PLOMBIERES LES DIJON</t>
  </si>
  <si>
    <t>Le Prieuré</t>
  </si>
  <si>
    <t>14400</t>
  </si>
  <si>
    <t>NONANT</t>
  </si>
  <si>
    <t>22 rue de Verdun</t>
  </si>
  <si>
    <t>23400</t>
  </si>
  <si>
    <t>BOURGANEUF</t>
  </si>
  <si>
    <t>fr 7935293080400047</t>
  </si>
  <si>
    <t>11 bis rue des Orfèvres</t>
  </si>
  <si>
    <t>208 PORTE BERGER FORUM DES HALLES NIV-2</t>
  </si>
  <si>
    <t>2 square Gauguin</t>
  </si>
  <si>
    <t>8 rue du poilu</t>
  </si>
  <si>
    <t>06230</t>
  </si>
  <si>
    <t>Villefranche sur mer</t>
  </si>
  <si>
    <t>15, rue de la tannerie</t>
  </si>
  <si>
    <t>BP 20528</t>
  </si>
  <si>
    <t>44105</t>
  </si>
  <si>
    <t>Nantes cedex 04</t>
  </si>
  <si>
    <t>ROND POINT D'ARCA</t>
  </si>
  <si>
    <t>route de Bastia</t>
  </si>
  <si>
    <t>20137</t>
  </si>
  <si>
    <t>Porto-Vecchio</t>
  </si>
  <si>
    <t>104, rue st Georges</t>
  </si>
  <si>
    <t>69005</t>
  </si>
  <si>
    <t>Lyon</t>
  </si>
  <si>
    <t>Coppenrath Publishing</t>
  </si>
  <si>
    <t>Hafenweg,30</t>
  </si>
  <si>
    <t>48155</t>
  </si>
  <si>
    <t>MUNSTER</t>
  </si>
  <si>
    <t>34 rue du mail</t>
  </si>
  <si>
    <t>91600</t>
  </si>
  <si>
    <t>Savigny sur Orge</t>
  </si>
  <si>
    <t>48 rue de Richelieu</t>
  </si>
  <si>
    <t>5 rue Lepic</t>
  </si>
  <si>
    <t>52 rue des francs-bourgeois</t>
  </si>
  <si>
    <t>4 rue des écouffes</t>
  </si>
  <si>
    <t>80 rue d'amsterdam</t>
  </si>
  <si>
    <t>metro place clichy</t>
  </si>
  <si>
    <t>42 boulevard du Temple</t>
  </si>
  <si>
    <t>32rue Paul BERT</t>
  </si>
  <si>
    <t>MAMERS</t>
  </si>
  <si>
    <t>154 rue de Paris</t>
  </si>
  <si>
    <t>FR45157638300017</t>
  </si>
  <si>
    <t>136 rue d'Assas</t>
  </si>
  <si>
    <t>39 rue jouvenet</t>
  </si>
  <si>
    <t>90 rue du château</t>
  </si>
  <si>
    <t>70, bld st Germain</t>
  </si>
  <si>
    <t>74 avenue du general Leclerc</t>
  </si>
  <si>
    <t>94 avenue du maine</t>
  </si>
  <si>
    <t>264 rue St Jacques</t>
  </si>
  <si>
    <t>24 rue de picardie</t>
  </si>
  <si>
    <t>30 rue Popincourt</t>
  </si>
  <si>
    <t>30-34 catembert</t>
  </si>
  <si>
    <t>65 bld pique puce</t>
  </si>
  <si>
    <t>16 avenue aristide Brian</t>
  </si>
  <si>
    <t>Issy les moulineaux</t>
  </si>
  <si>
    <t>ZI St Nicolas</t>
  </si>
  <si>
    <t>11-13 rue Gustave Eiffel</t>
  </si>
  <si>
    <t>94510</t>
  </si>
  <si>
    <t>La Queue en Brie</t>
  </si>
  <si>
    <t>FR 62 309 104 420</t>
  </si>
  <si>
    <t>11 bis rue Boutard</t>
  </si>
  <si>
    <t>NEUILLY/SEINE</t>
  </si>
  <si>
    <t>27 rue de picardie</t>
  </si>
  <si>
    <t>3 avenue de la république</t>
  </si>
  <si>
    <t>91260</t>
  </si>
  <si>
    <t>JUVISY S/ORGE</t>
  </si>
  <si>
    <t>2 RUE DE LA BACLERIE</t>
  </si>
  <si>
    <t>6 rue Achille Martinet</t>
  </si>
  <si>
    <t>555 rue Gérard Philippe</t>
  </si>
  <si>
    <t>57 rue ramey</t>
  </si>
  <si>
    <t>10 rue docteur Oursel</t>
  </si>
  <si>
    <t>27000</t>
  </si>
  <si>
    <t>EVREUX</t>
  </si>
  <si>
    <t>FR14449903202</t>
  </si>
  <si>
    <t>84 lotissement set Candie</t>
  </si>
  <si>
    <t>83520</t>
  </si>
  <si>
    <t>ROQUEBRUNE SUR ARGENS</t>
  </si>
  <si>
    <t>1 rue du château</t>
  </si>
  <si>
    <t>4 rue Germinal</t>
  </si>
  <si>
    <t>34510</t>
  </si>
  <si>
    <t>FLORENSAC</t>
  </si>
  <si>
    <t>FR 5141443949700010</t>
  </si>
  <si>
    <t>28 Boulevard de l'Evasion</t>
  </si>
  <si>
    <t>95800</t>
  </si>
  <si>
    <t>Cergy-le-Haut</t>
  </si>
  <si>
    <t>18rue Oberkampf</t>
  </si>
  <si>
    <t>4 rue Jacques Cartier</t>
  </si>
  <si>
    <t>22380</t>
  </si>
  <si>
    <t>SAINT CAST</t>
  </si>
  <si>
    <t>15 rue du Château</t>
  </si>
  <si>
    <t>63600</t>
  </si>
  <si>
    <t>AMBERJ</t>
  </si>
  <si>
    <t>FR 913 92985 891 00010</t>
  </si>
  <si>
    <t>245 Route Nationale</t>
  </si>
  <si>
    <t>62360</t>
  </si>
  <si>
    <t>La Capelle les Boulogne</t>
  </si>
  <si>
    <t>Z.I. Mitry-Compans</t>
  </si>
  <si>
    <t>BP 304 rue Gay Lussac</t>
  </si>
  <si>
    <t>77293</t>
  </si>
  <si>
    <t>Mitry-Mory CEDEX</t>
  </si>
  <si>
    <t>3 rue de Colombes</t>
  </si>
  <si>
    <t>Courbevoie</t>
  </si>
  <si>
    <t>FR90349873109</t>
  </si>
  <si>
    <t>25 rue des Fréres</t>
  </si>
  <si>
    <t>Strasbourg</t>
  </si>
  <si>
    <t>18 rue Notre Dame</t>
  </si>
  <si>
    <t>Cannes</t>
  </si>
  <si>
    <t>Z.I. Marina Airport -RN7</t>
  </si>
  <si>
    <t>06270</t>
  </si>
  <si>
    <t>VILLENEUVE-LOUBET</t>
  </si>
  <si>
    <t>Place Miane</t>
  </si>
  <si>
    <t>24480</t>
  </si>
  <si>
    <t>Le Buisson</t>
  </si>
  <si>
    <t>Chemin des Marres</t>
  </si>
  <si>
    <t>Saint Tropez</t>
  </si>
  <si>
    <t>rue Docteur Petrolacci</t>
  </si>
  <si>
    <t>20130</t>
  </si>
  <si>
    <t>Cargese-Corse</t>
  </si>
  <si>
    <t>19, rue Paul Bignon</t>
  </si>
  <si>
    <t>76260</t>
  </si>
  <si>
    <t>EU</t>
  </si>
  <si>
    <t>Corn. Anthoniszstraat 38</t>
  </si>
  <si>
    <t>1071</t>
  </si>
  <si>
    <t>W AMSTERDAM</t>
  </si>
  <si>
    <t>65 route de Chartres</t>
  </si>
  <si>
    <t>91440</t>
  </si>
  <si>
    <t>BURES sur YVETTE</t>
  </si>
  <si>
    <t>218 Avenue du Saint-Laurent</t>
  </si>
  <si>
    <t>BP01</t>
  </si>
  <si>
    <t>44801</t>
  </si>
  <si>
    <t>SAINT-HERBLAIN</t>
  </si>
  <si>
    <t>FR19381974039</t>
  </si>
  <si>
    <t>1 Pl de L'Ormeau</t>
  </si>
  <si>
    <t>83330</t>
  </si>
  <si>
    <t>Le Castellet</t>
  </si>
  <si>
    <t>105 avenue de la Capelette</t>
  </si>
  <si>
    <t>13010</t>
  </si>
  <si>
    <t>Marseille</t>
  </si>
  <si>
    <t>rue de l'horloge</t>
  </si>
  <si>
    <t>82340</t>
  </si>
  <si>
    <t>AUVILLAR</t>
  </si>
  <si>
    <t>1 rue Gabriel Péri</t>
  </si>
  <si>
    <t>Grenoble</t>
  </si>
  <si>
    <t>24 rue Hurst Mahieu</t>
  </si>
  <si>
    <t>60270</t>
  </si>
  <si>
    <t>GOUVIEUX</t>
  </si>
  <si>
    <t>rue haute 64 hoogstraat</t>
  </si>
  <si>
    <t>1000</t>
  </si>
  <si>
    <t>Brussels</t>
  </si>
  <si>
    <t>avenue 16 - rue 15 Treichville</t>
  </si>
  <si>
    <t>05 BP 2130 Abidjan 05</t>
  </si>
  <si>
    <t>ABIDJAN</t>
  </si>
  <si>
    <t>Côte d'Ivoire</t>
  </si>
  <si>
    <t>5 rue Rouget de l'Isle</t>
  </si>
  <si>
    <t>9224</t>
  </si>
  <si>
    <t>Malakoff</t>
  </si>
  <si>
    <t>23 avenue de la République</t>
  </si>
  <si>
    <t>Bordeaux</t>
  </si>
  <si>
    <t>6 rue Marcellin Coural</t>
  </si>
  <si>
    <t>11100</t>
  </si>
  <si>
    <t>NARBONNE</t>
  </si>
  <si>
    <t>9 place Saint Martin</t>
  </si>
  <si>
    <t>35580</t>
  </si>
  <si>
    <t>GUICHEN</t>
  </si>
  <si>
    <t>75 rue de Belleville</t>
  </si>
  <si>
    <t>36 B rue des Vingt Toises</t>
  </si>
  <si>
    <t>38950</t>
  </si>
  <si>
    <t>St Martin le Vinoux</t>
  </si>
  <si>
    <t>al-sweifia-yacoub muammar st.7, P.O.box 5560,</t>
  </si>
  <si>
    <t>11183</t>
  </si>
  <si>
    <t>Amman</t>
  </si>
  <si>
    <t>5 rue JJ rousseau</t>
  </si>
  <si>
    <t>Vienne</t>
  </si>
  <si>
    <t>12 avenue caylet</t>
  </si>
  <si>
    <t>12200</t>
  </si>
  <si>
    <t>villefranche de rouergue</t>
  </si>
  <si>
    <t>14 impasse des moissons</t>
  </si>
  <si>
    <t>14540</t>
  </si>
  <si>
    <t>soliers</t>
  </si>
  <si>
    <t>40/42 rue legendre</t>
  </si>
  <si>
    <t>fr6043237680400014</t>
  </si>
  <si>
    <t>18500</t>
  </si>
  <si>
    <t>allovis</t>
  </si>
  <si>
    <t>51 bis rue du maréchal Joffre</t>
  </si>
  <si>
    <t>95120</t>
  </si>
  <si>
    <t>ERMONT</t>
  </si>
  <si>
    <t>17 rue béranger</t>
  </si>
  <si>
    <t>53 route de l'androcies</t>
  </si>
  <si>
    <t>59360</t>
  </si>
  <si>
    <t>La Groise</t>
  </si>
  <si>
    <t>sarl sticker</t>
  </si>
  <si>
    <t>5 allée du pont noget</t>
  </si>
  <si>
    <t>85200</t>
  </si>
  <si>
    <t>fontenay le comte</t>
  </si>
  <si>
    <t>32 bis route de montélimar</t>
  </si>
  <si>
    <t>FR80310163084</t>
  </si>
  <si>
    <t>20 all cavalière</t>
  </si>
  <si>
    <t>LA BAULE ESCOUBLAC</t>
  </si>
  <si>
    <t>13 cours du Danube</t>
  </si>
  <si>
    <t>77700</t>
  </si>
  <si>
    <t>SERRIS</t>
  </si>
  <si>
    <t>51 rue St Antoine</t>
  </si>
  <si>
    <t>8 rue du plateau des Glières</t>
  </si>
  <si>
    <t>BP 242</t>
  </si>
  <si>
    <t>42006</t>
  </si>
  <si>
    <t>ST ETIENNE  cedex 1</t>
  </si>
  <si>
    <t>5 rue de l'horloge</t>
  </si>
  <si>
    <t>36100</t>
  </si>
  <si>
    <t>ISSOUDUN</t>
  </si>
  <si>
    <t>32 rue d'Anjou</t>
  </si>
  <si>
    <t>53320</t>
  </si>
  <si>
    <t>LOIRON</t>
  </si>
  <si>
    <t>ZI Montperthuis</t>
  </si>
  <si>
    <t>BP 813 Lonrai</t>
  </si>
  <si>
    <t>61041</t>
  </si>
  <si>
    <t>ALENCON CEDEX</t>
  </si>
  <si>
    <t>rs impérial, bat3,falconaja</t>
  </si>
  <si>
    <t>20600</t>
  </si>
  <si>
    <t>Bastia</t>
  </si>
  <si>
    <t>54 rue de l'abreuvoir</t>
  </si>
  <si>
    <t>BP 46</t>
  </si>
  <si>
    <t>77100</t>
  </si>
  <si>
    <t>MEAUX</t>
  </si>
  <si>
    <t>33 avenue des bruyéres</t>
  </si>
  <si>
    <t>saint palais sur mer</t>
  </si>
  <si>
    <t>43196499800014</t>
  </si>
  <si>
    <t>517 place du poids public</t>
  </si>
  <si>
    <t>Limoges</t>
  </si>
  <si>
    <t>fr58402265482</t>
  </si>
  <si>
    <t>5 rue des Halles</t>
  </si>
  <si>
    <t>16110</t>
  </si>
  <si>
    <t>LA ROCHEFOUCAULD</t>
  </si>
  <si>
    <t>6 rue du gros joncs</t>
  </si>
  <si>
    <t>17880</t>
  </si>
  <si>
    <t>LES PORTES EN RE</t>
  </si>
  <si>
    <t>sr51401520358</t>
  </si>
  <si>
    <t>4 fontaine des sables</t>
  </si>
  <si>
    <t>40510</t>
  </si>
  <si>
    <t>SEIGNOSSE</t>
  </si>
  <si>
    <t>2 rue Pasteur</t>
  </si>
  <si>
    <t>10 rue Galtier Boissière</t>
  </si>
  <si>
    <t>4 rue des prêtres</t>
  </si>
  <si>
    <t>68000</t>
  </si>
  <si>
    <t>COLMAR</t>
  </si>
  <si>
    <t>66 avenue Secrétan</t>
  </si>
  <si>
    <t>5 impasse de Franche Comté</t>
  </si>
  <si>
    <t>55000</t>
  </si>
  <si>
    <t>BAR LE DUC</t>
  </si>
  <si>
    <t>4 Avenue de la Méditerranée</t>
  </si>
  <si>
    <t>34420</t>
  </si>
  <si>
    <t>PORTIRAGNES</t>
  </si>
  <si>
    <t>FR04315417386</t>
  </si>
  <si>
    <t>4 rue pierre de coulertin</t>
  </si>
  <si>
    <t>palaiseau</t>
  </si>
  <si>
    <t>32 rue François Rolland</t>
  </si>
  <si>
    <t>Nogent s/Marne</t>
  </si>
  <si>
    <t>188 rue de la chapelle</t>
  </si>
  <si>
    <t>14750</t>
  </si>
  <si>
    <t>SAINT AUBIN SUR MER</t>
  </si>
  <si>
    <t>116 rue rambuteau</t>
  </si>
  <si>
    <t>7 avenue milleret de brou</t>
  </si>
  <si>
    <t>15 rue de la gare</t>
  </si>
  <si>
    <t>Pomponne</t>
  </si>
  <si>
    <t>71 rue duhesne</t>
  </si>
  <si>
    <t>route de Colmar</t>
  </si>
  <si>
    <t>68040</t>
  </si>
  <si>
    <t>INGERSHEIM</t>
  </si>
  <si>
    <t>5-7 rue des montibeufs</t>
  </si>
  <si>
    <t>21 rue de Malte</t>
  </si>
  <si>
    <t>16 avenue Léon Gambetta</t>
  </si>
  <si>
    <t>MAISON ALFORT</t>
  </si>
  <si>
    <t>50 rue Volta</t>
  </si>
  <si>
    <t>Bat 5 / 61 rue du Val André</t>
  </si>
  <si>
    <t>78560</t>
  </si>
  <si>
    <t>LE PORT MARLY</t>
  </si>
  <si>
    <t>15 rue Teynière</t>
  </si>
  <si>
    <t>01000</t>
  </si>
  <si>
    <t>BOURG EN BRESSE</t>
  </si>
  <si>
    <t>447665944  00016</t>
  </si>
  <si>
    <t>atelier galerie</t>
  </si>
  <si>
    <t>impasse du soleil</t>
  </si>
  <si>
    <t>06590</t>
  </si>
  <si>
    <t>THEOULE/MER</t>
  </si>
  <si>
    <t>Bossulan</t>
  </si>
  <si>
    <t>NIZON</t>
  </si>
  <si>
    <t>PONT AVEN</t>
  </si>
  <si>
    <t>51 rue Caroujat borniat</t>
  </si>
  <si>
    <t>THUISY</t>
  </si>
  <si>
    <t>189 avenue Jean Jaurès</t>
  </si>
  <si>
    <t>8 rue du Forez</t>
  </si>
  <si>
    <t>Kéringant</t>
  </si>
  <si>
    <t>HENGOAT</t>
  </si>
  <si>
    <t>63 av François mittérand</t>
  </si>
  <si>
    <t>31800</t>
  </si>
  <si>
    <t>St GAUDENS</t>
  </si>
  <si>
    <t>FR 86 453 030 603</t>
  </si>
  <si>
    <t>2 rue des grèves</t>
  </si>
  <si>
    <t>51700</t>
  </si>
  <si>
    <t>TROISSY</t>
  </si>
  <si>
    <t>51 rue Caroujat Borgniat</t>
  </si>
  <si>
    <t>THYISY</t>
  </si>
  <si>
    <t>31 Avenue Général Leclerc</t>
  </si>
  <si>
    <t>FR17477893523</t>
  </si>
  <si>
    <t>5 Grande rue</t>
  </si>
  <si>
    <t>44510</t>
  </si>
  <si>
    <t>LE POULIGUEN</t>
  </si>
  <si>
    <t>SOPROSEMI</t>
  </si>
  <si>
    <t>12 Place de la Bourse</t>
  </si>
  <si>
    <t>25 Route de Gannat</t>
  </si>
  <si>
    <t>LYONNE</t>
  </si>
  <si>
    <t>03110</t>
  </si>
  <si>
    <t>COGNAT</t>
  </si>
  <si>
    <t>FR09404319667</t>
  </si>
  <si>
    <t>52 Résidence du Parc</t>
  </si>
  <si>
    <t>FR44419875800013</t>
  </si>
  <si>
    <t>23 rue de Millo</t>
  </si>
  <si>
    <t>98000</t>
  </si>
  <si>
    <t>MONACO</t>
  </si>
  <si>
    <t>10 rue Bersot</t>
  </si>
  <si>
    <t>FR47447800350</t>
  </si>
  <si>
    <t>Rosellon, 247</t>
  </si>
  <si>
    <t>ESB61693453</t>
  </si>
  <si>
    <t>rindermarkt 1</t>
  </si>
  <si>
    <t>80331</t>
  </si>
  <si>
    <t>MÜNCHEN</t>
  </si>
  <si>
    <t>18 rue clémenceau</t>
  </si>
  <si>
    <t>25200</t>
  </si>
  <si>
    <t>MONTBELLIARD</t>
  </si>
  <si>
    <t>119 rue monge</t>
  </si>
  <si>
    <t>Galerie Syrinx</t>
  </si>
  <si>
    <t>63 rue saint jean BP 117</t>
  </si>
  <si>
    <t>LE TOUQUET</t>
  </si>
  <si>
    <t>FR81334207800</t>
  </si>
  <si>
    <t>26 rue Solférino</t>
  </si>
  <si>
    <t>20 ave Georges Clémenceau</t>
  </si>
  <si>
    <t>COGOLIN</t>
  </si>
  <si>
    <t>FR78452335854</t>
  </si>
  <si>
    <t>6 allée des acacias</t>
  </si>
  <si>
    <t>10 rue caffarelli</t>
  </si>
  <si>
    <t>42 rue Saint Maur</t>
  </si>
  <si>
    <t>12 villa de Lourcine</t>
  </si>
  <si>
    <t>7 rue JB Charcot</t>
  </si>
  <si>
    <t>6 rue de la condition</t>
  </si>
  <si>
    <t>42000</t>
  </si>
  <si>
    <t>saint etienne</t>
  </si>
  <si>
    <t>14 rue du maréchal joffre</t>
  </si>
  <si>
    <t>92700</t>
  </si>
  <si>
    <t>COLOMBES</t>
  </si>
  <si>
    <t>FR 144 532 77 444</t>
  </si>
  <si>
    <t>6/4/19 résidence les fiacres</t>
  </si>
  <si>
    <t>59650</t>
  </si>
  <si>
    <t>VILLENEUVE D'ASCQ</t>
  </si>
  <si>
    <t>6 rue Isambard</t>
  </si>
  <si>
    <t>27530</t>
  </si>
  <si>
    <t>EZY SUR EURE</t>
  </si>
  <si>
    <t>FR 044 795 68 644</t>
  </si>
  <si>
    <t>10 rue maurice pellerin</t>
  </si>
  <si>
    <t>via M. Bragadin 6 Lido</t>
  </si>
  <si>
    <t>30126</t>
  </si>
  <si>
    <t>Venise</t>
  </si>
  <si>
    <t>IT03498420276</t>
  </si>
  <si>
    <t>31 Avenue jean Moulin</t>
  </si>
  <si>
    <t>77200</t>
  </si>
  <si>
    <t>TORCY</t>
  </si>
  <si>
    <t>17 avenue de la république</t>
  </si>
  <si>
    <t>29 rue guyten de morveau</t>
  </si>
  <si>
    <t>6 rue Caffarelli</t>
  </si>
  <si>
    <t>56 Boulevard de l'Hôpital</t>
  </si>
  <si>
    <t>79 rue Thiers</t>
  </si>
  <si>
    <t>BOULOGNE-SUR-MER</t>
  </si>
  <si>
    <t>55 quai des grands augustins</t>
  </si>
  <si>
    <t>25 avenue du Grand morin</t>
  </si>
  <si>
    <t>Parc de Lesigny</t>
  </si>
  <si>
    <t>77150</t>
  </si>
  <si>
    <t>LESIGNY</t>
  </si>
  <si>
    <t>19 rue de Poitou</t>
  </si>
  <si>
    <t>35 rue d'Auteuil</t>
  </si>
  <si>
    <t>FR 09424508083</t>
  </si>
  <si>
    <t>Chemin du Coin N° 2</t>
  </si>
  <si>
    <t>1052</t>
  </si>
  <si>
    <t>LE MONT</t>
  </si>
  <si>
    <t>SAS ARTASIA  chez BDEM HOLDING</t>
  </si>
  <si>
    <t>6 rue Barnabé Brisson BP 285</t>
  </si>
  <si>
    <t>85205</t>
  </si>
  <si>
    <t>FONTENAY LE COMTE CEDEX</t>
  </si>
  <si>
    <t>79000</t>
  </si>
  <si>
    <t>NIORT</t>
  </si>
  <si>
    <t>FR49321132060</t>
  </si>
  <si>
    <t>SARL LIMOGES DECO chez BDEM HOLDING</t>
  </si>
  <si>
    <t>FR14433503703</t>
  </si>
  <si>
    <t>9 rue Beaupaire</t>
  </si>
  <si>
    <t>149 grande Rue</t>
  </si>
  <si>
    <t>61000</t>
  </si>
  <si>
    <t>ALENCON</t>
  </si>
  <si>
    <t>FR7331623356000073</t>
  </si>
  <si>
    <t>27, rue Centrale</t>
  </si>
  <si>
    <t>BASSENS</t>
  </si>
  <si>
    <t>FR01420430944</t>
  </si>
  <si>
    <t>rua da Trindade, 8-10</t>
  </si>
  <si>
    <t>1200-468</t>
  </si>
  <si>
    <t>LISBOA</t>
  </si>
  <si>
    <t>PR501 631 895</t>
  </si>
  <si>
    <t>18 rue du Général de Gaulle</t>
  </si>
  <si>
    <t>40130</t>
  </si>
  <si>
    <t>CAP BRETON</t>
  </si>
  <si>
    <t>11 rue Saint Yves</t>
  </si>
  <si>
    <t>Am Kestendamm 1</t>
  </si>
  <si>
    <t>D-77652</t>
  </si>
  <si>
    <t>OFFENBURG</t>
  </si>
  <si>
    <t>50 rue du Chemin vert</t>
  </si>
  <si>
    <t>59493</t>
  </si>
  <si>
    <t>Villeneuve d'Ascq</t>
  </si>
  <si>
    <t>FR 16 434 056 636</t>
  </si>
  <si>
    <t>1 rue du Château</t>
  </si>
  <si>
    <t>61130</t>
  </si>
  <si>
    <t>BELLEME</t>
  </si>
  <si>
    <t>27 rue Jean Jaurés</t>
  </si>
  <si>
    <t>39000</t>
  </si>
  <si>
    <t>LONS LE SAUNIER</t>
  </si>
  <si>
    <t>75 rue de Port Royal</t>
  </si>
  <si>
    <t>78470</t>
  </si>
  <si>
    <t>SAINT REMY LES CHEVREUSE</t>
  </si>
  <si>
    <t>parque industrial da cancela, pl2</t>
  </si>
  <si>
    <t>9125 Caniço</t>
  </si>
  <si>
    <t>SANTA CRUZ</t>
  </si>
  <si>
    <t>511068410</t>
  </si>
  <si>
    <t>26 mitropoleos str.</t>
  </si>
  <si>
    <t>54624</t>
  </si>
  <si>
    <t>Neuilly sur Seine</t>
  </si>
  <si>
    <t>FR60449492875</t>
  </si>
  <si>
    <t>24 rue Papin</t>
  </si>
  <si>
    <t>59600</t>
  </si>
  <si>
    <t>FR48331704122</t>
  </si>
  <si>
    <t>8 rue Jean Mermoz</t>
  </si>
  <si>
    <t>ZAC de la Feuchère</t>
  </si>
  <si>
    <t>77290</t>
  </si>
  <si>
    <t>MITRY COMPANS</t>
  </si>
  <si>
    <t>Thoraille</t>
  </si>
  <si>
    <t>97223</t>
  </si>
  <si>
    <t>30 rue de la plaine</t>
  </si>
  <si>
    <t>16 Boulevard de Magenta</t>
  </si>
  <si>
    <t>127 rue de turenne</t>
  </si>
  <si>
    <t>146 rue marcadet</t>
  </si>
  <si>
    <t>129 rue du Turenne</t>
  </si>
  <si>
    <t>13 rue d'Uzès</t>
  </si>
  <si>
    <t>Ccial de la Fontaine, rue du petit Parc</t>
  </si>
  <si>
    <t>FR 13481213767</t>
  </si>
  <si>
    <t>115 bis avenue de l'UMA</t>
  </si>
  <si>
    <t>2036</t>
  </si>
  <si>
    <t>LA SOUKRA</t>
  </si>
  <si>
    <t>Tunisie</t>
  </si>
  <si>
    <t>15 bis rue d'Amerval</t>
  </si>
  <si>
    <t>FR 51327291399</t>
  </si>
  <si>
    <t>3 rue du pont-royal</t>
  </si>
  <si>
    <t>08300</t>
  </si>
  <si>
    <t>BERGNICOURT</t>
  </si>
  <si>
    <t>via della Rocca 22/m</t>
  </si>
  <si>
    <t>10123</t>
  </si>
  <si>
    <t>TORINO</t>
  </si>
  <si>
    <t>IT 00 615 870 011</t>
  </si>
  <si>
    <t>COURTAULD INSTITUTE GALLERY SHOP</t>
  </si>
  <si>
    <t>somerset house,Strand</t>
  </si>
  <si>
    <t>WC2R ORN</t>
  </si>
  <si>
    <t>Rue Pontière</t>
  </si>
  <si>
    <t>38070</t>
  </si>
  <si>
    <t>SAINT QUENTIN FALLAVIER</t>
  </si>
  <si>
    <t>4 rue foucault</t>
  </si>
  <si>
    <t>177 rue du temple</t>
  </si>
  <si>
    <t>48 boulevard diderot</t>
  </si>
  <si>
    <t>18 boulevard du temple</t>
  </si>
  <si>
    <t>175 rue du Temple</t>
  </si>
  <si>
    <t>3 bis rue d'alboni</t>
  </si>
  <si>
    <t>37 rue de la Préfecture</t>
  </si>
  <si>
    <t>06300</t>
  </si>
  <si>
    <t>88 rue chardon lagache</t>
  </si>
  <si>
    <t>30 rue de Clichy</t>
  </si>
  <si>
    <t>33 bis rue du Banquier</t>
  </si>
  <si>
    <t>21-23 rue des Filles du Calvaire</t>
  </si>
  <si>
    <t>Place du marché</t>
  </si>
  <si>
    <t>18200</t>
  </si>
  <si>
    <t>SAINT-AMAND</t>
  </si>
  <si>
    <t>200 rue fondaudège</t>
  </si>
  <si>
    <t>33000</t>
  </si>
  <si>
    <t>4 rue des Minimes</t>
  </si>
  <si>
    <t>SAINT AMAND</t>
  </si>
  <si>
    <t>58 rue Lebreton</t>
  </si>
  <si>
    <t>97438</t>
  </si>
  <si>
    <t>Sainte Marie - La Réunion</t>
  </si>
  <si>
    <t>50 rue de Passy</t>
  </si>
  <si>
    <t>22 rue Pierre Ortal</t>
  </si>
  <si>
    <t>33680</t>
  </si>
  <si>
    <t>LACANAU OCEAN</t>
  </si>
  <si>
    <t>18 rue du Duc d'Aiguillon</t>
  </si>
  <si>
    <t>ST CAST LE GUILDO</t>
  </si>
  <si>
    <t>FR 74429951874</t>
  </si>
  <si>
    <t>ZI SUD</t>
  </si>
  <si>
    <t>6 rue Marie Curie</t>
  </si>
  <si>
    <t>37130</t>
  </si>
  <si>
    <t>LANGEAIS</t>
  </si>
  <si>
    <t>45 rue Joseph Le Brix</t>
  </si>
  <si>
    <t>56360</t>
  </si>
  <si>
    <t>LA PALAIS</t>
  </si>
  <si>
    <t>2 quai de l'industrie</t>
  </si>
  <si>
    <t>Bateau Mont-Valérien</t>
  </si>
  <si>
    <t>91200</t>
  </si>
  <si>
    <t>ATHIS-MONS</t>
  </si>
  <si>
    <t>12 rue Gargoulleau</t>
  </si>
  <si>
    <t>FR8448000256</t>
  </si>
  <si>
    <t>9 rue Sommeiller</t>
  </si>
  <si>
    <t>74000</t>
  </si>
  <si>
    <t>FR2740280560</t>
  </si>
  <si>
    <t>Château de Balleroy</t>
  </si>
  <si>
    <t>BP 3</t>
  </si>
  <si>
    <t>14490</t>
  </si>
  <si>
    <t>BALLEROY</t>
  </si>
  <si>
    <t>FR63481980795</t>
  </si>
  <si>
    <t>Zone Commerciale de Carrefour</t>
  </si>
  <si>
    <t>58180</t>
  </si>
  <si>
    <t>Marzy</t>
  </si>
  <si>
    <t>FR78452660319</t>
  </si>
  <si>
    <t>60 rue de Siam</t>
  </si>
  <si>
    <t>29200</t>
  </si>
  <si>
    <t>BREST</t>
  </si>
  <si>
    <t>FR46441721974</t>
  </si>
  <si>
    <t>27 rue Pecherie</t>
  </si>
  <si>
    <t>69170</t>
  </si>
  <si>
    <t>TARARE</t>
  </si>
  <si>
    <t>FR62391995479</t>
  </si>
  <si>
    <t>85 Grande rue</t>
  </si>
  <si>
    <t>73700</t>
  </si>
  <si>
    <t>FR 26448533372</t>
  </si>
  <si>
    <t>46, rue de la minoterie</t>
  </si>
  <si>
    <t>44710</t>
  </si>
  <si>
    <t>SAINT LEGER LES VIGNES</t>
  </si>
  <si>
    <t>FR48452919202</t>
  </si>
  <si>
    <t>78, rue de paris</t>
  </si>
  <si>
    <t>Palaiseau</t>
  </si>
  <si>
    <t>TSA 10709</t>
  </si>
  <si>
    <t>94971</t>
  </si>
  <si>
    <t>CRETEIL CEDEX 9</t>
  </si>
  <si>
    <t>FR 63 326 467 776</t>
  </si>
  <si>
    <t>35 Boulevard de la Libération</t>
  </si>
  <si>
    <t>26 rue Cadet</t>
  </si>
  <si>
    <t>11 rue Christiani</t>
  </si>
  <si>
    <t>5 impasse Maurice Urullo</t>
  </si>
  <si>
    <t>286 rue Notre Dame de Emonts</t>
  </si>
  <si>
    <t>85160</t>
  </si>
  <si>
    <t>ST JEAN de Monts</t>
  </si>
  <si>
    <t>11, rue Droite</t>
  </si>
  <si>
    <t>VIEUX NICE</t>
  </si>
  <si>
    <t>franchise</t>
  </si>
  <si>
    <t>1 Chemin du Bois Vacher</t>
  </si>
  <si>
    <t>Les Monts</t>
  </si>
  <si>
    <t>51 rue Branda</t>
  </si>
  <si>
    <t>Avenue de Geispolsheim - Le Poulfanc</t>
  </si>
  <si>
    <t>56860</t>
  </si>
  <si>
    <t>SENE-VANNES</t>
  </si>
  <si>
    <t>4/5 rond point du crouesty</t>
  </si>
  <si>
    <t>6 rue Georges Brassens</t>
  </si>
  <si>
    <t>56100</t>
  </si>
  <si>
    <t>LORIENT</t>
  </si>
  <si>
    <t>4 bis rue du Cherche Midi</t>
  </si>
  <si>
    <t>FR72413605692</t>
  </si>
  <si>
    <t>27 rue du 14 Juillet</t>
  </si>
  <si>
    <t>5 rue de l'hotel de ville</t>
  </si>
  <si>
    <t>FR 09438973208</t>
  </si>
  <si>
    <t>16 rue du 8 mai 1945</t>
  </si>
  <si>
    <t>71240</t>
  </si>
  <si>
    <t>VARENNES LE GRAND</t>
  </si>
  <si>
    <t>FR 75483749206</t>
  </si>
  <si>
    <t>22 rue Ledrun Rollin</t>
  </si>
  <si>
    <t>92260</t>
  </si>
  <si>
    <t>FONTENAY AUX ROSES</t>
  </si>
  <si>
    <t>40 Boulevard du Temple</t>
  </si>
  <si>
    <t>303 route de Vannes</t>
  </si>
  <si>
    <t>ST HERBLAIN</t>
  </si>
  <si>
    <t>283 route de Vannes</t>
  </si>
  <si>
    <t>277 bis route de Vannes</t>
  </si>
  <si>
    <t>6 place de la République</t>
  </si>
  <si>
    <t>56400</t>
  </si>
  <si>
    <t>AURAY</t>
  </si>
  <si>
    <t>avenue J.F.Kennedy ; route de l'aéroport</t>
  </si>
  <si>
    <t>33700</t>
  </si>
  <si>
    <t>MERIGNAC</t>
  </si>
  <si>
    <t>43 rue traversière</t>
  </si>
  <si>
    <t>5 rue Laplace</t>
  </si>
  <si>
    <t>12 rue Lapeyrere</t>
  </si>
  <si>
    <t>Place du port en Drö</t>
  </si>
  <si>
    <t>FR 73381468396</t>
  </si>
  <si>
    <t>36 rue St François</t>
  </si>
  <si>
    <t>FR 00402064802</t>
  </si>
  <si>
    <t>Lieu dit Les Crocs</t>
  </si>
  <si>
    <t>69430</t>
  </si>
  <si>
    <t>BEAUJEU</t>
  </si>
  <si>
    <t>25 rue du Landy</t>
  </si>
  <si>
    <t>SAINT DENIS</t>
  </si>
  <si>
    <t>FR 54 424 211 860</t>
  </si>
  <si>
    <t>6 rue L'olive</t>
  </si>
  <si>
    <t>37 rue d'Aboukir</t>
  </si>
  <si>
    <t>16 ave Marechal Bugenaud</t>
  </si>
  <si>
    <t>83200</t>
  </si>
  <si>
    <t>TOULON PONT du LAS</t>
  </si>
  <si>
    <t>Avda Perez Villalta N-68,1°</t>
  </si>
  <si>
    <t>11380</t>
  </si>
  <si>
    <t>TARIFA CADIZ</t>
  </si>
  <si>
    <t>B-11546181</t>
  </si>
  <si>
    <t>44 rue Monsieur le Prince</t>
  </si>
  <si>
    <t>Jason Court</t>
  </si>
  <si>
    <t>76 Wilmore St.</t>
  </si>
  <si>
    <t>W1U 2SJ</t>
  </si>
  <si>
    <t>London</t>
  </si>
  <si>
    <t>Gisselfeldvej 3</t>
  </si>
  <si>
    <t>4690</t>
  </si>
  <si>
    <t>HASLEN</t>
  </si>
  <si>
    <t>NK 177</t>
  </si>
  <si>
    <t>SE-111 77</t>
  </si>
  <si>
    <t>Stockholm</t>
  </si>
  <si>
    <t>Suède</t>
  </si>
  <si>
    <t>SE556466004001</t>
  </si>
  <si>
    <t>5 alleé du pont Noget</t>
  </si>
  <si>
    <t>FONTENAY-le-COMTE</t>
  </si>
  <si>
    <t>FR 55379403454</t>
  </si>
  <si>
    <t>3 rue du 9 Septembre</t>
  </si>
  <si>
    <t>PROPIANO</t>
  </si>
  <si>
    <t>FR60309007581</t>
  </si>
  <si>
    <t>25 rue des Naudieres</t>
  </si>
  <si>
    <t>ASSOC</t>
  </si>
  <si>
    <t>Ruelle Saint Claude</t>
  </si>
  <si>
    <t>77300</t>
  </si>
  <si>
    <t>FONTAINEBLEAU</t>
  </si>
  <si>
    <t>FR 42334710829</t>
  </si>
  <si>
    <t>FR 45157638300017</t>
  </si>
  <si>
    <t>2 rue de payse</t>
  </si>
  <si>
    <t>27100</t>
  </si>
  <si>
    <t>VAL-DE-REUIL</t>
  </si>
  <si>
    <t>7 rue Volta</t>
  </si>
  <si>
    <t>1, rue de l'église</t>
  </si>
  <si>
    <t>74220</t>
  </si>
  <si>
    <t>LA CLUSAZ</t>
  </si>
  <si>
    <t>FR 12443319876</t>
  </si>
  <si>
    <t>174 rue du temple</t>
  </si>
  <si>
    <t>3 rue du champ martin</t>
  </si>
  <si>
    <t>39500</t>
  </si>
  <si>
    <t>ABERGENENT LA RONCE</t>
  </si>
  <si>
    <t>13 rue du poteau</t>
  </si>
  <si>
    <t>17180</t>
  </si>
  <si>
    <t>PERIGNY</t>
  </si>
  <si>
    <t xml:space="preserve"> 48924978900012</t>
  </si>
  <si>
    <t>Broques</t>
  </si>
  <si>
    <t>09500</t>
  </si>
  <si>
    <t>LAPENNE</t>
  </si>
  <si>
    <t>FR 389756438</t>
  </si>
  <si>
    <t>39 RUE Houdan</t>
  </si>
  <si>
    <t>78 Place Saint Jacques</t>
  </si>
  <si>
    <t>26 rue des Elus</t>
  </si>
  <si>
    <t>51100</t>
  </si>
  <si>
    <t>Reims</t>
  </si>
  <si>
    <t>FR 53490318847</t>
  </si>
  <si>
    <t>30 Boulevard Louis Armand</t>
  </si>
  <si>
    <t>53940</t>
  </si>
  <si>
    <t>SAINT BERTHEVIN</t>
  </si>
  <si>
    <t>21 rue Vasselot</t>
  </si>
  <si>
    <t>4 et 6, rue Duglesclin</t>
  </si>
  <si>
    <t>Route de Bar Le Duc</t>
  </si>
  <si>
    <t>ZAC du Val D'Ornel</t>
  </si>
  <si>
    <t>52100</t>
  </si>
  <si>
    <t>BETTANCOURT LA SERREE</t>
  </si>
  <si>
    <t>FR07490707155</t>
  </si>
  <si>
    <t>169 route de vannes</t>
  </si>
  <si>
    <t>SAINT HERBLAIN</t>
  </si>
  <si>
    <t>FR 0648038774500015</t>
  </si>
  <si>
    <t>25 rue Bersot</t>
  </si>
  <si>
    <t>FR 93445045339</t>
  </si>
  <si>
    <t>21 rue Stalingrad</t>
  </si>
  <si>
    <t>115 rue nationale</t>
  </si>
  <si>
    <t>41350</t>
  </si>
  <si>
    <t>ST GERVAIS LA FORET</t>
  </si>
  <si>
    <t>FR 3240345776500010</t>
  </si>
  <si>
    <t>6 rue des petits Champs</t>
  </si>
  <si>
    <t>35760</t>
  </si>
  <si>
    <t>SAINT GREGOIRE</t>
  </si>
  <si>
    <t>25 bis rue Jules David</t>
  </si>
  <si>
    <t>FR 15448442350</t>
  </si>
  <si>
    <t>2 avenue d'antioche</t>
  </si>
  <si>
    <t>17670</t>
  </si>
  <si>
    <t>LA COUARDE SUR MER</t>
  </si>
  <si>
    <t>FR 38444103774</t>
  </si>
  <si>
    <t>2 place Anatole France</t>
  </si>
  <si>
    <t>17410</t>
  </si>
  <si>
    <t>SAINT MARTIN DE RE</t>
  </si>
  <si>
    <t>FR 08431437698</t>
  </si>
  <si>
    <t>18 grande rue</t>
  </si>
  <si>
    <t>DIVONNE</t>
  </si>
  <si>
    <t>113 A rue Lepine</t>
  </si>
  <si>
    <t>01440</t>
  </si>
  <si>
    <t>VIRIAT</t>
  </si>
  <si>
    <t>11 rue raspail</t>
  </si>
  <si>
    <t>02100</t>
  </si>
  <si>
    <t>SAINT QUENTIN</t>
  </si>
  <si>
    <t>7 bvd Courtais</t>
  </si>
  <si>
    <t>03100</t>
  </si>
  <si>
    <t>MONTLUCON</t>
  </si>
  <si>
    <t>Bvd la Tourette</t>
  </si>
  <si>
    <t>04300</t>
  </si>
  <si>
    <t>FORCALQUIER</t>
  </si>
  <si>
    <t>5 Place Manuel Louis</t>
  </si>
  <si>
    <t>04400</t>
  </si>
  <si>
    <t>BARCELONNETTE</t>
  </si>
  <si>
    <t>11 rue du Colonel Roux</t>
  </si>
  <si>
    <t>05000</t>
  </si>
  <si>
    <t>GAP</t>
  </si>
  <si>
    <t>8 bis rue du marché</t>
  </si>
  <si>
    <t>Place Peyra</t>
  </si>
  <si>
    <t>06140</t>
  </si>
  <si>
    <t>VENCE</t>
  </si>
  <si>
    <t>8 route des brasseries</t>
  </si>
  <si>
    <t>07120</t>
  </si>
  <si>
    <t>RUOMS</t>
  </si>
  <si>
    <t>Route d'alès</t>
  </si>
  <si>
    <t>07200</t>
  </si>
  <si>
    <t>SAINT SERNIN</t>
  </si>
  <si>
    <t>08200</t>
  </si>
  <si>
    <t>SEDAN</t>
  </si>
  <si>
    <t>15 rue des Ponts</t>
  </si>
  <si>
    <t>10400</t>
  </si>
  <si>
    <t>NOGENT SUR SEINE</t>
  </si>
  <si>
    <t>37 Place de Verdun</t>
  </si>
  <si>
    <t>11400</t>
  </si>
  <si>
    <t>CASTELNAUDARY</t>
  </si>
  <si>
    <t>35 rue de Courtegaire</t>
  </si>
  <si>
    <t>11000</t>
  </si>
  <si>
    <t>CARCASSONNE</t>
  </si>
  <si>
    <t>Route de Gruissant</t>
  </si>
  <si>
    <t>ZAC Bonne Sources</t>
  </si>
  <si>
    <t>21 rue de la République</t>
  </si>
  <si>
    <t>VILLEFRANCHE DE ROUERGUE</t>
  </si>
  <si>
    <t>20 bvd la roumiguière</t>
  </si>
  <si>
    <t>12000</t>
  </si>
  <si>
    <t>RODEZ</t>
  </si>
  <si>
    <t>9 place Richelme</t>
  </si>
  <si>
    <t>Bvd de Lavaux</t>
  </si>
  <si>
    <t>13600</t>
  </si>
  <si>
    <t>LA CIOTAT</t>
  </si>
  <si>
    <t>Quartier St Michel</t>
  </si>
  <si>
    <t>Route d'Arménie</t>
  </si>
  <si>
    <t>13120</t>
  </si>
  <si>
    <t>GARDANNE</t>
  </si>
  <si>
    <t>7 rue Jean</t>
  </si>
  <si>
    <t>BAYEUX</t>
  </si>
  <si>
    <t>15140</t>
  </si>
  <si>
    <t>SALERS</t>
  </si>
  <si>
    <t>28 rue Porte St Esprit</t>
  </si>
  <si>
    <t>15300</t>
  </si>
  <si>
    <t>MURAT</t>
  </si>
  <si>
    <t>Route de Périgueux</t>
  </si>
  <si>
    <t>16800</t>
  </si>
  <si>
    <t>SOYAUX</t>
  </si>
  <si>
    <t>23 rue Victor Hugo</t>
  </si>
  <si>
    <t>17100</t>
  </si>
  <si>
    <t>SAINTES</t>
  </si>
  <si>
    <t>26 rue Lavoisier</t>
  </si>
  <si>
    <t>51 rue du Chene</t>
  </si>
  <si>
    <t>LES GONDS</t>
  </si>
  <si>
    <t>Le Bourg</t>
  </si>
  <si>
    <t>19500</t>
  </si>
  <si>
    <t>COLLONGE LA ROUGE</t>
  </si>
  <si>
    <t>24 rue de Correze</t>
  </si>
  <si>
    <t>19100</t>
  </si>
  <si>
    <t>1 rue de l'assomption</t>
  </si>
  <si>
    <t>20000</t>
  </si>
  <si>
    <t>AJACCIO</t>
  </si>
  <si>
    <t>la Rocade - Géant</t>
  </si>
  <si>
    <t>Route de Bastia</t>
  </si>
  <si>
    <t>PORTO VECCHIO</t>
  </si>
  <si>
    <t>3 rue Mably</t>
  </si>
  <si>
    <t>rue des Genets</t>
  </si>
  <si>
    <t>22360</t>
  </si>
  <si>
    <t>LANGUEUX</t>
  </si>
  <si>
    <t>13 rue du Marchix</t>
  </si>
  <si>
    <t>22100</t>
  </si>
  <si>
    <t>DINAN</t>
  </si>
  <si>
    <t>40 Grande Rue</t>
  </si>
  <si>
    <t>23200</t>
  </si>
  <si>
    <t>AUBUSSON</t>
  </si>
  <si>
    <t>Centre Commercial la Feuilleraie</t>
  </si>
  <si>
    <t>24750</t>
  </si>
  <si>
    <t>TRELISSAC</t>
  </si>
  <si>
    <t>10 place de l'Hotel de Ville</t>
  </si>
  <si>
    <t>24000</t>
  </si>
  <si>
    <t>PERIGUEUX</t>
  </si>
  <si>
    <t>Résidence Ronsard</t>
  </si>
  <si>
    <t>SARLAT</t>
  </si>
  <si>
    <t>23 rue Joaquim du Belay</t>
  </si>
  <si>
    <t>Rue Amélie Malraux</t>
  </si>
  <si>
    <t>ZA Merol</t>
  </si>
  <si>
    <t>26200</t>
  </si>
  <si>
    <t>MONTELIMAR</t>
  </si>
  <si>
    <t>rue Aspach</t>
  </si>
  <si>
    <t>68700</t>
  </si>
  <si>
    <t>CERNAY</t>
  </si>
  <si>
    <t>3 rue Elizabeth</t>
  </si>
  <si>
    <t>Résidence Squaw Valley 2</t>
  </si>
  <si>
    <t>VAL D'ISERE</t>
  </si>
  <si>
    <t>3621 route d'Albertville</t>
  </si>
  <si>
    <t>74320</t>
  </si>
  <si>
    <t>SEVRIER</t>
  </si>
  <si>
    <t>12 rue François Curt</t>
  </si>
  <si>
    <t>74300</t>
  </si>
  <si>
    <t>CLUSES</t>
  </si>
  <si>
    <t>42 avenue de Genève</t>
  </si>
  <si>
    <t>Chef Lieu</t>
  </si>
  <si>
    <t>74340</t>
  </si>
  <si>
    <t>SAMOENS</t>
  </si>
  <si>
    <t>100 avenue du fer à cheval</t>
  </si>
  <si>
    <t>74380</t>
  </si>
  <si>
    <t>BONNE SUR MENOGE</t>
  </si>
  <si>
    <t>26 place Balmat</t>
  </si>
  <si>
    <t>FR 10482931151</t>
  </si>
  <si>
    <t>161 rue de Grenelle</t>
  </si>
  <si>
    <t>8 rue St Lazare</t>
  </si>
  <si>
    <t>11 rue du Mont Cenis</t>
  </si>
  <si>
    <t>FR4408997060012</t>
  </si>
  <si>
    <t>18 rue Gros Horloge</t>
  </si>
  <si>
    <t>1 avenue de Verdun</t>
  </si>
  <si>
    <t>77610</t>
  </si>
  <si>
    <t>FONTENAY TRESSIGNY</t>
  </si>
  <si>
    <t>Zone de sablons</t>
  </si>
  <si>
    <t>77410</t>
  </si>
  <si>
    <t>CLAYE - SOUILLY</t>
  </si>
  <si>
    <t>7 rue des deux portes</t>
  </si>
  <si>
    <t>9 avenue Carnot</t>
  </si>
  <si>
    <t>78800</t>
  </si>
  <si>
    <t>HOUILLES</t>
  </si>
  <si>
    <t>FR 4243004849</t>
  </si>
  <si>
    <t>5/7  Place du Marché au Blé</t>
  </si>
  <si>
    <t>78200</t>
  </si>
  <si>
    <t>MANTES LA JOLIE</t>
  </si>
  <si>
    <t>FR 29433020260</t>
  </si>
  <si>
    <t>Route de Bailly</t>
  </si>
  <si>
    <t>78210</t>
  </si>
  <si>
    <t>SAINT CYR L'ECOLE</t>
  </si>
  <si>
    <t>31 rue de l'enclos</t>
  </si>
  <si>
    <t>HOUDAN</t>
  </si>
  <si>
    <t>FR 314022699450000019</t>
  </si>
  <si>
    <t>3 rue Verdusse</t>
  </si>
  <si>
    <t>81000</t>
  </si>
  <si>
    <t>ALBI</t>
  </si>
  <si>
    <t>6 rue du Maréchal Joffre</t>
  </si>
  <si>
    <t>83570</t>
  </si>
  <si>
    <t>CARCES</t>
  </si>
  <si>
    <t>rue Paul Madon</t>
  </si>
  <si>
    <t>ZI Espaluns</t>
  </si>
  <si>
    <t>LA VALETTE DU VAR</t>
  </si>
  <si>
    <t>18 bis rue moulin</t>
  </si>
  <si>
    <t>MONTFORT SUR ARGENS</t>
  </si>
  <si>
    <t>ZI St Tronquet</t>
  </si>
  <si>
    <t>84130</t>
  </si>
  <si>
    <t>LE PONTET</t>
  </si>
  <si>
    <t>Clos la Cristole</t>
  </si>
  <si>
    <t>2 rue bon vent</t>
  </si>
  <si>
    <t>84140</t>
  </si>
  <si>
    <t>MONTFAVET</t>
  </si>
  <si>
    <t>Place croix Oppède le Vieux</t>
  </si>
  <si>
    <t>84580</t>
  </si>
  <si>
    <t>OPPEDE</t>
  </si>
  <si>
    <t>21 rue Evéché</t>
  </si>
  <si>
    <t>13 rue Achard</t>
  </si>
  <si>
    <t>6 rue des Halles</t>
  </si>
  <si>
    <t>LA ROCHE SUR YON</t>
  </si>
  <si>
    <t>Route de St Mathieux</t>
  </si>
  <si>
    <t>87150</t>
  </si>
  <si>
    <t>CUSSAC</t>
  </si>
  <si>
    <t>10 rue Adrien Dubouché</t>
  </si>
  <si>
    <t>4 rue André Gateau</t>
  </si>
  <si>
    <t>89100</t>
  </si>
  <si>
    <t>SENS</t>
  </si>
  <si>
    <t>12 Place Cordeliers</t>
  </si>
  <si>
    <t>89000</t>
  </si>
  <si>
    <t>AUXERRE</t>
  </si>
  <si>
    <t>3 rue Proudhon</t>
  </si>
  <si>
    <t>90000</t>
  </si>
  <si>
    <t>BELFORT</t>
  </si>
  <si>
    <t>32 rue Carnot</t>
  </si>
  <si>
    <t>90300</t>
  </si>
  <si>
    <t>VALDOIE</t>
  </si>
  <si>
    <t>18 rue d'Estienne d'Orves</t>
  </si>
  <si>
    <t>VERRIERE LE BUISSON</t>
  </si>
  <si>
    <t>19 rue St Pierre</t>
  </si>
  <si>
    <t>91410</t>
  </si>
  <si>
    <t>DOURDAN</t>
  </si>
  <si>
    <t>3 rue de la Mairie</t>
  </si>
  <si>
    <t>92320</t>
  </si>
  <si>
    <t>CHATILLON</t>
  </si>
  <si>
    <t>7 avenue Paul Doumer</t>
  </si>
  <si>
    <t>93460</t>
  </si>
  <si>
    <t>GOURNAY SUR MARNE</t>
  </si>
  <si>
    <t>8 avenue Jean Jaurès</t>
  </si>
  <si>
    <t>95330</t>
  </si>
  <si>
    <t>DOMONT</t>
  </si>
  <si>
    <t>Route de Chartres</t>
  </si>
  <si>
    <t>GOMETZ LE CHATEL</t>
  </si>
  <si>
    <t>6 place Mérisart</t>
  </si>
  <si>
    <t>FR 2844234267100017</t>
  </si>
  <si>
    <t>2 bis Place Charles DeGaulle</t>
  </si>
  <si>
    <t>29300</t>
  </si>
  <si>
    <t>QUIMPERLE</t>
  </si>
  <si>
    <t>28 grand'rue</t>
  </si>
  <si>
    <t>29600</t>
  </si>
  <si>
    <t>MORLAIX</t>
  </si>
  <si>
    <t>193 grand'rue</t>
  </si>
  <si>
    <t>30100</t>
  </si>
  <si>
    <t>ALES</t>
  </si>
  <si>
    <t>64 allée Etigny</t>
  </si>
  <si>
    <t>31110</t>
  </si>
  <si>
    <t>BAGNERES DE LUCHON</t>
  </si>
  <si>
    <t>99 avenue Jacques Douzans</t>
  </si>
  <si>
    <t>31600</t>
  </si>
  <si>
    <t>MURET</t>
  </si>
  <si>
    <t>Avenue de la Libération</t>
  </si>
  <si>
    <t>33440</t>
  </si>
  <si>
    <t>AMBARES</t>
  </si>
  <si>
    <t>86 rue Lagria</t>
  </si>
  <si>
    <t>33260</t>
  </si>
  <si>
    <t>LA TESTE</t>
  </si>
  <si>
    <t>Village Commercial Grand Tour</t>
  </si>
  <si>
    <t>rue du signoret</t>
  </si>
  <si>
    <t>33560</t>
  </si>
  <si>
    <t>SAINT EULALIE</t>
  </si>
  <si>
    <t>34 avenue Descartes</t>
  </si>
  <si>
    <t>33160</t>
  </si>
  <si>
    <t>ST MEDARD EN JALLES</t>
  </si>
  <si>
    <t>14 avenue du Maréchal Foch</t>
  </si>
  <si>
    <t>34500</t>
  </si>
  <si>
    <t>BEZIERS</t>
  </si>
  <si>
    <t>144 rue de la Libération</t>
  </si>
  <si>
    <t>34400</t>
  </si>
  <si>
    <t>LUNEL</t>
  </si>
  <si>
    <t>5 bvd St Germain</t>
  </si>
  <si>
    <t>35300</t>
  </si>
  <si>
    <t>FOUGERES</t>
  </si>
  <si>
    <t>Avenue d'Occitanie</t>
  </si>
  <si>
    <t>36250</t>
  </si>
  <si>
    <t>ST MAUR</t>
  </si>
  <si>
    <t>46 Chemin Revirée</t>
  </si>
  <si>
    <t>38240</t>
  </si>
  <si>
    <t>MEYLAN</t>
  </si>
  <si>
    <t>44 rue du Commerce</t>
  </si>
  <si>
    <t>27/29 rue Carnot</t>
  </si>
  <si>
    <t>40800</t>
  </si>
  <si>
    <t>AIRE SUR L'ADOUR</t>
  </si>
  <si>
    <t>16 rue Change</t>
  </si>
  <si>
    <t>41100</t>
  </si>
  <si>
    <t>VENDOME</t>
  </si>
  <si>
    <t>9 rue St Jean</t>
  </si>
  <si>
    <t>42600</t>
  </si>
  <si>
    <t>MONTBRISON</t>
  </si>
  <si>
    <t>68 rue Jean Jaurès</t>
  </si>
  <si>
    <t>42300</t>
  </si>
  <si>
    <t>ROANNE</t>
  </si>
  <si>
    <t>48 rue Emile Zola</t>
  </si>
  <si>
    <t>42650</t>
  </si>
  <si>
    <t>ST JEAN DE BONNEFONDS</t>
  </si>
  <si>
    <t>16 rue Courrerie</t>
  </si>
  <si>
    <t>43000</t>
  </si>
  <si>
    <t>LE PUY EN VELAY</t>
  </si>
  <si>
    <t>Manoir Porte Calon</t>
  </si>
  <si>
    <t>Faubourg St Michel</t>
  </si>
  <si>
    <t>44350</t>
  </si>
  <si>
    <t>GUERANDE</t>
  </si>
  <si>
    <t>10 route de Sully</t>
  </si>
  <si>
    <t>45460</t>
  </si>
  <si>
    <t>BONNEE</t>
  </si>
  <si>
    <t>14 rue de Loing</t>
  </si>
  <si>
    <t>32 rue des Girondins</t>
  </si>
  <si>
    <t>47300</t>
  </si>
  <si>
    <t>VILLENEUVE SUR LOT</t>
  </si>
  <si>
    <t>17 rue Bonnemère</t>
  </si>
  <si>
    <t>40 rue cornet</t>
  </si>
  <si>
    <t>49100</t>
  </si>
  <si>
    <t>ANGERS</t>
  </si>
  <si>
    <t>100 rue Couraye</t>
  </si>
  <si>
    <t>50400</t>
  </si>
  <si>
    <t>GRANVILLE</t>
  </si>
  <si>
    <t>FR 4642263026900021</t>
  </si>
  <si>
    <t>36 rue du Maréchal Leclerc</t>
  </si>
  <si>
    <t>50000</t>
  </si>
  <si>
    <t>ST LO</t>
  </si>
  <si>
    <t>76 rue chanzy</t>
  </si>
  <si>
    <t>51800</t>
  </si>
  <si>
    <t>STE MENEHOULD</t>
  </si>
  <si>
    <t>10 rue Toupot de Béveaux</t>
  </si>
  <si>
    <t>52000</t>
  </si>
  <si>
    <t>CHAUMONT</t>
  </si>
  <si>
    <t>ZAC la porte verte</t>
  </si>
  <si>
    <t>15 rue des Sables</t>
  </si>
  <si>
    <t>54425</t>
  </si>
  <si>
    <t>PULNOY</t>
  </si>
  <si>
    <t>183 rue de la Mairie</t>
  </si>
  <si>
    <t>19 rue Nationale</t>
  </si>
  <si>
    <t>60800</t>
  </si>
  <si>
    <t>CREPY EN VALOIS</t>
  </si>
  <si>
    <t>311 rue Robert Estienne ZI</t>
  </si>
  <si>
    <t>60400</t>
  </si>
  <si>
    <t>NOYON</t>
  </si>
  <si>
    <t>2 rue griffon</t>
  </si>
  <si>
    <t>61200</t>
  </si>
  <si>
    <t>ARGENTAN</t>
  </si>
  <si>
    <t>81 Espalnade du Maréchal Leclerc</t>
  </si>
  <si>
    <t>62610</t>
  </si>
  <si>
    <t>ARDRES</t>
  </si>
  <si>
    <t>417 rue Aire</t>
  </si>
  <si>
    <t>62400</t>
  </si>
  <si>
    <t>BETHUNE</t>
  </si>
  <si>
    <t>63160</t>
  </si>
  <si>
    <t>BILLOM</t>
  </si>
  <si>
    <t>5 place de la mairie</t>
  </si>
  <si>
    <t>63610</t>
  </si>
  <si>
    <t>BESSE ET SAINT ANASTAISE</t>
  </si>
  <si>
    <t>26 quai Marcel Roca</t>
  </si>
  <si>
    <t>66240</t>
  </si>
  <si>
    <t>SAINT ESTEVE</t>
  </si>
  <si>
    <t>4 impasse Oie</t>
  </si>
  <si>
    <t>67500</t>
  </si>
  <si>
    <t>HAGUENAU</t>
  </si>
  <si>
    <t>3 rur Monseigneur Vogt</t>
  </si>
  <si>
    <t>67520</t>
  </si>
  <si>
    <t>MARLENHEIM</t>
  </si>
  <si>
    <t>23 rue Paul Poirier</t>
  </si>
  <si>
    <t>41 rue de blois</t>
  </si>
  <si>
    <t>BP 323</t>
  </si>
  <si>
    <t>FR91420369282</t>
  </si>
  <si>
    <t>Avenue Albert Sarrault</t>
  </si>
  <si>
    <t>17940</t>
  </si>
  <si>
    <t>RIVEDOUX</t>
  </si>
  <si>
    <t>29 Rue de la République</t>
  </si>
  <si>
    <t>17310</t>
  </si>
  <si>
    <t>ST PIERRE D'OLERON</t>
  </si>
  <si>
    <t>76 rue de la République</t>
  </si>
  <si>
    <t>75 route de Bordeaux</t>
  </si>
  <si>
    <t>33950</t>
  </si>
  <si>
    <t>LEGE-CAP FERET</t>
  </si>
  <si>
    <t>FR 64421171075</t>
  </si>
  <si>
    <t>43 Place de la République</t>
  </si>
  <si>
    <t>106 avenue de la plage</t>
  </si>
  <si>
    <t>BENODET</t>
  </si>
  <si>
    <t>8 rue de la Bise</t>
  </si>
  <si>
    <t>TADEN</t>
  </si>
  <si>
    <t>FR 914 521 940 10 000 12</t>
  </si>
  <si>
    <t>22 rue du Marché</t>
  </si>
  <si>
    <t>17630</t>
  </si>
  <si>
    <t>FR 8548128013900017</t>
  </si>
  <si>
    <t>24 place du Martray</t>
  </si>
  <si>
    <t>22220</t>
  </si>
  <si>
    <t>TREGUIER</t>
  </si>
  <si>
    <t>ZAC de Luscanen</t>
  </si>
  <si>
    <t>56880</t>
  </si>
  <si>
    <t>PLOEREN</t>
  </si>
  <si>
    <t>fr 25448046755</t>
  </si>
  <si>
    <t>10 Place des Lices</t>
  </si>
  <si>
    <t>5 Place de la République</t>
  </si>
  <si>
    <t>29660</t>
  </si>
  <si>
    <t>CARANTEC</t>
  </si>
  <si>
    <t>FR 16420486821</t>
  </si>
  <si>
    <t>Seestrasse 141</t>
  </si>
  <si>
    <t>CH-8703</t>
  </si>
  <si>
    <t>ERLENBACH</t>
  </si>
  <si>
    <t>Place de la gare</t>
  </si>
  <si>
    <t>1884</t>
  </si>
  <si>
    <t>VILLARS SUR OLLON</t>
  </si>
  <si>
    <t>ZA Route de meuble</t>
  </si>
  <si>
    <t>LA BOURDONNAIS</t>
  </si>
  <si>
    <t>35520</t>
  </si>
  <si>
    <t>LA MEZIERE</t>
  </si>
  <si>
    <t>place Louise de Bettignies</t>
  </si>
  <si>
    <t>VIEUX-LILLE</t>
  </si>
  <si>
    <t>6 rue St. Antoine</t>
  </si>
  <si>
    <t>5 place Saint-Nizier</t>
  </si>
  <si>
    <t>116 rue du Bac</t>
  </si>
  <si>
    <t>324 ave du 14 juillet</t>
  </si>
  <si>
    <t>40600</t>
  </si>
  <si>
    <t>BISCAROSSE</t>
  </si>
  <si>
    <t>33 cours de la Bôve</t>
  </si>
  <si>
    <t>L'ORIENT</t>
  </si>
  <si>
    <t>13 rue des Fontaines</t>
  </si>
  <si>
    <t>Le Clos Salomon</t>
  </si>
  <si>
    <t>56450</t>
  </si>
  <si>
    <t>SAINT ARMEL</t>
  </si>
  <si>
    <t>BP 15</t>
  </si>
  <si>
    <t>PONT-AVON</t>
  </si>
  <si>
    <t>13 cours de Chazelles</t>
  </si>
  <si>
    <t>76 rue Gambetta</t>
  </si>
  <si>
    <t>91 cours Napoleon</t>
  </si>
  <si>
    <t>20090</t>
  </si>
  <si>
    <t>2 allee des Fontaines</t>
  </si>
  <si>
    <t>6 rue de Verdun</t>
  </si>
  <si>
    <t>15 rue de l'Imperatrice</t>
  </si>
  <si>
    <t>62600</t>
  </si>
  <si>
    <t>BERCK PLAGE</t>
  </si>
  <si>
    <t>2 rue de VAUCOULEUR</t>
  </si>
  <si>
    <t>78790</t>
  </si>
  <si>
    <t>ROZAY</t>
  </si>
  <si>
    <t>263 rue Ducretet</t>
  </si>
  <si>
    <t>ZC CHAMNORD</t>
  </si>
  <si>
    <t>14 rue Gaston Folloppe</t>
  </si>
  <si>
    <t>FR 63490983947</t>
  </si>
  <si>
    <t>Bât E  Z.A. Nord du Porteau</t>
  </si>
  <si>
    <t>BP 50078</t>
  </si>
  <si>
    <t>85202</t>
  </si>
  <si>
    <t>FONTENAY le COMTE CEDEX</t>
  </si>
  <si>
    <t>FR 14480119866</t>
  </si>
  <si>
    <t>40 rue de Bras</t>
  </si>
  <si>
    <t>FR 51 488 341 924</t>
  </si>
  <si>
    <t>Hôtel Colin d'Albertas</t>
  </si>
  <si>
    <t>Place du Septier</t>
  </si>
  <si>
    <t>84400</t>
  </si>
  <si>
    <t>APT</t>
  </si>
  <si>
    <t>FR 27 787 210 780</t>
  </si>
  <si>
    <t>21 La Sicardie</t>
  </si>
  <si>
    <t>33240</t>
  </si>
  <si>
    <t>PEUJARD</t>
  </si>
  <si>
    <t>FR 59441567328</t>
  </si>
  <si>
    <t>28 rue du Lait</t>
  </si>
  <si>
    <t>FR 93 414 893 859</t>
  </si>
  <si>
    <t>47 rue  d'Espagne</t>
  </si>
  <si>
    <t>64100</t>
  </si>
  <si>
    <t>BAYONNE</t>
  </si>
  <si>
    <t>FR7742461794200018</t>
  </si>
  <si>
    <t>3 et 6 rue des trois Marie</t>
  </si>
  <si>
    <t>FR 42 344 845 292</t>
  </si>
  <si>
    <t>Av. Almirante Cochrane</t>
  </si>
  <si>
    <t>194/196</t>
  </si>
  <si>
    <t>CJ 21</t>
  </si>
  <si>
    <t>SANTOS</t>
  </si>
  <si>
    <t>5 boulevard Vincent Gache</t>
  </si>
  <si>
    <t>BP 36204</t>
  </si>
  <si>
    <t>44262</t>
  </si>
  <si>
    <t>294 Upper Street</t>
  </si>
  <si>
    <t>N1 2TU</t>
  </si>
  <si>
    <t>GB 564313942</t>
  </si>
  <si>
    <t>Av; Beira Mar 1671</t>
  </si>
  <si>
    <t>BL  C</t>
  </si>
  <si>
    <t>4400</t>
  </si>
  <si>
    <t>CANDELO (V.N. GAIA)</t>
  </si>
  <si>
    <t>S06497771</t>
  </si>
  <si>
    <t>Via M. Melloni 35</t>
  </si>
  <si>
    <t>20129</t>
  </si>
  <si>
    <t>MILANO</t>
  </si>
  <si>
    <t>10 avenue des Platanes</t>
  </si>
  <si>
    <t>(à côté du SUPER U )</t>
  </si>
  <si>
    <t>35510</t>
  </si>
  <si>
    <t>MORDELLES</t>
  </si>
  <si>
    <t>14 rue Richelieu</t>
  </si>
  <si>
    <t>92230</t>
  </si>
  <si>
    <t>GENNEVILLIERS</t>
  </si>
  <si>
    <t>97221</t>
  </si>
  <si>
    <t>LE CARBET</t>
  </si>
  <si>
    <t>265 Avenue de la Mer</t>
  </si>
  <si>
    <t>83140</t>
  </si>
  <si>
    <t>SIX-FOURS LES PLAGES</t>
  </si>
  <si>
    <t>10 rue des Casinos</t>
  </si>
  <si>
    <t>61140</t>
  </si>
  <si>
    <t>BAGNOLES DE L'ORNE</t>
  </si>
  <si>
    <t>26 Place de l'hôtel de ville</t>
  </si>
  <si>
    <t>32230</t>
  </si>
  <si>
    <t>MARCIAC</t>
  </si>
  <si>
    <t>Centre Commercial Océane</t>
  </si>
  <si>
    <t>10 Rond point la Corbinerie</t>
  </si>
  <si>
    <t>44412</t>
  </si>
  <si>
    <t>FR 2343771719200011</t>
  </si>
  <si>
    <t>18 rue Amiral Mouchoz</t>
  </si>
  <si>
    <t>PARIS CEDEX 14</t>
  </si>
  <si>
    <t>93 Route de Gençay  Galerie commercial Leclerc</t>
  </si>
  <si>
    <t>FR 294445231590</t>
  </si>
  <si>
    <t>RN 10 Grand Pont</t>
  </si>
  <si>
    <t>86360</t>
  </si>
  <si>
    <t>CHASSENEUIL</t>
  </si>
  <si>
    <t>FR 7930086295</t>
  </si>
  <si>
    <t>8 rue Saint Damien</t>
  </si>
  <si>
    <t>95270</t>
  </si>
  <si>
    <t>LUZARCHES</t>
  </si>
  <si>
    <t>305 rue de Charenton</t>
  </si>
  <si>
    <t>62 Avenue du moulin de Saquet</t>
  </si>
  <si>
    <t>VITRY SUR SEINE</t>
  </si>
  <si>
    <t>18 rue de la Paroisse</t>
  </si>
  <si>
    <t>FR 89433028040</t>
  </si>
  <si>
    <t>40 rue des Poissonniers</t>
  </si>
  <si>
    <t>FR 30402741581</t>
  </si>
  <si>
    <t>4, Route de Paris</t>
  </si>
  <si>
    <t>78760</t>
  </si>
  <si>
    <t>PONTCHARTRAIN</t>
  </si>
  <si>
    <t>FR 78310679964000</t>
  </si>
  <si>
    <t>15 Route de Maule</t>
  </si>
  <si>
    <t>78770</t>
  </si>
  <si>
    <t>THOIRY</t>
  </si>
  <si>
    <t>FR 09341944593</t>
  </si>
  <si>
    <t>5, Boulevard Saint Germain</t>
  </si>
  <si>
    <t>FR 17395270184</t>
  </si>
  <si>
    <t>Lieu Dit "Le Tuillot"</t>
  </si>
  <si>
    <t>61400</t>
  </si>
  <si>
    <t>MORTAGNE AU PERCHE</t>
  </si>
  <si>
    <t>FR 21431861657</t>
  </si>
  <si>
    <t>8, rue du Garigliano</t>
  </si>
  <si>
    <t>FR 78327828109</t>
  </si>
  <si>
    <t>Impasse Lili</t>
  </si>
  <si>
    <t>91800</t>
  </si>
  <si>
    <t>BRUNOY</t>
  </si>
  <si>
    <t>FR 66438171522</t>
  </si>
  <si>
    <t>73640</t>
  </si>
  <si>
    <t>SAINT FOY TARENTAISE</t>
  </si>
  <si>
    <t>60, rue de Saint Louis en L'Isle</t>
  </si>
  <si>
    <t>FR 48438192080</t>
  </si>
  <si>
    <t>37 rue des Ponts Neufs</t>
  </si>
  <si>
    <t>70000</t>
  </si>
  <si>
    <t>FR 004416164550032</t>
  </si>
  <si>
    <t>27 rue d'Huisne</t>
  </si>
  <si>
    <t>72400</t>
  </si>
  <si>
    <t>LA FERTE BERNARD</t>
  </si>
  <si>
    <t>FR 82385307368</t>
  </si>
  <si>
    <t>200 rue Andrei Sakharov</t>
  </si>
  <si>
    <t>56600</t>
  </si>
  <si>
    <t>LANESTER</t>
  </si>
  <si>
    <t>24 rue St. Vincent</t>
  </si>
  <si>
    <t>FR 12432171957</t>
  </si>
  <si>
    <t>10 bis Quai Duguay Trovin</t>
  </si>
  <si>
    <t>22500</t>
  </si>
  <si>
    <t>PAIMPOL</t>
  </si>
  <si>
    <t>fr 03441420031</t>
  </si>
  <si>
    <t>9 rue des Mouettes</t>
  </si>
  <si>
    <t>1227</t>
  </si>
  <si>
    <t>4 rue Pagès</t>
  </si>
  <si>
    <t>FR 24389027137</t>
  </si>
  <si>
    <t>1 rue ST Maurice</t>
  </si>
  <si>
    <t>56520</t>
  </si>
  <si>
    <t>GUIDEL</t>
  </si>
  <si>
    <t>FR 88402349591</t>
  </si>
  <si>
    <t>33 rue Charles de Gaulle</t>
  </si>
  <si>
    <t>29940</t>
  </si>
  <si>
    <t>LA FORET FOUESNANT</t>
  </si>
  <si>
    <t>FR</t>
  </si>
  <si>
    <t>FR 86433236007</t>
  </si>
  <si>
    <t>3 rue Saint Yves</t>
  </si>
  <si>
    <t>22200</t>
  </si>
  <si>
    <t>GUINGAMP</t>
  </si>
  <si>
    <t>FR 79480014190</t>
  </si>
  <si>
    <t>2 rue Coat Ar Gueven</t>
  </si>
  <si>
    <t>FR 16444583173</t>
  </si>
  <si>
    <t>139 rue du Maréchal Joffre</t>
  </si>
  <si>
    <t>FR 35448017335</t>
  </si>
  <si>
    <t>8, Place du marché</t>
  </si>
  <si>
    <t>76460</t>
  </si>
  <si>
    <t>SAINT VALERY EN CAUX</t>
  </si>
  <si>
    <t>203 Avenue du Grand Sud Rond-Point de l'Hypodrome</t>
  </si>
  <si>
    <t>37170</t>
  </si>
  <si>
    <t>CHAMBRAY LES TOURS</t>
  </si>
  <si>
    <t>FR 68390017457</t>
  </si>
  <si>
    <t>72 Avenue de la République</t>
  </si>
  <si>
    <t>ST NAZAIRE</t>
  </si>
  <si>
    <t>FR 27432703619</t>
  </si>
  <si>
    <t>Place du Marché</t>
  </si>
  <si>
    <t>FR 18419753728</t>
  </si>
  <si>
    <t>5 Avenue des Platanes</t>
  </si>
  <si>
    <t>FR 43440073070</t>
  </si>
  <si>
    <t>4, Rue Belle Image</t>
  </si>
  <si>
    <t>50 cours de l'Intendance</t>
  </si>
  <si>
    <t>FR 3428998200027</t>
  </si>
  <si>
    <t>6 rue Michael Faraday</t>
  </si>
  <si>
    <t>FR 49387991250</t>
  </si>
  <si>
    <t>10 Avenue Jean Jaures</t>
  </si>
  <si>
    <t>FR 25448329219</t>
  </si>
  <si>
    <t>43, Place de la République</t>
  </si>
  <si>
    <t>FR 90389195066</t>
  </si>
  <si>
    <t>5 rue du Vieil Abreuvoir</t>
  </si>
  <si>
    <t>SAINT GERMAIN EN LAYE</t>
  </si>
  <si>
    <t>FR 08477631717</t>
  </si>
  <si>
    <t>Le Manoir des Parcs</t>
  </si>
  <si>
    <t>14100</t>
  </si>
  <si>
    <t>OUILLY LE VICOMTE</t>
  </si>
  <si>
    <t>15 rue Alain Fournier</t>
  </si>
  <si>
    <t>cidex 100 B</t>
  </si>
  <si>
    <t>38920</t>
  </si>
  <si>
    <t>CROLLES</t>
  </si>
  <si>
    <t>16 Place du Marché</t>
  </si>
  <si>
    <t>77170</t>
  </si>
  <si>
    <t>BRIE COMTE ROBERT</t>
  </si>
  <si>
    <t>FR88493868509</t>
  </si>
  <si>
    <t>21 rue Paul Vatine</t>
  </si>
  <si>
    <t>56890</t>
  </si>
  <si>
    <t>SAINT AVE</t>
  </si>
  <si>
    <t>111 Avenue Henri Ginoux</t>
  </si>
  <si>
    <t>2 rue Porcon</t>
  </si>
  <si>
    <t>35400</t>
  </si>
  <si>
    <t>SAINT MALO</t>
  </si>
  <si>
    <t>FR 76405152984</t>
  </si>
  <si>
    <t>71 rue Charlot</t>
  </si>
  <si>
    <t>50 rue Victor Hugo</t>
  </si>
  <si>
    <t>97200</t>
  </si>
  <si>
    <t>Fort de France</t>
  </si>
  <si>
    <t>96 rue du Bailli</t>
  </si>
  <si>
    <t>1050</t>
  </si>
  <si>
    <t>BE 457737456</t>
  </si>
  <si>
    <t>MAK ; Stubenring 5</t>
  </si>
  <si>
    <t>A-1010</t>
  </si>
  <si>
    <t>Wien , Austria</t>
  </si>
  <si>
    <t>Autriche</t>
  </si>
  <si>
    <t>31 rue de Sully</t>
  </si>
  <si>
    <t>SAINT-MARTIN-DE-RE</t>
  </si>
  <si>
    <t>145 rue des Routiers</t>
  </si>
  <si>
    <t>ZI de Jalday</t>
  </si>
  <si>
    <t>64500</t>
  </si>
  <si>
    <t>SAINT JEAN DE LUZ</t>
  </si>
  <si>
    <t>The port</t>
  </si>
  <si>
    <t>18040</t>
  </si>
  <si>
    <t>Hydra</t>
  </si>
  <si>
    <t>GRANDE RUE</t>
  </si>
  <si>
    <t>FR 28334188059</t>
  </si>
  <si>
    <t>Ambiance des alpes</t>
  </si>
  <si>
    <t>3621 Route d'Albertville</t>
  </si>
  <si>
    <t>FR 53399283571</t>
  </si>
  <si>
    <t>10 Avenue Marcelin Maurel</t>
  </si>
  <si>
    <t>8 Avenue des Pyhrénées</t>
  </si>
  <si>
    <t>NARBONNES</t>
  </si>
  <si>
    <t>10 Passage Montenegro</t>
  </si>
  <si>
    <t>2 PLACE Saint Sauveur</t>
  </si>
  <si>
    <t>FR38490863594</t>
  </si>
  <si>
    <t>25 Grande Rue</t>
  </si>
  <si>
    <t>91490</t>
  </si>
  <si>
    <t>MILLY-LA-FORÊT</t>
  </si>
  <si>
    <t>2 RUE DES Encloses</t>
  </si>
  <si>
    <t>26500</t>
  </si>
  <si>
    <t>3 rue du Château</t>
  </si>
  <si>
    <t>50700</t>
  </si>
  <si>
    <t>VALOGNES</t>
  </si>
  <si>
    <t>FR 95453536849</t>
  </si>
  <si>
    <t>99, Route de lyon</t>
  </si>
  <si>
    <t>BOURG LES VALENCE</t>
  </si>
  <si>
    <t>7 rue Haute des Chevaliers</t>
  </si>
  <si>
    <t>89300</t>
  </si>
  <si>
    <t>JOIGNY</t>
  </si>
  <si>
    <t>23 rue du Rempart</t>
  </si>
  <si>
    <t>FR 07450404140</t>
  </si>
  <si>
    <t>8 Avenue de Vichy</t>
  </si>
  <si>
    <t>88400</t>
  </si>
  <si>
    <t>GERARDMER</t>
  </si>
  <si>
    <t>FR 92432168524</t>
  </si>
  <si>
    <t>74 rue Treille</t>
  </si>
  <si>
    <t>3 Grande Rue</t>
  </si>
  <si>
    <t>68140</t>
  </si>
  <si>
    <t>BONNE</t>
  </si>
  <si>
    <t>50 rue Charles de Gaulle</t>
  </si>
  <si>
    <t>FR 10484089719</t>
  </si>
  <si>
    <t>127 rue de Vesle</t>
  </si>
  <si>
    <t>5A rue des Marchands</t>
  </si>
  <si>
    <t>5 rue des Marchands</t>
  </si>
  <si>
    <t>66 Grand'Rue</t>
  </si>
  <si>
    <t>FR 449392554</t>
  </si>
  <si>
    <t>21 Avenue Notre Dame Des Pasees</t>
  </si>
  <si>
    <t>33120</t>
  </si>
  <si>
    <t>ARCACHON</t>
  </si>
  <si>
    <t>FR 53329401376</t>
  </si>
  <si>
    <t>63 Frederik Hendriklaan</t>
  </si>
  <si>
    <t>2582 BT</t>
  </si>
  <si>
    <t>DEN HAAG / LA HAYE</t>
  </si>
  <si>
    <t>NL 809303966B01</t>
  </si>
  <si>
    <t>6 Place du Marche</t>
  </si>
  <si>
    <t>MILLY LA FÔRET</t>
  </si>
  <si>
    <t>FR 9643801245200019</t>
  </si>
  <si>
    <t>21 Avenue EMILE ZOLA</t>
  </si>
  <si>
    <t>FUMEL</t>
  </si>
  <si>
    <t>FR 5148216984400016</t>
  </si>
  <si>
    <t>94, Avenue des XVI J.O d'Hiver</t>
  </si>
  <si>
    <t>73200</t>
  </si>
  <si>
    <t>ALBERTVILLE</t>
  </si>
  <si>
    <t>fr 39490484292</t>
  </si>
  <si>
    <t>Bishops Yard</t>
  </si>
  <si>
    <t>Main Street / Corbridge</t>
  </si>
  <si>
    <t>NE 45 5LA</t>
  </si>
  <si>
    <t>NORTHUMBERLAND</t>
  </si>
  <si>
    <t>GB 816863700</t>
  </si>
  <si>
    <t>7 rue des Granges</t>
  </si>
  <si>
    <t>Les Limons</t>
  </si>
  <si>
    <t>77169</t>
  </si>
  <si>
    <t>Chauffry</t>
  </si>
  <si>
    <t>FR 21404377095</t>
  </si>
  <si>
    <t>Prokopovo Nam 8</t>
  </si>
  <si>
    <t>313000</t>
  </si>
  <si>
    <t>PRAHA</t>
  </si>
  <si>
    <t>8, rue Saint Fiacre</t>
  </si>
  <si>
    <t>75080</t>
  </si>
  <si>
    <t>10 ,rue Jean Lamy</t>
  </si>
  <si>
    <t>76980</t>
  </si>
  <si>
    <t>VEULES LES ROSES</t>
  </si>
  <si>
    <t>8, Place Clemenceau</t>
  </si>
  <si>
    <t>MONTOIR /LE LOIR</t>
  </si>
  <si>
    <t>FR 474 484 295 89</t>
  </si>
  <si>
    <t>Ferme du Menguen</t>
  </si>
  <si>
    <t>FR 43501889133</t>
  </si>
  <si>
    <t>38 Résidence Ile Royale</t>
  </si>
  <si>
    <t>2 rue de Franche Comte</t>
  </si>
  <si>
    <t>FR 0749866425900013</t>
  </si>
  <si>
    <t>23 rue Cochon Duvivier</t>
  </si>
  <si>
    <t>17300</t>
  </si>
  <si>
    <t>ROCHEFORT</t>
  </si>
  <si>
    <t>FR 93382565505</t>
  </si>
  <si>
    <t>8,Rue d'Aboukir</t>
  </si>
  <si>
    <t>FR 02326467594</t>
  </si>
  <si>
    <t>Riniac</t>
  </si>
  <si>
    <t>35270</t>
  </si>
  <si>
    <t>COMBOURG</t>
  </si>
  <si>
    <t>RCS 439430554</t>
  </si>
  <si>
    <t>2 bis rue des Charmettes</t>
  </si>
  <si>
    <t>27 rue de Picardie</t>
  </si>
  <si>
    <t>ZAC Le Riveau</t>
  </si>
  <si>
    <t>le chapu</t>
  </si>
  <si>
    <t>17560</t>
  </si>
  <si>
    <t>BOURCEFRANC</t>
  </si>
  <si>
    <t>FR 07495088742</t>
  </si>
  <si>
    <t>10, avenue Trudaine</t>
  </si>
  <si>
    <t>FR 51500651351</t>
  </si>
  <si>
    <t>14 rue Monmartel</t>
  </si>
  <si>
    <t>36 Rue de jemapes</t>
  </si>
  <si>
    <t>8, Rue Victor Hugo</t>
  </si>
  <si>
    <t>71600</t>
  </si>
  <si>
    <t>PARAY LE MONIAL</t>
  </si>
  <si>
    <t>2 boulevard Magenta</t>
  </si>
  <si>
    <t>171 Gde Rue Charles de Gaulle</t>
  </si>
  <si>
    <t>NOGENT SUR MARNE</t>
  </si>
  <si>
    <t>FR 93498940964</t>
  </si>
  <si>
    <t>43 rue d'Enghien</t>
  </si>
  <si>
    <t>FR 24501062137</t>
  </si>
  <si>
    <t>43 rue de Turbigo</t>
  </si>
  <si>
    <t>FR 35414493262</t>
  </si>
  <si>
    <t>BOHEM</t>
  </si>
  <si>
    <t>51 rue du Général Leclerc</t>
  </si>
  <si>
    <t>50110</t>
  </si>
  <si>
    <t>TOURLAVILLE</t>
  </si>
  <si>
    <t>FR 18498917368</t>
  </si>
  <si>
    <t>107 rue de Cambronne</t>
  </si>
  <si>
    <t>FR 86485112577</t>
  </si>
  <si>
    <t>52 rue leopold Lucas</t>
  </si>
  <si>
    <t>58600</t>
  </si>
  <si>
    <t>FOURCHAMBAULT</t>
  </si>
  <si>
    <t>31 Grande rue</t>
  </si>
  <si>
    <t>6, Le Caillou</t>
  </si>
  <si>
    <t>33620</t>
  </si>
  <si>
    <t>SAINT MARIENS</t>
  </si>
  <si>
    <t>LA PLAINE SAINT DENIS</t>
  </si>
  <si>
    <t>FR12489321059</t>
  </si>
  <si>
    <t>29 rue Greuze</t>
  </si>
  <si>
    <t>77 rue de l'église</t>
  </si>
  <si>
    <t>SCHIRMECK</t>
  </si>
  <si>
    <t>10 rue de la grotte</t>
  </si>
  <si>
    <t>17320</t>
  </si>
  <si>
    <t>BROUAGE</t>
  </si>
  <si>
    <t>Domaine de Hontane</t>
  </si>
  <si>
    <t>29 rue Pomeys</t>
  </si>
  <si>
    <t>33320</t>
  </si>
  <si>
    <t>EYSINES</t>
  </si>
  <si>
    <t>FR 0649941090000017</t>
  </si>
  <si>
    <t>Le Village</t>
  </si>
  <si>
    <t>26270</t>
  </si>
  <si>
    <t>MIRMANDE</t>
  </si>
  <si>
    <t>FR 21 316 296 730</t>
  </si>
  <si>
    <t>1 , quai Raoul Coulon - sur le Port</t>
  </si>
  <si>
    <t>17370</t>
  </si>
  <si>
    <t>SAINT-TROJAN-LES-BAINS</t>
  </si>
  <si>
    <t>FR 88479147886</t>
  </si>
  <si>
    <t>rue Darwin 52A</t>
  </si>
  <si>
    <t>BE 478905331</t>
  </si>
  <si>
    <t>5 Place du Général De Gaulle</t>
  </si>
  <si>
    <t>FR 4147752347600018</t>
  </si>
  <si>
    <t>11 Impasse du Castelet</t>
  </si>
  <si>
    <t>13630</t>
  </si>
  <si>
    <t>EYRAGUES</t>
  </si>
  <si>
    <t>15 rue Emile Zola</t>
  </si>
  <si>
    <t>FR 19 775 646 987</t>
  </si>
  <si>
    <t>39 rue Escudier</t>
  </si>
  <si>
    <t>FR 27484855184</t>
  </si>
  <si>
    <t>hameau de la loge</t>
  </si>
  <si>
    <t>84390</t>
  </si>
  <si>
    <t>SAULT</t>
  </si>
  <si>
    <t>2ème CAI</t>
  </si>
  <si>
    <t>285 Avenue des Maurettes</t>
  </si>
  <si>
    <t>VILLENEUVE LOUBET</t>
  </si>
  <si>
    <t>3 Rue du Vieux Moulin</t>
  </si>
  <si>
    <t>65200</t>
  </si>
  <si>
    <t>BAGNERES DE BIGORRE</t>
  </si>
  <si>
    <t>FR 7747890690200018</t>
  </si>
  <si>
    <t>19 Rue Albert Rémy</t>
  </si>
  <si>
    <t>RN7</t>
  </si>
  <si>
    <t>RIS-ORANGIS</t>
  </si>
  <si>
    <t>FR 14409161262</t>
  </si>
  <si>
    <t>61 Avenue De La Muzelle</t>
  </si>
  <si>
    <t>38860</t>
  </si>
  <si>
    <t>LES DEUX ALPES</t>
  </si>
  <si>
    <t>FR 52420890741</t>
  </si>
  <si>
    <t>Rue de Gevrier</t>
  </si>
  <si>
    <t>74150</t>
  </si>
  <si>
    <t>RUMILLY</t>
  </si>
  <si>
    <t>5, Rue Médicis</t>
  </si>
  <si>
    <t>fr 37483134375</t>
  </si>
  <si>
    <t>390, Rue Paradis</t>
  </si>
  <si>
    <t>635, Avenue de Mazargues</t>
  </si>
  <si>
    <t>13009</t>
  </si>
  <si>
    <t>80, Rue Grignan</t>
  </si>
  <si>
    <t>fr 71488835141</t>
  </si>
  <si>
    <t>84, Rue Grignan</t>
  </si>
  <si>
    <t>31, Rue Louis Barthou</t>
  </si>
  <si>
    <t>64000</t>
  </si>
  <si>
    <t>PAU</t>
  </si>
  <si>
    <t>15, Rue Léon Daran</t>
  </si>
  <si>
    <t>362 Route de Saint Zacharie</t>
  </si>
  <si>
    <t>13530</t>
  </si>
  <si>
    <t>TRETS</t>
  </si>
  <si>
    <t>FR96477697189</t>
  </si>
  <si>
    <t>241 rue de la  Croix Nivert</t>
  </si>
  <si>
    <t>FECAMP</t>
  </si>
  <si>
    <t>28, Rue de L'Abreuvoir</t>
  </si>
  <si>
    <t>61300</t>
  </si>
  <si>
    <t>ST MARTIN L'AIGLE</t>
  </si>
  <si>
    <t>fr 194397288090</t>
  </si>
  <si>
    <t>2, Avenue de la Libération</t>
  </si>
  <si>
    <t>56700</t>
  </si>
  <si>
    <t>HENNEBONT</t>
  </si>
  <si>
    <t>63, Rue du Port</t>
  </si>
  <si>
    <t>8, Place Jean Fournier</t>
  </si>
  <si>
    <t>29470</t>
  </si>
  <si>
    <t>PLOUGASTEL-DAOUBAS</t>
  </si>
  <si>
    <t>2, Rue Marguerite Renaudin</t>
  </si>
  <si>
    <t>38, rue du Grand Marché</t>
  </si>
  <si>
    <t>8 rue Bisiieux</t>
  </si>
  <si>
    <t>41170</t>
  </si>
  <si>
    <t>MONDOUBLEAU</t>
  </si>
  <si>
    <t>FR88312746423</t>
  </si>
  <si>
    <t>129 rue Marie Fichet</t>
  </si>
  <si>
    <t>6, Place Yvonne Genty</t>
  </si>
  <si>
    <t>60650</t>
  </si>
  <si>
    <t>BLACOURT</t>
  </si>
  <si>
    <t>40, Boulevard de La République</t>
  </si>
  <si>
    <t>47000</t>
  </si>
  <si>
    <t>AGEN</t>
  </si>
  <si>
    <t>161, Avenue Robert Descamps</t>
  </si>
  <si>
    <t>59126</t>
  </si>
  <si>
    <t>LINSELLES</t>
  </si>
  <si>
    <t>FR95412968539</t>
  </si>
  <si>
    <t>7, rue du Général de Gaulle</t>
  </si>
  <si>
    <t>44210</t>
  </si>
  <si>
    <t>PORNIC</t>
  </si>
  <si>
    <t>FR 6833299464900041</t>
  </si>
  <si>
    <t>ZA Atlantheix</t>
  </si>
  <si>
    <t>THEIX</t>
  </si>
  <si>
    <t>FR 635011298442</t>
  </si>
  <si>
    <t>25, Place Denfert Rochereau</t>
  </si>
  <si>
    <t>MONTBELIARD</t>
  </si>
  <si>
    <t>FR 26431484070</t>
  </si>
  <si>
    <t>32, rue des Batignolles</t>
  </si>
  <si>
    <t>FR 05499590867</t>
  </si>
  <si>
    <t>Via Benjamin Kranklin</t>
  </si>
  <si>
    <t>43100</t>
  </si>
  <si>
    <t>PARMA</t>
  </si>
  <si>
    <t>IT 01503810341</t>
  </si>
  <si>
    <t>Hommelseweg 288</t>
  </si>
  <si>
    <t>6821</t>
  </si>
  <si>
    <t>LT AFNHEM</t>
  </si>
  <si>
    <t>Bergmannstrasse 105</t>
  </si>
  <si>
    <t>10961</t>
  </si>
  <si>
    <t>Berlin Kreuzberg</t>
  </si>
  <si>
    <t>13 rue de l'Orme</t>
  </si>
  <si>
    <t>SAINT-MALO</t>
  </si>
  <si>
    <t>74, Rue du Connétable</t>
  </si>
  <si>
    <t>86, Route de Lorient</t>
  </si>
  <si>
    <t>FR 66450510698</t>
  </si>
  <si>
    <t>4 Route de St Mards</t>
  </si>
  <si>
    <t>76590</t>
  </si>
  <si>
    <t>BELMESNIL</t>
  </si>
  <si>
    <t>54 Grande Rue</t>
  </si>
  <si>
    <t>76750</t>
  </si>
  <si>
    <t>24 BD General De Gaulle</t>
  </si>
  <si>
    <t>76201</t>
  </si>
  <si>
    <t>DIEPPE</t>
  </si>
  <si>
    <t>56 Rue des Martyrs</t>
  </si>
  <si>
    <t>76500</t>
  </si>
  <si>
    <t>ELBEUF</t>
  </si>
  <si>
    <t>20 Rue Alexandre Legros</t>
  </si>
  <si>
    <t>30 RTE Neuve</t>
  </si>
  <si>
    <t>76220</t>
  </si>
  <si>
    <t>FERRIERES BRAY</t>
  </si>
  <si>
    <t>100 Route De Neufchatel</t>
  </si>
  <si>
    <t>76230</t>
  </si>
  <si>
    <t>ISNEAUVILLE</t>
  </si>
  <si>
    <t>BP 3  100 Route De Neufchatel</t>
  </si>
  <si>
    <t>B.P.3</t>
  </si>
  <si>
    <t>41 Rue Louis Philippe</t>
  </si>
  <si>
    <t>157 Avenue Jean Jaures</t>
  </si>
  <si>
    <t>76140</t>
  </si>
  <si>
    <t>LE PETIT QUEVILLY</t>
  </si>
  <si>
    <t>33 Square Raymond Aron</t>
  </si>
  <si>
    <t>76130</t>
  </si>
  <si>
    <t>MONT ST AIGNAN</t>
  </si>
  <si>
    <t>2 Rue Martin du Bellay</t>
  </si>
  <si>
    <t>76190</t>
  </si>
  <si>
    <t>YVETOT</t>
  </si>
  <si>
    <t>13 La Haize</t>
  </si>
  <si>
    <t>27160</t>
  </si>
  <si>
    <t>BEMECOURT</t>
  </si>
  <si>
    <t>Agri Service Sarl Avenue du 8 Mai</t>
  </si>
  <si>
    <t>4 Rue de L'Horloge</t>
  </si>
  <si>
    <t>69 Place Carnot</t>
  </si>
  <si>
    <t>27190</t>
  </si>
  <si>
    <t>CONCHES EN OUCHE</t>
  </si>
  <si>
    <t>19 Place La Hall aux Drapiers</t>
  </si>
  <si>
    <t>Zone Artisanale Route Dep 36</t>
  </si>
  <si>
    <t>27120</t>
  </si>
  <si>
    <t>PACY SUR EURE</t>
  </si>
  <si>
    <t>Site du Hallage Avenue de L'Ile de France</t>
  </si>
  <si>
    <t>27200</t>
  </si>
  <si>
    <t>VERNON</t>
  </si>
  <si>
    <t>8 Square Monseigneur Roull</t>
  </si>
  <si>
    <t>7 Rue de Guenole</t>
  </si>
  <si>
    <t>29900</t>
  </si>
  <si>
    <t>CONCARNEAU</t>
  </si>
  <si>
    <t>18 Rue Pasteur</t>
  </si>
  <si>
    <t>29400</t>
  </si>
  <si>
    <t>LANDIVISIEAU</t>
  </si>
  <si>
    <t>4 Place de L'Auditoire</t>
  </si>
  <si>
    <t>29870</t>
  </si>
  <si>
    <t>LANNILIS</t>
  </si>
  <si>
    <t>2 Rue du Lieutenant Jourden</t>
  </si>
  <si>
    <t>29217</t>
  </si>
  <si>
    <t>LE CONQUET</t>
  </si>
  <si>
    <t>10 Grande Rue</t>
  </si>
  <si>
    <t>17 Rue du Salle</t>
  </si>
  <si>
    <t>Zone du Bloscon</t>
  </si>
  <si>
    <t>29680</t>
  </si>
  <si>
    <t>ROSCOFF</t>
  </si>
  <si>
    <t>23/25 Rue Jean Jaures</t>
  </si>
  <si>
    <t>29310</t>
  </si>
  <si>
    <t>SCAER</t>
  </si>
  <si>
    <t>ZA du Launay</t>
  </si>
  <si>
    <t>ST MARTIN DES CHAMPS</t>
  </si>
  <si>
    <t>1 Place Chanoine Roullin</t>
  </si>
  <si>
    <t>35170</t>
  </si>
  <si>
    <t>BRUZ</t>
  </si>
  <si>
    <t>6 Rue du Marechal Leclerc</t>
  </si>
  <si>
    <t>13 Rue Theodore Botrel</t>
  </si>
  <si>
    <t>Sarl Jpms Hemisphere la Ruelle de la Torte</t>
  </si>
  <si>
    <t>MELESSE</t>
  </si>
  <si>
    <t>10 Rue de Rennes</t>
  </si>
  <si>
    <t>35160</t>
  </si>
  <si>
    <t>MONFORT SUR MEU</t>
  </si>
  <si>
    <t>2 Rue des Portes</t>
  </si>
  <si>
    <t>22160</t>
  </si>
  <si>
    <t>CALLAC</t>
  </si>
  <si>
    <t>10 Rue de la Mittrie</t>
  </si>
  <si>
    <t>3 Rue Villedeneu</t>
  </si>
  <si>
    <t>22400</t>
  </si>
  <si>
    <t>LAMBALLE</t>
  </si>
  <si>
    <t>28 Rue Clemenceau</t>
  </si>
  <si>
    <t>22410</t>
  </si>
  <si>
    <t>SAINT QUAY PORTRIEUX</t>
  </si>
  <si>
    <t>20 Place Marechal Foch</t>
  </si>
  <si>
    <t>3 Quai Bonnelle</t>
  </si>
  <si>
    <t>LE PALAIS</t>
  </si>
  <si>
    <t>4 Rue de Brenudel</t>
  </si>
  <si>
    <t>Zone de la Baie</t>
  </si>
  <si>
    <t>50300</t>
  </si>
  <si>
    <t>AVRANCHES</t>
  </si>
  <si>
    <t>7, Rue Christine</t>
  </si>
  <si>
    <t>50100</t>
  </si>
  <si>
    <t>CHERBOURG</t>
  </si>
  <si>
    <t>fr 90492981477010</t>
  </si>
  <si>
    <t>Route de Villedieu BP 224</t>
  </si>
  <si>
    <t>210 Route de Villedieu</t>
  </si>
  <si>
    <t>63 Place du General de Gaulle</t>
  </si>
  <si>
    <t>50250</t>
  </si>
  <si>
    <t>LA HAYE DE PUITS</t>
  </si>
  <si>
    <t>Rond point de L'Europe</t>
  </si>
  <si>
    <t>50010</t>
  </si>
  <si>
    <t>SAINT LO</t>
  </si>
  <si>
    <t>36 Rue Marechal Leclerc</t>
  </si>
  <si>
    <t>40 Rue du Docteur Havard</t>
  </si>
  <si>
    <t>50800</t>
  </si>
  <si>
    <t>VILLEDIEU LES POELES</t>
  </si>
  <si>
    <t>Route de Bavent</t>
  </si>
  <si>
    <t>14860</t>
  </si>
  <si>
    <t>AMFREVILLE</t>
  </si>
  <si>
    <t>D 513 Route de Caen-Cabourg</t>
  </si>
  <si>
    <t>BAVENT</t>
  </si>
  <si>
    <t>7 Rue Saint Jean</t>
  </si>
  <si>
    <t>6 Rue St Malot</t>
  </si>
  <si>
    <t>48 Rue Lehoc</t>
  </si>
  <si>
    <t>12 Rue du 9eme Arrondissement</t>
  </si>
  <si>
    <t>14700</t>
  </si>
  <si>
    <t>FALAISE</t>
  </si>
  <si>
    <t>18 Place Hamelin</t>
  </si>
  <si>
    <t>26 Rue Pont Mortain</t>
  </si>
  <si>
    <t>LISIEUX</t>
  </si>
  <si>
    <t>25 Rue Henri Chenon</t>
  </si>
  <si>
    <t>Zac du Long Cours</t>
  </si>
  <si>
    <t>14111</t>
  </si>
  <si>
    <t>LOUVIGNY</t>
  </si>
  <si>
    <t>2 Rue de Griffon</t>
  </si>
  <si>
    <t>La Coispilliere</t>
  </si>
  <si>
    <t>61260</t>
  </si>
  <si>
    <t>CETON</t>
  </si>
  <si>
    <t>39 Rue du Marechal Foch</t>
  </si>
  <si>
    <t>80100</t>
  </si>
  <si>
    <t>ABBEVILLE</t>
  </si>
  <si>
    <t>58 Chaussee du Bois</t>
  </si>
  <si>
    <t>8 Rue Albert Dauphin</t>
  </si>
  <si>
    <t>80000</t>
  </si>
  <si>
    <t>AMIENS</t>
  </si>
  <si>
    <t>11 Rue de la Porte du Pont</t>
  </si>
  <si>
    <t>80550</t>
  </si>
  <si>
    <t>LE CROTOY</t>
  </si>
  <si>
    <t>Rue du Colonel Sorlin</t>
  </si>
  <si>
    <t>80700</t>
  </si>
  <si>
    <t>ROYE</t>
  </si>
  <si>
    <t>108 Rue de la Ferte</t>
  </si>
  <si>
    <t>80230</t>
  </si>
  <si>
    <t>ST VALERY SUR SOMME</t>
  </si>
  <si>
    <t>52 Rue du Connetable</t>
  </si>
  <si>
    <t>fr 92443961396</t>
  </si>
  <si>
    <t>54 Rue de la République</t>
  </si>
  <si>
    <t>60600</t>
  </si>
  <si>
    <t>52 Rue de Paris</t>
  </si>
  <si>
    <t>60200</t>
  </si>
  <si>
    <t>COMPIEGNE</t>
  </si>
  <si>
    <t>44 Rue Jeanne D'Arc</t>
  </si>
  <si>
    <t>104 Avenue du Tremblay</t>
  </si>
  <si>
    <t>60100</t>
  </si>
  <si>
    <t>CREIL</t>
  </si>
  <si>
    <t>45 Rue Nationale</t>
  </si>
  <si>
    <t>186 Rue du Charron</t>
  </si>
  <si>
    <t>CUTS</t>
  </si>
  <si>
    <t>4 Rue Emile Combes</t>
  </si>
  <si>
    <t>ERQUERY</t>
  </si>
  <si>
    <t>12 Rue des Freres Segard</t>
  </si>
  <si>
    <t>19 Rue du General Leclerc</t>
  </si>
  <si>
    <t>60210</t>
  </si>
  <si>
    <t>GRANDVILLIERS</t>
  </si>
  <si>
    <t>4 Rue de Calais</t>
  </si>
  <si>
    <t>60430</t>
  </si>
  <si>
    <t>NOAILLES</t>
  </si>
  <si>
    <t>3 Place Cordouen</t>
  </si>
  <si>
    <t>80 Av du Poteau</t>
  </si>
  <si>
    <t>60300</t>
  </si>
  <si>
    <t>SENLIS</t>
  </si>
  <si>
    <t>fr 11488929308</t>
  </si>
  <si>
    <t>32 Rue Eugene Leduc</t>
  </si>
  <si>
    <t>02000</t>
  </si>
  <si>
    <t>LAON</t>
  </si>
  <si>
    <t>34 Rue du College</t>
  </si>
  <si>
    <t>02200</t>
  </si>
  <si>
    <t>SOISSONS</t>
  </si>
  <si>
    <t>64 Avenue de Paris</t>
  </si>
  <si>
    <t>21 Rue de la Sous Prefecture</t>
  </si>
  <si>
    <t>ST QUENTIN</t>
  </si>
  <si>
    <t>79 R.N 43</t>
  </si>
  <si>
    <t>62120</t>
  </si>
  <si>
    <t>AIRE SUR LA LYS</t>
  </si>
  <si>
    <t>5 Rue D'Achicourt</t>
  </si>
  <si>
    <t>6 Grande Rue</t>
  </si>
  <si>
    <t>8 Boulevard Pasteur</t>
  </si>
  <si>
    <t>Avenue de L'Europe</t>
  </si>
  <si>
    <t>62780</t>
  </si>
  <si>
    <t>CUCQ LE TOUQUET</t>
  </si>
  <si>
    <t>Route de Pont de Briques</t>
  </si>
  <si>
    <t>HESDIGNEUL</t>
  </si>
  <si>
    <t>125 Grand Chemin</t>
  </si>
  <si>
    <t>62840</t>
  </si>
  <si>
    <t>LAVENTIE</t>
  </si>
  <si>
    <t>45 Rue de Moscou</t>
  </si>
  <si>
    <t>3 Allee des Frais Fonds</t>
  </si>
  <si>
    <t>62219</t>
  </si>
  <si>
    <t>LONGUENESSE</t>
  </si>
  <si>
    <t>48 Rue D'Herambault</t>
  </si>
  <si>
    <t>62170</t>
  </si>
  <si>
    <t>MONTREUIL SUR MER</t>
  </si>
  <si>
    <t>15 Rue Carnot</t>
  </si>
  <si>
    <t>62500</t>
  </si>
  <si>
    <t>ST OMER</t>
  </si>
  <si>
    <t>4 Rue D'Occident</t>
  </si>
  <si>
    <t>59270</t>
  </si>
  <si>
    <t>BAILLEUIL</t>
  </si>
  <si>
    <t>30 Place de la Republique</t>
  </si>
  <si>
    <t>59170</t>
  </si>
  <si>
    <t>CROIX</t>
  </si>
  <si>
    <t>82 Rue de la Mairie</t>
  </si>
  <si>
    <t>1 Rue de la Cloche</t>
  </si>
  <si>
    <t>158 Route de Dunkerque</t>
  </si>
  <si>
    <t>59114</t>
  </si>
  <si>
    <t>EECKE/CAESTRE</t>
  </si>
  <si>
    <t>112 Rue de Lille</t>
  </si>
  <si>
    <t>1552 Rue D'Armentieres</t>
  </si>
  <si>
    <t>59850</t>
  </si>
  <si>
    <t>NIEPPE</t>
  </si>
  <si>
    <t>76 Rue de Lardiniere</t>
  </si>
  <si>
    <t>59242</t>
  </si>
  <si>
    <t>TEMPLEUVE</t>
  </si>
  <si>
    <t>1 Bis Rue de Versailles</t>
  </si>
  <si>
    <t>471 Rue de Quesnoyc</t>
  </si>
  <si>
    <t>59118</t>
  </si>
  <si>
    <t>WAMBRECHIES</t>
  </si>
  <si>
    <t>28 Rue Georges Clemenceau</t>
  </si>
  <si>
    <t>44150</t>
  </si>
  <si>
    <t>ANCENIS</t>
  </si>
  <si>
    <t>La Jalousie Rn 23</t>
  </si>
  <si>
    <t>44483</t>
  </si>
  <si>
    <t>CARQUEFOU</t>
  </si>
  <si>
    <t>32 Bd de la Republique</t>
  </si>
  <si>
    <t>44110</t>
  </si>
  <si>
    <t>CHATEAUBRIANT</t>
  </si>
  <si>
    <t>Zi Nord Bp 9225 Getineclisson</t>
  </si>
  <si>
    <t>44192</t>
  </si>
  <si>
    <t>CLISSON</t>
  </si>
  <si>
    <t>Fbj St Michel Manoir de la Porte Calon</t>
  </si>
  <si>
    <t>4 Rue des Hauts Paves</t>
  </si>
  <si>
    <t>99 Rue Jean Jaures</t>
  </si>
  <si>
    <t>Boutique la Folie69 Rue Charles Lecour</t>
  </si>
  <si>
    <t>44120</t>
  </si>
  <si>
    <t>VERTOU</t>
  </si>
  <si>
    <t>Rue du Centre Chantemerle</t>
  </si>
  <si>
    <t>53300</t>
  </si>
  <si>
    <t>SERRE CHEVALIER</t>
  </si>
  <si>
    <t>Family Village Bd des Hunudieres</t>
  </si>
  <si>
    <t>72230</t>
  </si>
  <si>
    <t>RUAUDIN</t>
  </si>
  <si>
    <t>43 Rue de la  Maitre Ecole</t>
  </si>
  <si>
    <t>65 Place Rouge Bp 131</t>
  </si>
  <si>
    <t>49301</t>
  </si>
  <si>
    <t>CHOLET CEDEX</t>
  </si>
  <si>
    <t>Rue Aime de Soland</t>
  </si>
  <si>
    <t>MURS ERIGNE</t>
  </si>
  <si>
    <t>21 Rue Moliere</t>
  </si>
  <si>
    <t>34 Rue du Clocher</t>
  </si>
  <si>
    <t>85470</t>
  </si>
  <si>
    <t>BERTIGNOLLES/MER</t>
  </si>
  <si>
    <t>31 Rue des Lilas</t>
  </si>
  <si>
    <t>85300</t>
  </si>
  <si>
    <t>CHALLANS</t>
  </si>
  <si>
    <t>17 Quai de la Mairie</t>
  </si>
  <si>
    <t>85350</t>
  </si>
  <si>
    <t>L'ILE D'YEU</t>
  </si>
  <si>
    <t>2 Rue des Marouettes Bp 514</t>
  </si>
  <si>
    <t>3 Avenue de la Mer</t>
  </si>
  <si>
    <t>ST-JEAN-DE-MONTS</t>
  </si>
  <si>
    <t>Zi du Vazzio</t>
  </si>
  <si>
    <t>8 Rue Doria</t>
  </si>
  <si>
    <t>21 Rue Clemenceau</t>
  </si>
  <si>
    <t>20260</t>
  </si>
  <si>
    <t>CALVI</t>
  </si>
  <si>
    <t>Lieu Dit Ardisson</t>
  </si>
  <si>
    <t>FURIANI</t>
  </si>
  <si>
    <t>Place Paoli</t>
  </si>
  <si>
    <t>20220</t>
  </si>
  <si>
    <t>ILE ROUSSE</t>
  </si>
  <si>
    <t>SARL Sirocco Mezzavia Centre</t>
  </si>
  <si>
    <t>Cjb Ambia Centre Commercial</t>
  </si>
  <si>
    <t>1 Avenue Napoleon</t>
  </si>
  <si>
    <t>13 Rue Saint Jacques</t>
  </si>
  <si>
    <t>21230</t>
  </si>
  <si>
    <t>ARNAY LE DUC</t>
  </si>
  <si>
    <t>28 Rue du Faubourg Madelaine</t>
  </si>
  <si>
    <t>21200</t>
  </si>
  <si>
    <t>BEAUNE</t>
  </si>
  <si>
    <t>49 Route de Beaune</t>
  </si>
  <si>
    <t>21190</t>
  </si>
  <si>
    <t>CORPEAU</t>
  </si>
  <si>
    <t>14 Rue Odebert</t>
  </si>
  <si>
    <t>Espace Sia 19 Rue de la Poste</t>
  </si>
  <si>
    <t>9 Rue Charrue</t>
  </si>
  <si>
    <t>Montbard Jardin D 905</t>
  </si>
  <si>
    <t>21500</t>
  </si>
  <si>
    <t>FAIN LES MONTBARD</t>
  </si>
  <si>
    <t>16 Rue Fagon</t>
  </si>
  <si>
    <t>21700</t>
  </si>
  <si>
    <t>NUITS SAINT GEORGES</t>
  </si>
  <si>
    <t>Route de Dijon</t>
  </si>
  <si>
    <t>21140</t>
  </si>
  <si>
    <t>SEMUR EN AUXOIS</t>
  </si>
  <si>
    <t>10 Avenue Charles De Gaulles</t>
  </si>
  <si>
    <t>71400</t>
  </si>
  <si>
    <t>AUTUN</t>
  </si>
  <si>
    <t>17 Rue Au Change</t>
  </si>
  <si>
    <t>71100</t>
  </si>
  <si>
    <t>CHALON SUR SAONE</t>
  </si>
  <si>
    <t>35 Av. Charles De Gaulle</t>
  </si>
  <si>
    <t>Corcelles</t>
  </si>
  <si>
    <t>71490</t>
  </si>
  <si>
    <t>SAINT MAURICE LES COUCHES</t>
  </si>
  <si>
    <t>2 Rue Niepce</t>
  </si>
  <si>
    <t>SENNECEY LE GRAND</t>
  </si>
  <si>
    <t>10 Rue J B Deschamps</t>
  </si>
  <si>
    <t>71700</t>
  </si>
  <si>
    <t>TOURNUS</t>
  </si>
  <si>
    <t>18 Rue Porte Noel</t>
  </si>
  <si>
    <t>75 Rue de la Republique</t>
  </si>
  <si>
    <t>Rue Paul Bert</t>
  </si>
  <si>
    <t>89130</t>
  </si>
  <si>
    <t>TOUCY</t>
  </si>
  <si>
    <t>50 Rue St Etienne</t>
  </si>
  <si>
    <t>89450</t>
  </si>
  <si>
    <t>VEZELAY</t>
  </si>
  <si>
    <t>5 Rue Jean Jaures</t>
  </si>
  <si>
    <t>58200</t>
  </si>
  <si>
    <t>COSNE SUR LOIRE</t>
  </si>
  <si>
    <t>17 Rue Ferdinand Gambon</t>
  </si>
  <si>
    <t>58000</t>
  </si>
  <si>
    <t>NEVERS</t>
  </si>
  <si>
    <t>13 Place Gambetta</t>
  </si>
  <si>
    <t>24500</t>
  </si>
  <si>
    <t>EYMET</t>
  </si>
  <si>
    <t>La Loulie</t>
  </si>
  <si>
    <t>24260</t>
  </si>
  <si>
    <t>MAUZENS ET MIREMONT</t>
  </si>
  <si>
    <t>36 Rue St Jacques</t>
  </si>
  <si>
    <t>24540</t>
  </si>
  <si>
    <t>MONPAZIER</t>
  </si>
  <si>
    <t>Residence Ronsard Bd Henrie Arlette</t>
  </si>
  <si>
    <t>E.Leclerc Centre Commercial</t>
  </si>
  <si>
    <t>7 Avenue General De Gaulle</t>
  </si>
  <si>
    <t>33510</t>
  </si>
  <si>
    <t>ANDERNOS</t>
  </si>
  <si>
    <t>30 Rue Fondaudege</t>
  </si>
  <si>
    <t>5 Rue Buffon</t>
  </si>
  <si>
    <t>61 Rue Brizard</t>
  </si>
  <si>
    <t>14 Cours De Verdun</t>
  </si>
  <si>
    <t>155 Cours General De Gaulle</t>
  </si>
  <si>
    <t>33170</t>
  </si>
  <si>
    <t>GRADIGNAN</t>
  </si>
  <si>
    <t>55 Rue Maubec</t>
  </si>
  <si>
    <t>33210</t>
  </si>
  <si>
    <t>LANGON</t>
  </si>
  <si>
    <t>8 Rue Bremontier</t>
  </si>
  <si>
    <t>33780</t>
  </si>
  <si>
    <t>34 Avenue Escartes C/Cial Bordeaux Ouest</t>
  </si>
  <si>
    <t>40 Bvd de la Republique</t>
  </si>
  <si>
    <t>32 Rue des Girondins</t>
  </si>
  <si>
    <t>28 Bvd Gassendi</t>
  </si>
  <si>
    <t>40000</t>
  </si>
  <si>
    <t>DIGNE</t>
  </si>
  <si>
    <t>21 Rue des Cordeliers</t>
  </si>
  <si>
    <t>MONT DE MARSAN</t>
  </si>
  <si>
    <t>44 Rue Luis Mariano</t>
  </si>
  <si>
    <t>2820 Avenue de Bayonne Larrun Burua Bat</t>
  </si>
  <si>
    <t>64210</t>
  </si>
  <si>
    <t>BIDART</t>
  </si>
  <si>
    <t>15 Rue Leon Daran</t>
  </si>
  <si>
    <t>Avenue Santos Dumont</t>
  </si>
  <si>
    <t>64230</t>
  </si>
  <si>
    <t>LESCAR</t>
  </si>
  <si>
    <t>21 Rue Locquin</t>
  </si>
  <si>
    <t>ST JEAN DE LUZ</t>
  </si>
  <si>
    <t>Place D'Istries</t>
  </si>
  <si>
    <t>46220</t>
  </si>
  <si>
    <t>PRAYSSAC</t>
  </si>
  <si>
    <t>Comptoir D'Aubrac</t>
  </si>
  <si>
    <t>12470</t>
  </si>
  <si>
    <t>AUBRAC</t>
  </si>
  <si>
    <t>Place Foch</t>
  </si>
  <si>
    <t>12100</t>
  </si>
  <si>
    <t>MILLAU</t>
  </si>
  <si>
    <t>1 Place Monaco</t>
  </si>
  <si>
    <t>12600</t>
  </si>
  <si>
    <t>MUR DE BARREZ</t>
  </si>
  <si>
    <t>4 Bd De Gaulle</t>
  </si>
  <si>
    <t>1 Rue Porte du Moustier</t>
  </si>
  <si>
    <t>82000</t>
  </si>
  <si>
    <t>MONTAUBAN</t>
  </si>
  <si>
    <t>3 Rue Fraiche</t>
  </si>
  <si>
    <t>20 Bd Georges Ravari</t>
  </si>
  <si>
    <t>81300</t>
  </si>
  <si>
    <t>GRAULHET</t>
  </si>
  <si>
    <t>12 et 14 Rue Dessoles</t>
  </si>
  <si>
    <t>32000</t>
  </si>
  <si>
    <t>AUCH</t>
  </si>
  <si>
    <t>5 Rue de la Colombette</t>
  </si>
  <si>
    <t>6 Rue Gaspard Astriz</t>
  </si>
  <si>
    <t>09110</t>
  </si>
  <si>
    <t>AX LES THERMES</t>
  </si>
  <si>
    <t>15 Rue des Marchands</t>
  </si>
  <si>
    <t>09000</t>
  </si>
  <si>
    <t>FOIX</t>
  </si>
  <si>
    <t>9 Avenue General Leclerc</t>
  </si>
  <si>
    <t>65110</t>
  </si>
  <si>
    <t>CAUTERETS</t>
  </si>
  <si>
    <t>Bp 403</t>
  </si>
  <si>
    <t>LA MONGIE</t>
  </si>
  <si>
    <t>15 Rue Vincent Mir</t>
  </si>
  <si>
    <t>65170</t>
  </si>
  <si>
    <t>ST LARY</t>
  </si>
  <si>
    <t>15 Rue Massey</t>
  </si>
  <si>
    <t>10 Rue Cervieres</t>
  </si>
  <si>
    <t>19 Rue Barbecane</t>
  </si>
  <si>
    <t>BRIVE LA GAILLARDE</t>
  </si>
  <si>
    <t>8 Rue Rene Grosdidier SAS Lombard</t>
  </si>
  <si>
    <t>55200</t>
  </si>
  <si>
    <t>COMMERCY</t>
  </si>
  <si>
    <t>81 Rue Clemenceau</t>
  </si>
  <si>
    <t>57390</t>
  </si>
  <si>
    <t>AUDUN LE TICHE</t>
  </si>
  <si>
    <t>7 Rue de Sarrebourg</t>
  </si>
  <si>
    <t>57670</t>
  </si>
  <si>
    <t>BENESTROFF</t>
  </si>
  <si>
    <t>Acti Sud St Jean</t>
  </si>
  <si>
    <t>JOUY AUX ARCHES</t>
  </si>
  <si>
    <t>43 Rue St Sigisbert</t>
  </si>
  <si>
    <t>57050</t>
  </si>
  <si>
    <t>LE BAN ST MARTIN</t>
  </si>
  <si>
    <t>30 Rue de la Tete D'Or Espace Sia</t>
  </si>
  <si>
    <t>57000</t>
  </si>
  <si>
    <t>20 Avenue Sebastopol SARL BAD</t>
  </si>
  <si>
    <t>Route de Nan Zone de la Tournebride SARL Lestris</t>
  </si>
  <si>
    <t>57160</t>
  </si>
  <si>
    <t>MOULINS LES METZ</t>
  </si>
  <si>
    <t>18 Rue des Generaux Creme</t>
  </si>
  <si>
    <t>57200</t>
  </si>
  <si>
    <t>SARREGUEMINES</t>
  </si>
  <si>
    <t>Zac 7, Boucle du Val Mari</t>
  </si>
  <si>
    <t>57100</t>
  </si>
  <si>
    <t>THIONVILLE</t>
  </si>
  <si>
    <t>5 Rue Jemnapes</t>
  </si>
  <si>
    <t>3 Rue Alfred Mezieres</t>
  </si>
  <si>
    <t>54400</t>
  </si>
  <si>
    <t>LONGWY BAS</t>
  </si>
  <si>
    <t>16 Rue Carnot</t>
  </si>
  <si>
    <t>54300</t>
  </si>
  <si>
    <t>LUNEVILLE</t>
  </si>
  <si>
    <t>35 Ter Rue St Nicolas</t>
  </si>
  <si>
    <t>6 Rue de la Plaine</t>
  </si>
  <si>
    <t>88150</t>
  </si>
  <si>
    <t>CHAVELOT</t>
  </si>
  <si>
    <t>28 Rue Charles de Gaulle</t>
  </si>
  <si>
    <t>Rue de Moulins</t>
  </si>
  <si>
    <t>88700</t>
  </si>
  <si>
    <t>JEANMENIL</t>
  </si>
  <si>
    <t>5 Quai des Iranees</t>
  </si>
  <si>
    <t>88250</t>
  </si>
  <si>
    <t>LA BRESSE</t>
  </si>
  <si>
    <t>90 Rue Charles De Gaulle</t>
  </si>
  <si>
    <t>88200</t>
  </si>
  <si>
    <t>REMIREMONT</t>
  </si>
  <si>
    <t>Route de Lorraine Impasse de Claingoutte</t>
  </si>
  <si>
    <t>88650</t>
  </si>
  <si>
    <t>SAINT LEONARD</t>
  </si>
  <si>
    <t>79-81 Grand'Rue</t>
  </si>
  <si>
    <t>9 Rue Mercure Espace Atrium</t>
  </si>
  <si>
    <t>67190</t>
  </si>
  <si>
    <t>MUTZIG</t>
  </si>
  <si>
    <t>1 Rue du Marche</t>
  </si>
  <si>
    <t>67210</t>
  </si>
  <si>
    <t>OBERNAI</t>
  </si>
  <si>
    <t>36 Grand Rue</t>
  </si>
  <si>
    <t>67260</t>
  </si>
  <si>
    <t>SARRE UNION</t>
  </si>
  <si>
    <t>43 Grand Rue</t>
  </si>
  <si>
    <t>67700</t>
  </si>
  <si>
    <t>SAVERNE</t>
  </si>
  <si>
    <t>162 Rue du Parc SARL Emmanuelle Werck</t>
  </si>
  <si>
    <t>25 Rue des Chevaliers</t>
  </si>
  <si>
    <t>67600</t>
  </si>
  <si>
    <t>SELESTA</t>
  </si>
  <si>
    <t>Place St Pierre Le Vie</t>
  </si>
  <si>
    <t>3 Allee de la Robertsau</t>
  </si>
  <si>
    <t>203 Avenue D'Altkirch</t>
  </si>
  <si>
    <t>68350</t>
  </si>
  <si>
    <t>BRUNSTATT</t>
  </si>
  <si>
    <t>Zone Horticole Route D'Aspach</t>
  </si>
  <si>
    <t>5A Rue des Marchands</t>
  </si>
  <si>
    <t>33A Rue de la Republique</t>
  </si>
  <si>
    <t>68500</t>
  </si>
  <si>
    <t>GUEBWILLER</t>
  </si>
  <si>
    <t>8 Rue du General De Gaulle</t>
  </si>
  <si>
    <t>68240</t>
  </si>
  <si>
    <t>KAYSERSBERG</t>
  </si>
  <si>
    <t>3 Grand Rue</t>
  </si>
  <si>
    <t>43 Rue Charles De Gaulle</t>
  </si>
  <si>
    <t>68370</t>
  </si>
  <si>
    <t>ORBEY</t>
  </si>
  <si>
    <t>20 Grande Rue</t>
  </si>
  <si>
    <t>68150</t>
  </si>
  <si>
    <t>RIBEAUVILLE</t>
  </si>
  <si>
    <t>2 Rue du Cerf</t>
  </si>
  <si>
    <t>68340</t>
  </si>
  <si>
    <t>RIQUEWIHR</t>
  </si>
  <si>
    <t>47 Rue de L'Ile Napoleon Bp 43</t>
  </si>
  <si>
    <t>68170</t>
  </si>
  <si>
    <t>RIXHEIM</t>
  </si>
  <si>
    <t>68 Rue de la 1er Armee</t>
  </si>
  <si>
    <t>68800</t>
  </si>
  <si>
    <t>THANN</t>
  </si>
  <si>
    <t>24 Route D'Oulins</t>
  </si>
  <si>
    <t>ANET</t>
  </si>
  <si>
    <t>18 Rue Loigny la Bataille</t>
  </si>
  <si>
    <t>28150</t>
  </si>
  <si>
    <t>VOVES</t>
  </si>
  <si>
    <t>36 Place Armand Chesneau</t>
  </si>
  <si>
    <t>45320</t>
  </si>
  <si>
    <t>COURTENAY</t>
  </si>
  <si>
    <t>25 Rue Charles Sanglier</t>
  </si>
  <si>
    <t>45000</t>
  </si>
  <si>
    <t>ORLEANS</t>
  </si>
  <si>
    <t>Route de Saint Cyr en Val</t>
  </si>
  <si>
    <t>45650</t>
  </si>
  <si>
    <t>ST JEAN LE BLANC</t>
  </si>
  <si>
    <t>28 Bd Jeanne D'Arc</t>
  </si>
  <si>
    <t>45600</t>
  </si>
  <si>
    <t>SULLY SUR LOIRE</t>
  </si>
  <si>
    <t>Mr Waveletegaison</t>
  </si>
  <si>
    <t>41700</t>
  </si>
  <si>
    <t>OISLY</t>
  </si>
  <si>
    <t>81 Rue G Clemenceau</t>
  </si>
  <si>
    <t>41200</t>
  </si>
  <si>
    <t>ROMORANTIN</t>
  </si>
  <si>
    <t>10 Rue des Rapins</t>
  </si>
  <si>
    <t>ONZAIN</t>
  </si>
  <si>
    <t>15 Place de L'Hotel de Ville</t>
  </si>
  <si>
    <t>37500</t>
  </si>
  <si>
    <t>CHINON</t>
  </si>
  <si>
    <t>3 Rue Principale</t>
  </si>
  <si>
    <t>37420</t>
  </si>
  <si>
    <t>RIGNY-USSE</t>
  </si>
  <si>
    <t>7 Bis Rue Marceau</t>
  </si>
  <si>
    <t>4 Avenue Gramont</t>
  </si>
  <si>
    <t>105 Av Division Leclerc</t>
  </si>
  <si>
    <t>18 Rue St Jacques</t>
  </si>
  <si>
    <t>95160</t>
  </si>
  <si>
    <t>MONTMORENCY</t>
  </si>
  <si>
    <t>807 Rue Fernand Leger</t>
  </si>
  <si>
    <t>95480</t>
  </si>
  <si>
    <t>PIERRELAYE</t>
  </si>
  <si>
    <t>20-22 Rue des Dureterre</t>
  </si>
  <si>
    <t>95230</t>
  </si>
  <si>
    <t>SOISY SOUS MONTMORENCY</t>
  </si>
  <si>
    <t>1/3 Avenue Theodore Monod</t>
  </si>
  <si>
    <t>95150</t>
  </si>
  <si>
    <t>TAVERNY</t>
  </si>
  <si>
    <t>ZAC Trait D'Union Les Portes D'Aubergenville</t>
  </si>
  <si>
    <t>78410</t>
  </si>
  <si>
    <t>AUBERGENVILLE</t>
  </si>
  <si>
    <t>Ferme du Breuil</t>
  </si>
  <si>
    <t>78460</t>
  </si>
  <si>
    <t>CHEVREUSE</t>
  </si>
  <si>
    <t>Lieu Dit Cutesson</t>
  </si>
  <si>
    <t>78120</t>
  </si>
  <si>
    <t>GAZERAN</t>
  </si>
  <si>
    <t>4 Rue Pottier</t>
  </si>
  <si>
    <t>LE CHESNAY</t>
  </si>
  <si>
    <t>57 Rue de Chartre</t>
  </si>
  <si>
    <t>78610</t>
  </si>
  <si>
    <t>LE PERRAY EN YVELINES</t>
  </si>
  <si>
    <t>40 Bis Rue Porte aux Saints</t>
  </si>
  <si>
    <t>24 Av Amiral Lemonnier</t>
  </si>
  <si>
    <t>78160</t>
  </si>
  <si>
    <t>MARLY LE ROI</t>
  </si>
  <si>
    <t>18 Rue Andre Lebourblanc</t>
  </si>
  <si>
    <t>195 Boulevard de Bezons</t>
  </si>
  <si>
    <t>38 Rue Charles De Gaulle</t>
  </si>
  <si>
    <t>78730</t>
  </si>
  <si>
    <t>ST ARNOULT EN YVELINES</t>
  </si>
  <si>
    <t>fr 29450931407</t>
  </si>
  <si>
    <t>74 Avenue du Château</t>
  </si>
  <si>
    <t>78480</t>
  </si>
  <si>
    <t>VERNEUIL</t>
  </si>
  <si>
    <t>12 Avenue Mazarin</t>
  </si>
  <si>
    <t>91380</t>
  </si>
  <si>
    <t>CHILY MAZARIN</t>
  </si>
  <si>
    <t>Parc Leonard De Vinci</t>
  </si>
  <si>
    <t>91008</t>
  </si>
  <si>
    <t>EVRY CEDEX</t>
  </si>
  <si>
    <t>ZAC du Haut des Vignes</t>
  </si>
  <si>
    <t>Rue Salvador Allende</t>
  </si>
  <si>
    <t>SAULX LES CHARTREUX</t>
  </si>
  <si>
    <t>"Les Sablons"</t>
  </si>
  <si>
    <t>CLAYE SOUILLY</t>
  </si>
  <si>
    <t>15 Rue des Pelletiers</t>
  </si>
  <si>
    <t>77260</t>
  </si>
  <si>
    <t>LA FERTE SOUS JOUARR</t>
  </si>
  <si>
    <t>5 et 7 Rue Saint Remy</t>
  </si>
  <si>
    <t>123 Rue du General de Seg</t>
  </si>
  <si>
    <t>77810</t>
  </si>
  <si>
    <t>THOMERY</t>
  </si>
  <si>
    <t>17 Rue du Pavillon</t>
  </si>
  <si>
    <t>4 Rue de L'Abreuvoir</t>
  </si>
  <si>
    <t>36 Rue Carnot</t>
  </si>
  <si>
    <t>175 Avenue du Roule</t>
  </si>
  <si>
    <t>4 Rue du CDT Pilot</t>
  </si>
  <si>
    <t>416 Rue de Lisbonne  CC Domus Boite NI</t>
  </si>
  <si>
    <t>93562</t>
  </si>
  <si>
    <t>ROSNY SOUS BOIS</t>
  </si>
  <si>
    <t>20316 Rue de Lisbonne CC Domus Boite NI</t>
  </si>
  <si>
    <t>93563</t>
  </si>
  <si>
    <t>17 Route de la Darsebat 12</t>
  </si>
  <si>
    <t>BONNEUIL SUR MARNE</t>
  </si>
  <si>
    <t>4 Rue Alfred Savoure</t>
  </si>
  <si>
    <t>94220</t>
  </si>
  <si>
    <t>CHARENTON LE PONT</t>
  </si>
  <si>
    <t>26 Avenue Gallieni</t>
  </si>
  <si>
    <t>JOINVILLE LE PONT</t>
  </si>
  <si>
    <t>91 Rue Lafayette</t>
  </si>
  <si>
    <t>94210</t>
  </si>
  <si>
    <t>LA VARENNE ST HILAIRE</t>
  </si>
  <si>
    <t>14 Rue des Heros Nogentais</t>
  </si>
  <si>
    <t>C.Cial de Santeny</t>
  </si>
  <si>
    <t>94440</t>
  </si>
  <si>
    <t>SANTENY</t>
  </si>
  <si>
    <t>94 Avenue Henry Martin</t>
  </si>
  <si>
    <t>94100</t>
  </si>
  <si>
    <t>2 Bis Rue du Temple</t>
  </si>
  <si>
    <t>94370</t>
  </si>
  <si>
    <t>SUCY EN BRIE</t>
  </si>
  <si>
    <t>45 Rue Lepic</t>
  </si>
  <si>
    <t>9/11 Rue des Lavandieres</t>
  </si>
  <si>
    <t>14 Quai de la Megisserie</t>
  </si>
  <si>
    <t>50 Rue des Archives</t>
  </si>
  <si>
    <t>3 Rue Bastien Lepage</t>
  </si>
  <si>
    <t>133 Boulevard Raspail</t>
  </si>
  <si>
    <t>169 Bd Pereire</t>
  </si>
  <si>
    <t>58 Rue Pierre Demours</t>
  </si>
  <si>
    <t>107 Rue Cambronne</t>
  </si>
  <si>
    <t>6 Rue Cassette</t>
  </si>
  <si>
    <t>7 Rue de la Neva ( chez Mme Monts)</t>
  </si>
  <si>
    <t>8 Rue Aristide Briand</t>
  </si>
  <si>
    <t>01500</t>
  </si>
  <si>
    <t>32 Avenue Leon Blum</t>
  </si>
  <si>
    <t>AMBERIEU EN BUGEY</t>
  </si>
  <si>
    <t>2 Place des Terreaux</t>
  </si>
  <si>
    <t>01300</t>
  </si>
  <si>
    <t>BELLEY</t>
  </si>
  <si>
    <t>1382 Avenue des Pres Seigneurs</t>
  </si>
  <si>
    <t>01120</t>
  </si>
  <si>
    <t>DAGNEUX</t>
  </si>
  <si>
    <t>37 Grande Rue</t>
  </si>
  <si>
    <t>9 Rue Voltaire</t>
  </si>
  <si>
    <t>01100</t>
  </si>
  <si>
    <t>OYONNAX</t>
  </si>
  <si>
    <t>113 Rue Lepine</t>
  </si>
  <si>
    <t>Place des Dromonts Galerie Marchande</t>
  </si>
  <si>
    <t>74110</t>
  </si>
  <si>
    <t>AVORIAZ</t>
  </si>
  <si>
    <t>10 Rue de la Republique</t>
  </si>
  <si>
    <t>100 Avenue Fer a Cheval</t>
  </si>
  <si>
    <t>199 Place de Mont Blanc</t>
  </si>
  <si>
    <t>Route du Linga</t>
  </si>
  <si>
    <t>74390</t>
  </si>
  <si>
    <t>CHATEL</t>
  </si>
  <si>
    <t>3 Rue Claude Hugard</t>
  </si>
  <si>
    <t>Route de la Mollard</t>
  </si>
  <si>
    <t>74800</t>
  </si>
  <si>
    <t>CORNIER</t>
  </si>
  <si>
    <t>67 Impasse du Poizei</t>
  </si>
  <si>
    <t>DOMANCY</t>
  </si>
  <si>
    <t>46 Rue Nationale</t>
  </si>
  <si>
    <t>74500</t>
  </si>
  <si>
    <t>EVIAN</t>
  </si>
  <si>
    <t>Place de L'Eglise</t>
  </si>
  <si>
    <t>5 Place de la Poste</t>
  </si>
  <si>
    <t>84 Route de St Gervais</t>
  </si>
  <si>
    <t>74190</t>
  </si>
  <si>
    <t>LE FAYET</t>
  </si>
  <si>
    <t>170/172 Rue du Centre</t>
  </si>
  <si>
    <t>Hotel de la Croix Fry ( chez Marie Ange Guelpa)</t>
  </si>
  <si>
    <t>MANIGOD</t>
  </si>
  <si>
    <t>La Vieille Cruze</t>
  </si>
  <si>
    <t>MORZINE</t>
  </si>
  <si>
    <t>107 Route du Val D'Arly</t>
  </si>
  <si>
    <t>PRAZ SUR ARLY</t>
  </si>
  <si>
    <t>96 Rue du Mont Blanc</t>
  </si>
  <si>
    <t>SAINT GERVAIS LES BAINS</t>
  </si>
  <si>
    <t>Route de la Clusaz</t>
  </si>
  <si>
    <t>74450</t>
  </si>
  <si>
    <t>SAINT JEAN DE SIXT</t>
  </si>
  <si>
    <t>372 Av de Verdun</t>
  </si>
  <si>
    <t>Le Kiosque</t>
  </si>
  <si>
    <t>ST JEAN DE SIXT</t>
  </si>
  <si>
    <t>5 Rue Blanche</t>
  </si>
  <si>
    <t>THONES</t>
  </si>
  <si>
    <t>5 Avenue General De Gaulle Galerie de L'Etoile</t>
  </si>
  <si>
    <t>Vieux Village de Montalbe</t>
  </si>
  <si>
    <t>73210</t>
  </si>
  <si>
    <t>14 Rue de la Republique</t>
  </si>
  <si>
    <t>ZA La Prairie</t>
  </si>
  <si>
    <t>73350</t>
  </si>
  <si>
    <t>BOZEL</t>
  </si>
  <si>
    <t>119 Place Metropole</t>
  </si>
  <si>
    <t>Rue Park City</t>
  </si>
  <si>
    <t>73120</t>
  </si>
  <si>
    <t>COURCHEVEL 1850</t>
  </si>
  <si>
    <t>Avenue des J.O</t>
  </si>
  <si>
    <t>73620</t>
  </si>
  <si>
    <t>HAUTELUCE</t>
  </si>
  <si>
    <t>53 Rue du Mont Cenis</t>
  </si>
  <si>
    <t>73480</t>
  </si>
  <si>
    <t>LANS LE BOURG</t>
  </si>
  <si>
    <t>Rue des Hauts</t>
  </si>
  <si>
    <t>LANS LE VILLARS</t>
  </si>
  <si>
    <t>Le Villard</t>
  </si>
  <si>
    <t>LE PLANAY</t>
  </si>
  <si>
    <t>Scandi Immeuble Le Petaru Bp9</t>
  </si>
  <si>
    <t>Galerie Le Grand Paradis La Rosiere 1850</t>
  </si>
  <si>
    <t>MONTVALEZAN</t>
  </si>
  <si>
    <t>57 Rue des Acacias Bp 25</t>
  </si>
  <si>
    <t>73600</t>
  </si>
  <si>
    <t>MOUTIERS</t>
  </si>
  <si>
    <t>Le Biolley II</t>
  </si>
  <si>
    <t>ST MARTIN DE BELLEVILLE</t>
  </si>
  <si>
    <t>Galerie du Palafour</t>
  </si>
  <si>
    <t>73320</t>
  </si>
  <si>
    <t>TIGNES</t>
  </si>
  <si>
    <t>Le Squaw Valley</t>
  </si>
  <si>
    <t>Galerie de L'Ours Blanc</t>
  </si>
  <si>
    <t>38750</t>
  </si>
  <si>
    <t>ALPE D'HUEZ</t>
  </si>
  <si>
    <t>Za du Rat</t>
  </si>
  <si>
    <t>38520</t>
  </si>
  <si>
    <t>BOISERIE/BOURG D'OISANS</t>
  </si>
  <si>
    <t>139 Rue Isaac Asimov ZAC de la Maladiere</t>
  </si>
  <si>
    <t>38300</t>
  </si>
  <si>
    <t>BOURGOIN JALLIEU</t>
  </si>
  <si>
    <t>2 Rue Raymond Pitet</t>
  </si>
  <si>
    <t>38030</t>
  </si>
  <si>
    <t>GRENOBLE CEDEX 2</t>
  </si>
  <si>
    <t>21 Route de Grenoble</t>
  </si>
  <si>
    <t>38250</t>
  </si>
  <si>
    <t>LANS EN VERCORS</t>
  </si>
  <si>
    <t>Place du Chateaux</t>
  </si>
  <si>
    <t>38690</t>
  </si>
  <si>
    <t>LE GRAND LEMPS</t>
  </si>
  <si>
    <t>Rn 90 La Reviree</t>
  </si>
  <si>
    <t>Bp 16 Place Saint Clement</t>
  </si>
  <si>
    <t>38480</t>
  </si>
  <si>
    <t>PONT DE BEAUVOISIN</t>
  </si>
  <si>
    <t>27 Rue des Glairaux</t>
  </si>
  <si>
    <t>38120</t>
  </si>
  <si>
    <t>SAINT EGREVE</t>
  </si>
  <si>
    <t>3061 Avenue D'Uriage Residence Le Globe</t>
  </si>
  <si>
    <t>38410</t>
  </si>
  <si>
    <t>URIAGE</t>
  </si>
  <si>
    <t>1 Bis Rue Tremeau</t>
  </si>
  <si>
    <t>Les Bonnets</t>
  </si>
  <si>
    <t>VILLARD DE LANS</t>
  </si>
  <si>
    <t>26 Rue Jean Moulin</t>
  </si>
  <si>
    <t>9 Rue Rose Sage</t>
  </si>
  <si>
    <t>38500</t>
  </si>
  <si>
    <t>VOIRON</t>
  </si>
  <si>
    <t>32 Grande Rue</t>
  </si>
  <si>
    <t>26170</t>
  </si>
  <si>
    <t>BUIS LES BARONIES</t>
  </si>
  <si>
    <t>33 Rue Buffardel</t>
  </si>
  <si>
    <t>26150</t>
  </si>
  <si>
    <t>DIE</t>
  </si>
  <si>
    <t>56 Rue du Bourg</t>
  </si>
  <si>
    <t>26220</t>
  </si>
  <si>
    <t>DIEULEFIT</t>
  </si>
  <si>
    <t>Route de Montelimar Quartier Fayence</t>
  </si>
  <si>
    <t>Quartier de la Tuiliere</t>
  </si>
  <si>
    <t>26230</t>
  </si>
  <si>
    <t>GRIGNAN</t>
  </si>
  <si>
    <t>175 Route de Marseille</t>
  </si>
  <si>
    <t>2 Avenue Paul Laurens</t>
  </si>
  <si>
    <t>Cateau de Rochegude</t>
  </si>
  <si>
    <t>26790</t>
  </si>
  <si>
    <t>ROCHEGUDE</t>
  </si>
  <si>
    <t>1 Place du Marche</t>
  </si>
  <si>
    <t>21130</t>
  </si>
  <si>
    <t>ST PAUL LES TROIS CHÂTEAU</t>
  </si>
  <si>
    <t>39 Rue Madier de Montjau</t>
  </si>
  <si>
    <t>26000</t>
  </si>
  <si>
    <t>VALENCE</t>
  </si>
  <si>
    <t>Route de Romans</t>
  </si>
  <si>
    <t>Quartier Chastrenas</t>
  </si>
  <si>
    <t>LA CHAPELLE D'AUBENAS</t>
  </si>
  <si>
    <t>Rue du Marche</t>
  </si>
  <si>
    <t>07140</t>
  </si>
  <si>
    <t>LES VANS</t>
  </si>
  <si>
    <t>8 Route des Brasseries</t>
  </si>
  <si>
    <t>Avenue Jean Radier</t>
  </si>
  <si>
    <t>07000</t>
  </si>
  <si>
    <t>ST PAUL LE JEUNE</t>
  </si>
  <si>
    <t>Route D Ales</t>
  </si>
  <si>
    <t>ST SERNIN</t>
  </si>
  <si>
    <t>Rue Roger Salengro</t>
  </si>
  <si>
    <t>07150</t>
  </si>
  <si>
    <t>VALLON PONT D'ARC</t>
  </si>
  <si>
    <t>Rn 82</t>
  </si>
  <si>
    <t>42480</t>
  </si>
  <si>
    <t>LA FOUILLOUSE</t>
  </si>
  <si>
    <t>7 Rue St Jean</t>
  </si>
  <si>
    <t>1 Place Grenette</t>
  </si>
  <si>
    <t>SAINT ETIENNE</t>
  </si>
  <si>
    <t>3 Rue Peillon</t>
  </si>
  <si>
    <t>69210</t>
  </si>
  <si>
    <t>ARBRESLE</t>
  </si>
  <si>
    <t>8 Rue D'Austerlitz</t>
  </si>
  <si>
    <t>5 Place St Nizier</t>
  </si>
  <si>
    <t>48 Avenue Foch</t>
  </si>
  <si>
    <t>8 Rue Adrien Ducrot</t>
  </si>
  <si>
    <t>69250</t>
  </si>
  <si>
    <t>NEUVILLE SUR SAONE</t>
  </si>
  <si>
    <t>5 Grande Rue</t>
  </si>
  <si>
    <t>SAINTE FOY LES LYON</t>
  </si>
  <si>
    <t>84 Route de Grenoble</t>
  </si>
  <si>
    <t>ST PRIEST</t>
  </si>
  <si>
    <t>SARL Tepale Chater</t>
  </si>
  <si>
    <t>69440</t>
  </si>
  <si>
    <t>TALUYERS</t>
  </si>
  <si>
    <t>70 Avenue de la Republique</t>
  </si>
  <si>
    <t>69160</t>
  </si>
  <si>
    <t>TASSIN LA DEMI LUNE</t>
  </si>
  <si>
    <t>78 Bd du 11 Novembre</t>
  </si>
  <si>
    <t>69100</t>
  </si>
  <si>
    <t>VILLEURBANNE</t>
  </si>
  <si>
    <t>Villeneuve Rn 91 Moulin Baron</t>
  </si>
  <si>
    <t>Le Point Chow</t>
  </si>
  <si>
    <t>05560</t>
  </si>
  <si>
    <t>VARS</t>
  </si>
  <si>
    <t>3 Place Manuel</t>
  </si>
  <si>
    <t>16 Bd La Tourette</t>
  </si>
  <si>
    <t>Seigneur de la Clue</t>
  </si>
  <si>
    <t>04360</t>
  </si>
  <si>
    <t>MOUSTIER ST MARIE</t>
  </si>
  <si>
    <t>36 Rue Droite</t>
  </si>
  <si>
    <t>04200</t>
  </si>
  <si>
    <t>SISTERON</t>
  </si>
  <si>
    <t>15 Rue James Close</t>
  </si>
  <si>
    <t>06600</t>
  </si>
  <si>
    <t>ANTIBES</t>
  </si>
  <si>
    <t>8 Boulevard Foch</t>
  </si>
  <si>
    <t>Las Ribas</t>
  </si>
  <si>
    <t>06660</t>
  </si>
  <si>
    <t>AURON</t>
  </si>
  <si>
    <t>10 Bd Marechal Joffre</t>
  </si>
  <si>
    <t>06310</t>
  </si>
  <si>
    <t>BEAULIEU SUR MER</t>
  </si>
  <si>
    <t>21 Rue Hoche</t>
  </si>
  <si>
    <t>Zi des Tourrades</t>
  </si>
  <si>
    <t>06210</t>
  </si>
  <si>
    <t>MANDELIEU</t>
  </si>
  <si>
    <t>10 Rue St Michel</t>
  </si>
  <si>
    <t>Bp 201</t>
  </si>
  <si>
    <t>06506</t>
  </si>
  <si>
    <t>MENTON CEDEX</t>
  </si>
  <si>
    <t>Angle Collet Pont Vieux</t>
  </si>
  <si>
    <t>14 Boulevard de Cessole</t>
  </si>
  <si>
    <t>165 Av des Pugets</t>
  </si>
  <si>
    <t>06700</t>
  </si>
  <si>
    <t>ST LAURENT DU VAR</t>
  </si>
  <si>
    <t>Za du Prat D'Agout</t>
  </si>
  <si>
    <t>06450</t>
  </si>
  <si>
    <t>ST MARTIN VESUBIE</t>
  </si>
  <si>
    <t>Espace Ste Claire</t>
  </si>
  <si>
    <t>06570</t>
  </si>
  <si>
    <t>ST PAUL</t>
  </si>
  <si>
    <t>57 Rue Grande</t>
  </si>
  <si>
    <t>ST PAUL DE VENCE</t>
  </si>
  <si>
    <t>Zi Marina Airport Rn7</t>
  </si>
  <si>
    <t>8 Rue Foch</t>
  </si>
  <si>
    <t>83630</t>
  </si>
  <si>
    <t>AUPS</t>
  </si>
  <si>
    <t>Les Residences du Port</t>
  </si>
  <si>
    <t>CAVALAIRE/MER</t>
  </si>
  <si>
    <t>Av du Cap Negre</t>
  </si>
  <si>
    <t>CAVALIERE LE LAVANDOU</t>
  </si>
  <si>
    <t>110 Avenue des Narcisses</t>
  </si>
  <si>
    <t>9 Bd Clemenceau</t>
  </si>
  <si>
    <t>DRAGUIGNAN</t>
  </si>
  <si>
    <t>6 Rue Centrale</t>
  </si>
  <si>
    <t>GASSIN</t>
  </si>
  <si>
    <t>Rn 558</t>
  </si>
  <si>
    <t>GRIMAUD VILLAGE</t>
  </si>
  <si>
    <t>14 Av du General De Gaulle</t>
  </si>
  <si>
    <t>12 Av du General De Gaulle</t>
  </si>
  <si>
    <t>5 Place Vieille</t>
  </si>
  <si>
    <t>83680</t>
  </si>
  <si>
    <t>LA GARDE FREINET</t>
  </si>
  <si>
    <t>1 Place du Jeu de Paume</t>
  </si>
  <si>
    <t>LE CASTELLET</t>
  </si>
  <si>
    <t>6 Place Clemenceau</t>
  </si>
  <si>
    <t>LORGUE</t>
  </si>
  <si>
    <t>18 Rue des Moulins</t>
  </si>
  <si>
    <t>MONFORT SUR ARGENS</t>
  </si>
  <si>
    <t>Rte Depart. 562  Le Plan Occidental</t>
  </si>
  <si>
    <t>MONTAURAUX</t>
  </si>
  <si>
    <t>12 Avenue George Clemenceau</t>
  </si>
  <si>
    <t>83350</t>
  </si>
  <si>
    <t>RAMATUELLE</t>
  </si>
  <si>
    <t>Zac du Fray Redon</t>
  </si>
  <si>
    <t>83136</t>
  </si>
  <si>
    <t>ROCBARON</t>
  </si>
  <si>
    <t>Zac des Pradeaux</t>
  </si>
  <si>
    <t>83270</t>
  </si>
  <si>
    <t>SAINT CYR SUR MER</t>
  </si>
  <si>
    <t>SARL Dunia Bp 214</t>
  </si>
  <si>
    <t>83991</t>
  </si>
  <si>
    <t>SAINT TROPEZ</t>
  </si>
  <si>
    <t>Rue Pierre Curie</t>
  </si>
  <si>
    <t>83120</t>
  </si>
  <si>
    <t>SAINTE MAXIME</t>
  </si>
  <si>
    <t>10 Rue Felix Pijeaud</t>
  </si>
  <si>
    <t>83110</t>
  </si>
  <si>
    <t>SANARY SUR MER</t>
  </si>
  <si>
    <t>Route de Roquebrune</t>
  </si>
  <si>
    <t>83370</t>
  </si>
  <si>
    <t>ST AYGULF</t>
  </si>
  <si>
    <t>32 Square Gallieni</t>
  </si>
  <si>
    <t>83700</t>
  </si>
  <si>
    <t>ST RAPHAEL</t>
  </si>
  <si>
    <t>17 Rue G. Clemenceau</t>
  </si>
  <si>
    <t>Centre Commercial Mayol</t>
  </si>
  <si>
    <t>83000</t>
  </si>
  <si>
    <t>TOULON</t>
  </si>
  <si>
    <t>16 Rue Lamalgue</t>
  </si>
  <si>
    <t>7 Montee St Denis</t>
  </si>
  <si>
    <t>83690</t>
  </si>
  <si>
    <t>TOURTOUR</t>
  </si>
  <si>
    <t>11 Rue Docteur Gros</t>
  </si>
  <si>
    <t>2 Rue Petite Fusterie</t>
  </si>
  <si>
    <t>4 Place Carnot</t>
  </si>
  <si>
    <t>84480</t>
  </si>
  <si>
    <t>BONNIEUX</t>
  </si>
  <si>
    <t>Chemin du Moulin</t>
  </si>
  <si>
    <t>84860</t>
  </si>
  <si>
    <t>CADEROUSSE</t>
  </si>
  <si>
    <t>33 Rue de L'Eveche</t>
  </si>
  <si>
    <t>40 Rue de L'Eveche</t>
  </si>
  <si>
    <t>14 Porte des Princes</t>
  </si>
  <si>
    <t>84350</t>
  </si>
  <si>
    <t>COURTHEZON</t>
  </si>
  <si>
    <t>36 Avenue Liberation</t>
  </si>
  <si>
    <t>84150</t>
  </si>
  <si>
    <t>JONQUIERES</t>
  </si>
  <si>
    <t>48 Rue Carnot</t>
  </si>
  <si>
    <t>L'ISLE SUR LA SORGUES</t>
  </si>
  <si>
    <t>17 Rue Philippe de Girard</t>
  </si>
  <si>
    <t>84160</t>
  </si>
  <si>
    <t>LOURMARIN</t>
  </si>
  <si>
    <t>La Christole</t>
  </si>
  <si>
    <t>31 Rue St Martin</t>
  </si>
  <si>
    <t>84100</t>
  </si>
  <si>
    <t>ORANGE</t>
  </si>
  <si>
    <t>4 Rue Notre Dame</t>
  </si>
  <si>
    <t>723 Route de Carpentras</t>
  </si>
  <si>
    <t>84210</t>
  </si>
  <si>
    <t>PERNES</t>
  </si>
  <si>
    <t>6 Place de la Mairie</t>
  </si>
  <si>
    <t>84220</t>
  </si>
  <si>
    <t>ROUSSILLON</t>
  </si>
  <si>
    <t>Quartier Saint Andrieux</t>
  </si>
  <si>
    <t>Av Marcel Pagnol Za le Brusquet Bp 102</t>
  </si>
  <si>
    <t>84110</t>
  </si>
  <si>
    <t>VAISON LA ROMAINE</t>
  </si>
  <si>
    <t>6 et 8 Place Waldeck</t>
  </si>
  <si>
    <t>84600</t>
  </si>
  <si>
    <t>VALREAS</t>
  </si>
  <si>
    <t>5870 Lignane Rn 7</t>
  </si>
  <si>
    <t>13540</t>
  </si>
  <si>
    <t>10 Rue Gaston Saporta</t>
  </si>
  <si>
    <t>60 Rue Guillaume du Vair la Pioline</t>
  </si>
  <si>
    <t>13290</t>
  </si>
  <si>
    <t>AIX LES MILLES</t>
  </si>
  <si>
    <t>5 Rue de la Liberte</t>
  </si>
  <si>
    <t>1200</t>
  </si>
  <si>
    <t>Avenue des Caniers</t>
  </si>
  <si>
    <t>13685</t>
  </si>
  <si>
    <t>AUBAGNE</t>
  </si>
  <si>
    <t>Rond Point de L'Eolienne</t>
  </si>
  <si>
    <t>13390</t>
  </si>
  <si>
    <t>AURIOL</t>
  </si>
  <si>
    <t>9 Quai des Baux</t>
  </si>
  <si>
    <t>13260</t>
  </si>
  <si>
    <t>CASSIS</t>
  </si>
  <si>
    <t>Le Faubourg Zi les Jalass</t>
  </si>
  <si>
    <t>13510</t>
  </si>
  <si>
    <t>EGUILLES</t>
  </si>
  <si>
    <t>Rue de la Republique</t>
  </si>
  <si>
    <t>13810</t>
  </si>
  <si>
    <t>EYGALIERES</t>
  </si>
  <si>
    <t>Cd 6</t>
  </si>
  <si>
    <t>Boulevard Lavaux</t>
  </si>
  <si>
    <t>Mr Roland Nardirue Trencat</t>
  </si>
  <si>
    <t>13520</t>
  </si>
  <si>
    <t>LES BAUX DE PROVENCE</t>
  </si>
  <si>
    <t>18 Rue Frederic Mistral sarl emidel</t>
  </si>
  <si>
    <t>13460</t>
  </si>
  <si>
    <t>LES SAINTES MARIES DE LA</t>
  </si>
  <si>
    <t>80 Rue de Grignan</t>
  </si>
  <si>
    <t>20 Avenue St Julien</t>
  </si>
  <si>
    <t>13012</t>
  </si>
  <si>
    <t>64 Avenue des Roches</t>
  </si>
  <si>
    <t>13007</t>
  </si>
  <si>
    <t>39 Av Jules Cantini</t>
  </si>
  <si>
    <t>47 Bd du Cabot</t>
  </si>
  <si>
    <t>635 Avenue de Marseille via domo</t>
  </si>
  <si>
    <t>2 Rue O. Griscelli</t>
  </si>
  <si>
    <t>13500</t>
  </si>
  <si>
    <t>MARTIGUES</t>
  </si>
  <si>
    <t>Pont de Monblan</t>
  </si>
  <si>
    <t>MAUSSANE LES ALPILLES</t>
  </si>
  <si>
    <t>9 Rue Hoche</t>
  </si>
  <si>
    <t>SAINT REMY DE PROVENCE</t>
  </si>
  <si>
    <t>Chemin des Indienneurs</t>
  </si>
  <si>
    <t>13103</t>
  </si>
  <si>
    <t>ST ETIENNE DU GRES</t>
  </si>
  <si>
    <t>48 Rue Lafayette</t>
  </si>
  <si>
    <t>15 Rue de L'Esplanade</t>
  </si>
  <si>
    <t>48400</t>
  </si>
  <si>
    <t>FLORAC</t>
  </si>
  <si>
    <t>9 Rue D'Avejan</t>
  </si>
  <si>
    <t>18 Avenue Paul Langevin</t>
  </si>
  <si>
    <t>30200</t>
  </si>
  <si>
    <t>BAGNOLS SUR CEZE</t>
  </si>
  <si>
    <t>Grande Rue</t>
  </si>
  <si>
    <t>BARJAC</t>
  </si>
  <si>
    <t>12 Rue de la Republique</t>
  </si>
  <si>
    <t>30127</t>
  </si>
  <si>
    <t>BELLEGARDE</t>
  </si>
  <si>
    <t>13 Quai de la Fontaine</t>
  </si>
  <si>
    <t>30630</t>
  </si>
  <si>
    <t>GOUDARGUES</t>
  </si>
  <si>
    <t>6 Rue des Halles Bp 1420</t>
  </si>
  <si>
    <t>Rue Jean Lauret</t>
  </si>
  <si>
    <t>Mme Catherine Favre Bonvi</t>
  </si>
  <si>
    <t>30260</t>
  </si>
  <si>
    <t>QUISSAC</t>
  </si>
  <si>
    <t>215 Av Jean Moulin sarl raphael renevation</t>
  </si>
  <si>
    <t>30220</t>
  </si>
  <si>
    <t>SAINT LAURENT D'AIGOUZE</t>
  </si>
  <si>
    <t>2 Place Jean Jaures</t>
  </si>
  <si>
    <t>30250</t>
  </si>
  <si>
    <t>SOMMIERES</t>
  </si>
  <si>
    <t>5 Place Albert 1ER</t>
  </si>
  <si>
    <t>30700</t>
  </si>
  <si>
    <t>UZES</t>
  </si>
  <si>
    <t>472 Bd Jean Monnet</t>
  </si>
  <si>
    <t>AGDE</t>
  </si>
  <si>
    <t>10 Rue des Trimarans Za Av de la Gare</t>
  </si>
  <si>
    <t>34540</t>
  </si>
  <si>
    <t>BALARUC LES BAINS</t>
  </si>
  <si>
    <t>Domaine de la Gourgasse</t>
  </si>
  <si>
    <t>36 Av Pierre Verdier</t>
  </si>
  <si>
    <t>29 Rue Doyen Rene Gosse</t>
  </si>
  <si>
    <t>34800</t>
  </si>
  <si>
    <t>CLERMONT L'HERAULT</t>
  </si>
  <si>
    <t>15 Av du Jeu de Ballon</t>
  </si>
  <si>
    <t>34190</t>
  </si>
  <si>
    <t>GANGES</t>
  </si>
  <si>
    <t>Espace Bocaud Bp 20 sarl fil marine zc</t>
  </si>
  <si>
    <t>34830</t>
  </si>
  <si>
    <t>JACOU</t>
  </si>
  <si>
    <t>113 Av de la Garrigue  sarl agathea</t>
  </si>
  <si>
    <t>34920</t>
  </si>
  <si>
    <t>LE CRES</t>
  </si>
  <si>
    <t>ZAC L'Audacieuse</t>
  </si>
  <si>
    <t>34480</t>
  </si>
  <si>
    <t>MAGALAS</t>
  </si>
  <si>
    <t>14 Quai A. Descournur</t>
  </si>
  <si>
    <t>31140</t>
  </si>
  <si>
    <t>MEZE</t>
  </si>
  <si>
    <t>560 Rue des Bouissettes</t>
  </si>
  <si>
    <t>34070</t>
  </si>
  <si>
    <t>Bd Tastavin et Llopis Bp 24</t>
  </si>
  <si>
    <t>34120</t>
  </si>
  <si>
    <t>PEZENAS</t>
  </si>
  <si>
    <t>12 Quai Leopold Suquet</t>
  </si>
  <si>
    <t>34200</t>
  </si>
  <si>
    <t>SETE</t>
  </si>
  <si>
    <t>Rn 112</t>
  </si>
  <si>
    <t>VILLENEUVE LES BEZIERS</t>
  </si>
  <si>
    <t>36 Rue de Verdun</t>
  </si>
  <si>
    <t>15 Rue Droite</t>
  </si>
  <si>
    <t>14 Rue Pasteur</t>
  </si>
  <si>
    <t>66190</t>
  </si>
  <si>
    <t>COLLIOURE</t>
  </si>
  <si>
    <t>19 Avenue du Marechal Joffre</t>
  </si>
  <si>
    <t>66120</t>
  </si>
  <si>
    <t>FONT ROMEU</t>
  </si>
  <si>
    <t>Place du Foirail</t>
  </si>
  <si>
    <t>66130</t>
  </si>
  <si>
    <t>ILLE SUR TET</t>
  </si>
  <si>
    <t>3 Rue des Gdes Fabriques</t>
  </si>
  <si>
    <t>25 Quai Marcel Roca</t>
  </si>
  <si>
    <t>ST ESTEVE</t>
  </si>
  <si>
    <t>11 Rue Pierre Curie</t>
  </si>
  <si>
    <t>RETHEL</t>
  </si>
  <si>
    <t>6 Rue Carnot</t>
  </si>
  <si>
    <t>08000</t>
  </si>
  <si>
    <t>2 Place Godinot</t>
  </si>
  <si>
    <t>127 Rue de Vesle</t>
  </si>
  <si>
    <t>Rue des Catalaunes Bp 71</t>
  </si>
  <si>
    <t>51740</t>
  </si>
  <si>
    <t>6/8 Rue de la Halle</t>
  </si>
  <si>
    <t>51120</t>
  </si>
  <si>
    <t>SEZANE</t>
  </si>
  <si>
    <t>7 Av Jean Jaures</t>
  </si>
  <si>
    <t>SEZANNE</t>
  </si>
  <si>
    <t>76 Rue Chanzy</t>
  </si>
  <si>
    <t>17 Rue Pithou</t>
  </si>
  <si>
    <t>10000</t>
  </si>
  <si>
    <t>TROYES</t>
  </si>
  <si>
    <t>67 Rue Victor de la Marne</t>
  </si>
  <si>
    <t>56 Rue Aristide Briand</t>
  </si>
  <si>
    <t>52300</t>
  </si>
  <si>
    <t>JOINVILLE</t>
  </si>
  <si>
    <t>79 Rue Diderot</t>
  </si>
  <si>
    <t>52200</t>
  </si>
  <si>
    <t>LANGRES</t>
  </si>
  <si>
    <t>8 Rue du Four</t>
  </si>
  <si>
    <t>03000</t>
  </si>
  <si>
    <t>MOULINS</t>
  </si>
  <si>
    <t>8 Rue Sormin</t>
  </si>
  <si>
    <t>03200</t>
  </si>
  <si>
    <t>VICHY</t>
  </si>
  <si>
    <t>13 Rue de la Republique</t>
  </si>
  <si>
    <t>AMBERT</t>
  </si>
  <si>
    <t>5 Place de la Mairie</t>
  </si>
  <si>
    <t>BESSE EN CHANDE</t>
  </si>
  <si>
    <t>Centre Jaude No. 127</t>
  </si>
  <si>
    <t>63740</t>
  </si>
  <si>
    <t>GELLES</t>
  </si>
  <si>
    <t>21 Rue Gambetta</t>
  </si>
  <si>
    <t>63500</t>
  </si>
  <si>
    <t>ISSOIRE</t>
  </si>
  <si>
    <t>1 Place de la Republique</t>
  </si>
  <si>
    <t>63240</t>
  </si>
  <si>
    <t>LE MONT DORE</t>
  </si>
  <si>
    <t>34 Rue Gomot</t>
  </si>
  <si>
    <t>10 Place du Square</t>
  </si>
  <si>
    <t>15000</t>
  </si>
  <si>
    <t>AURILLAC</t>
  </si>
  <si>
    <t>4 Rue de Lalue sarl au couleurs du monde</t>
  </si>
  <si>
    <t>34 Rue du Bon Secours</t>
  </si>
  <si>
    <t>9 Rue Marchande</t>
  </si>
  <si>
    <t>SAINT FLOUR</t>
  </si>
  <si>
    <t>3 Place Lafayette</t>
  </si>
  <si>
    <t>BRIOUDE</t>
  </si>
  <si>
    <t>SARL Autour du monde Cc Mendes France 2</t>
  </si>
  <si>
    <t>Za Route de la Pree</t>
  </si>
  <si>
    <t>17590</t>
  </si>
  <si>
    <t>ARS EN RE</t>
  </si>
  <si>
    <t>Avenue du Port</t>
  </si>
  <si>
    <t>17480</t>
  </si>
  <si>
    <t>CHÂTEAU D'OLERON</t>
  </si>
  <si>
    <t>4 Bis Rue des Caillotieres</t>
  </si>
  <si>
    <t>43 Rue des Merciers</t>
  </si>
  <si>
    <t>93 Cours Marechal Leclerc Bp 76</t>
  </si>
  <si>
    <t>17103</t>
  </si>
  <si>
    <t>SAINTES CEDEX</t>
  </si>
  <si>
    <t>9 Rue D'Aguesseau</t>
  </si>
  <si>
    <t>32 Av du Marechal Delattre</t>
  </si>
  <si>
    <t>16100</t>
  </si>
  <si>
    <t>COGNAC</t>
  </si>
  <si>
    <t>82 Rue Vanoise</t>
  </si>
  <si>
    <t>70100</t>
  </si>
  <si>
    <t>GRAY</t>
  </si>
  <si>
    <t>72 Grand Rue</t>
  </si>
  <si>
    <t>25400</t>
  </si>
  <si>
    <t>AUDINCOURT</t>
  </si>
  <si>
    <t>8 Rue des Granges</t>
  </si>
  <si>
    <t>Zone Artisanale</t>
  </si>
  <si>
    <t>25330</t>
  </si>
  <si>
    <t>CLERON</t>
  </si>
  <si>
    <t>Rue des Pres Mouchets</t>
  </si>
  <si>
    <t>25500</t>
  </si>
  <si>
    <t>LES FINS</t>
  </si>
  <si>
    <t>25 Rue Pierre Vernier</t>
  </si>
  <si>
    <t>25290</t>
  </si>
  <si>
    <t>ORNANS</t>
  </si>
  <si>
    <t>13 Faubourg St Pierre</t>
  </si>
  <si>
    <t>34 Rue des Arenes</t>
  </si>
  <si>
    <t>39100</t>
  </si>
  <si>
    <t>DOLE</t>
  </si>
  <si>
    <t>Rn 5</t>
  </si>
  <si>
    <t>39220</t>
  </si>
  <si>
    <t>LES ROUSSES</t>
  </si>
  <si>
    <t>35 Rue Lecourbe</t>
  </si>
  <si>
    <t>3 Rue Reclosiere</t>
  </si>
  <si>
    <t>39160</t>
  </si>
  <si>
    <t>ST AMOUR</t>
  </si>
  <si>
    <t>29 Rue du Pre</t>
  </si>
  <si>
    <t>39200</t>
  </si>
  <si>
    <t>ST CLAUDE</t>
  </si>
  <si>
    <t>32 Rue Carnot</t>
  </si>
  <si>
    <t>Le Tuilot</t>
  </si>
  <si>
    <t>15 Route de Cremarest</t>
  </si>
  <si>
    <t>62142</t>
  </si>
  <si>
    <t>ALINCTHUN</t>
  </si>
  <si>
    <t>99 Avenue Jacques Douzans</t>
  </si>
  <si>
    <t>Rue de la Barriere</t>
  </si>
  <si>
    <t>COLONGES LA ROUGE</t>
  </si>
  <si>
    <t>7 Rue Bertrand Flornoy</t>
  </si>
  <si>
    <t>77120</t>
  </si>
  <si>
    <t>COULOMMIERES</t>
  </si>
  <si>
    <t>Rn 532 Beauregard</t>
  </si>
  <si>
    <t>26300</t>
  </si>
  <si>
    <t>CHATEAUNEUF SUR ISERE</t>
  </si>
  <si>
    <t>9 Place Nicolas Saboly</t>
  </si>
  <si>
    <t>16 Rue Porte St Guilhem</t>
  </si>
  <si>
    <t>34150</t>
  </si>
  <si>
    <t>ANIANE</t>
  </si>
  <si>
    <t>Les Cascades</t>
  </si>
  <si>
    <t>03310</t>
  </si>
  <si>
    <t>NERIS LES BAINS</t>
  </si>
  <si>
    <t>4 Route de St Agreve</t>
  </si>
  <si>
    <t>43400</t>
  </si>
  <si>
    <t>CHAMBON SUR LIGNON</t>
  </si>
  <si>
    <t>57,Rue de Chartres</t>
  </si>
  <si>
    <t>FR 59492300074</t>
  </si>
  <si>
    <t>18, Rue Courthardy</t>
  </si>
  <si>
    <t>fr 42348600453</t>
  </si>
  <si>
    <t>Via Sottoconvento 38 /C</t>
  </si>
  <si>
    <t>18039</t>
  </si>
  <si>
    <t>VENTIMIGLIA</t>
  </si>
  <si>
    <t>IT 01475360085</t>
  </si>
  <si>
    <t>29, Rue Greuse</t>
  </si>
  <si>
    <t>fr 44501868731</t>
  </si>
  <si>
    <t>La Borgie</t>
  </si>
  <si>
    <t>73450</t>
  </si>
  <si>
    <t>VALLOIRE</t>
  </si>
  <si>
    <t>10, Rue Alain Fournier</t>
  </si>
  <si>
    <t>FR 86420492050</t>
  </si>
  <si>
    <t>40-44, Rue Dr Havard</t>
  </si>
  <si>
    <t>VILLEDIEU LES POËLES</t>
  </si>
  <si>
    <t>FR 31499476448</t>
  </si>
  <si>
    <t>13, Rue du Maréchal Leclerc</t>
  </si>
  <si>
    <t>FR 74394740195</t>
  </si>
  <si>
    <t>6, Rue du Général Leclerc</t>
  </si>
  <si>
    <t>35260</t>
  </si>
  <si>
    <t>CANCALE</t>
  </si>
  <si>
    <t>FR 64324493212</t>
  </si>
  <si>
    <t>27, Rue de Verrüe</t>
  </si>
  <si>
    <t>50550</t>
  </si>
  <si>
    <t>ST-VAAST-LA-HOUGUE</t>
  </si>
  <si>
    <t>FR 54432677074</t>
  </si>
  <si>
    <t>51, Rue de la Constitution</t>
  </si>
  <si>
    <t>FR 81502898851</t>
  </si>
  <si>
    <t>13 rue des Frères</t>
  </si>
  <si>
    <t>STARSBOURG</t>
  </si>
  <si>
    <t>FR 38275339000014</t>
  </si>
  <si>
    <t>13 rue de la Terrasse</t>
  </si>
  <si>
    <t>38080</t>
  </si>
  <si>
    <t>L'ISLE d'ABEAU</t>
  </si>
  <si>
    <t>131, Avenue du Général de Gaulle</t>
  </si>
  <si>
    <t>FR 58391044328</t>
  </si>
  <si>
    <t>12 Avenue Ampère</t>
  </si>
  <si>
    <t>Champs-sur-Marne</t>
  </si>
  <si>
    <t>77447</t>
  </si>
  <si>
    <t>Marne-la-Vallée Cedex 2</t>
  </si>
  <si>
    <t>7 rue du Pont de Luz</t>
  </si>
  <si>
    <t>65120</t>
  </si>
  <si>
    <t>ESQUIEZE-SERE</t>
  </si>
  <si>
    <t>9, Avenue du Général Leclerc</t>
  </si>
  <si>
    <t>FR 06487714446</t>
  </si>
  <si>
    <t>Immeuble Les Marmottons</t>
  </si>
  <si>
    <t>VARS LES CLAUX</t>
  </si>
  <si>
    <t>FR 15499583854</t>
  </si>
  <si>
    <t>Mas coquille rd17</t>
  </si>
  <si>
    <t>ST ANTOINE SUR BAYON</t>
  </si>
  <si>
    <t>290, Chemin de la Quille</t>
  </si>
  <si>
    <t>Domaine de Puyricard Bat C</t>
  </si>
  <si>
    <t>PUYRICARD</t>
  </si>
  <si>
    <t>25 Rue Alexis Peroncel</t>
  </si>
  <si>
    <t>ZA Route de Fecamp</t>
  </si>
  <si>
    <t>cabinet dentaire</t>
  </si>
  <si>
    <t>76110</t>
  </si>
  <si>
    <t>BRETTEVILLE DU GRAND CAUX</t>
  </si>
  <si>
    <t>56, Rue du Port</t>
  </si>
  <si>
    <t>FR 50502226954</t>
  </si>
  <si>
    <t>18 rue Scribe</t>
  </si>
  <si>
    <t>28 rue Froide</t>
  </si>
  <si>
    <t>2 Place de l'Eglise</t>
  </si>
  <si>
    <t>44420</t>
  </si>
  <si>
    <t>PIRIAC</t>
  </si>
  <si>
    <t>9 rue Réné Madec</t>
  </si>
  <si>
    <t>FR 09412116915OOO15</t>
  </si>
  <si>
    <t>39 rue Bernard Ortet</t>
  </si>
  <si>
    <t>31500</t>
  </si>
  <si>
    <t>95 rue du Faubourg Saint-Denis</t>
  </si>
  <si>
    <t>17 rue Victor Hugo</t>
  </si>
  <si>
    <t>FORT DE France</t>
  </si>
  <si>
    <t>10 rue des Français Libres</t>
  </si>
  <si>
    <t>B.P 4363</t>
  </si>
  <si>
    <t>97500</t>
  </si>
  <si>
    <t>SAINT PIERRE et MIQUELON</t>
  </si>
  <si>
    <t>Rue de la Prairie</t>
  </si>
  <si>
    <t>37, Rue Desserteaux</t>
  </si>
  <si>
    <t>BOURG ST MAURICE</t>
  </si>
  <si>
    <t>FR 01444165195</t>
  </si>
  <si>
    <t>Gué de Savary - D710</t>
  </si>
  <si>
    <t>BLANQUEFORT SUR BRIOLANCE</t>
  </si>
  <si>
    <t>FR 45320937121</t>
  </si>
  <si>
    <t>33 Rue Foussal</t>
  </si>
  <si>
    <t>24440</t>
  </si>
  <si>
    <t>BEAUMONT DU PERIGORD</t>
  </si>
  <si>
    <t>fr 7639220067100015</t>
  </si>
  <si>
    <t>ZI d'Ordiget</t>
  </si>
  <si>
    <t>VILLEFRANCHE DE ROVERGUE</t>
  </si>
  <si>
    <t>FR 31426880290</t>
  </si>
  <si>
    <t>197 RN 10</t>
  </si>
  <si>
    <t>78310</t>
  </si>
  <si>
    <t>COIGNIERES</t>
  </si>
  <si>
    <t>FR 79443162920</t>
  </si>
  <si>
    <t>24 rue Vauvenargues</t>
  </si>
  <si>
    <t>FR 48511413403</t>
  </si>
  <si>
    <t>40 zac des Perrieres</t>
  </si>
  <si>
    <t>ST GERVAIS LA FORÊT</t>
  </si>
  <si>
    <t>FR 77484724380</t>
  </si>
  <si>
    <t>32 Route des Polygone</t>
  </si>
  <si>
    <t>67100</t>
  </si>
  <si>
    <t>6 rue de Bourbon le Château</t>
  </si>
  <si>
    <t>69 rue de Seine</t>
  </si>
  <si>
    <t>37 rue de Lafayette</t>
  </si>
  <si>
    <t>FR 71 393 387 238</t>
  </si>
  <si>
    <t>92 avenue du general de gaulle</t>
  </si>
  <si>
    <t>27130</t>
  </si>
  <si>
    <t>VERNEUIL SUR AVRE</t>
  </si>
  <si>
    <t>FR 76 3000 4023 5800 0100</t>
  </si>
  <si>
    <t>39 Rue Roger Salengro</t>
  </si>
  <si>
    <t>FR 934484404061</t>
  </si>
  <si>
    <t>12 Boulevard Beaumarchais</t>
  </si>
  <si>
    <t>Taborstrabe 24a</t>
  </si>
  <si>
    <t>1020</t>
  </si>
  <si>
    <t>25 Rue de Paris</t>
  </si>
  <si>
    <t>BELLÊME</t>
  </si>
  <si>
    <t>28 Drury street</t>
  </si>
  <si>
    <t>IE 8221492D</t>
  </si>
  <si>
    <t>88 bis , Avenue Mozart</t>
  </si>
  <si>
    <t>FR 20444950190</t>
  </si>
  <si>
    <t>3 Rue Jacques Amyot</t>
  </si>
  <si>
    <t>9 Place de la Clautre</t>
  </si>
  <si>
    <t>FR 6432538027700013</t>
  </si>
  <si>
    <t>Via Lambertenghi 3</t>
  </si>
  <si>
    <t>COMO</t>
  </si>
  <si>
    <t>IT 03120980135</t>
  </si>
  <si>
    <t>5 , Chemin des Collettes</t>
  </si>
  <si>
    <t>06800</t>
  </si>
  <si>
    <t>CAGNES SUR MER</t>
  </si>
  <si>
    <t>81 rue de Courcelles</t>
  </si>
  <si>
    <t>FR61448815977</t>
  </si>
  <si>
    <t>18 Avenue Rapp</t>
  </si>
  <si>
    <t>FR68510618721</t>
  </si>
  <si>
    <t>15 rue Houdan</t>
  </si>
  <si>
    <t>2, Rue du Lieutenant Jourden</t>
  </si>
  <si>
    <t>FR 20423554619</t>
  </si>
  <si>
    <t>6 rue Francois Rude</t>
  </si>
  <si>
    <t>91230</t>
  </si>
  <si>
    <t>MONTGERON</t>
  </si>
  <si>
    <t>23 rue Keller</t>
  </si>
  <si>
    <t>6 Route de Launoy</t>
  </si>
  <si>
    <t>02210</t>
  </si>
  <si>
    <t>DROIZY</t>
  </si>
  <si>
    <t>9 Boulevard des Filles du Calvaire</t>
  </si>
  <si>
    <t>12 rue de Penhoet</t>
  </si>
  <si>
    <t>213 Rue de l'université</t>
  </si>
  <si>
    <t>20 Rue de Houdan</t>
  </si>
  <si>
    <t>22, Rue des Salières</t>
  </si>
  <si>
    <t>ST MARTIN DE RE</t>
  </si>
  <si>
    <t>FR 36480223437</t>
  </si>
  <si>
    <t>1 Rue du Château</t>
  </si>
  <si>
    <t>46330</t>
  </si>
  <si>
    <t>Saint Cirq-Lapopie</t>
  </si>
  <si>
    <t>2 rue Lucien Faure</t>
  </si>
  <si>
    <t>33300</t>
  </si>
  <si>
    <t>5,7 rue Saint Augustin</t>
  </si>
  <si>
    <t>FR 481 094 019</t>
  </si>
  <si>
    <t>40 Rue Duranton</t>
  </si>
  <si>
    <t>FR 64517597514</t>
  </si>
  <si>
    <t>1 Avenue Carnot</t>
  </si>
  <si>
    <t>FR 20480841451</t>
  </si>
  <si>
    <t>43 rue Gérard</t>
  </si>
  <si>
    <t>Bat B</t>
  </si>
  <si>
    <t>Apt 5014</t>
  </si>
  <si>
    <t>Société 135</t>
  </si>
  <si>
    <t>Société 136</t>
  </si>
  <si>
    <t>Société 137</t>
  </si>
  <si>
    <t>Société 138</t>
  </si>
  <si>
    <t>Société 139</t>
  </si>
  <si>
    <t>Société 141</t>
  </si>
  <si>
    <t>Société 143</t>
  </si>
  <si>
    <t>Société 144</t>
  </si>
  <si>
    <t>Société 145</t>
  </si>
  <si>
    <t>Société 153</t>
  </si>
  <si>
    <t>Société 156</t>
  </si>
  <si>
    <t>Société 157</t>
  </si>
  <si>
    <t>Société 282</t>
  </si>
  <si>
    <t>Société 283</t>
  </si>
  <si>
    <t>Société 287</t>
  </si>
  <si>
    <t>Société 296</t>
  </si>
  <si>
    <t>Société 335</t>
  </si>
  <si>
    <t>Société 355</t>
  </si>
  <si>
    <t>Société 361</t>
  </si>
  <si>
    <t>Société 362</t>
  </si>
  <si>
    <t>Société 363</t>
  </si>
  <si>
    <t>Société 403</t>
  </si>
  <si>
    <t>Société 404</t>
  </si>
  <si>
    <t>Société 406</t>
  </si>
  <si>
    <t>Société 407</t>
  </si>
  <si>
    <t>Société 415</t>
  </si>
  <si>
    <t>Société 416</t>
  </si>
  <si>
    <t>Société 418</t>
  </si>
  <si>
    <t>Société 428</t>
  </si>
  <si>
    <t>Société 437</t>
  </si>
  <si>
    <t>Société 439</t>
  </si>
  <si>
    <t>Société 440</t>
  </si>
  <si>
    <t>Société 441</t>
  </si>
  <si>
    <t>Société 442</t>
  </si>
  <si>
    <t>Société 443</t>
  </si>
  <si>
    <t>Société 444</t>
  </si>
  <si>
    <t>Société 445</t>
  </si>
  <si>
    <t>Société 446</t>
  </si>
  <si>
    <t>Société 447</t>
  </si>
  <si>
    <t>Société 448</t>
  </si>
  <si>
    <t>Société 449</t>
  </si>
  <si>
    <t>Société 450</t>
  </si>
  <si>
    <t>Société 451</t>
  </si>
  <si>
    <t>Société 452</t>
  </si>
  <si>
    <t>Société 453</t>
  </si>
  <si>
    <t>Société 454</t>
  </si>
  <si>
    <t>Société 455</t>
  </si>
  <si>
    <t>Société 456</t>
  </si>
  <si>
    <t>Société 457</t>
  </si>
  <si>
    <t>Société 458</t>
  </si>
  <si>
    <t>Société 459</t>
  </si>
  <si>
    <t>Société 460</t>
  </si>
  <si>
    <t>Société 461</t>
  </si>
  <si>
    <t>Société 468</t>
  </si>
  <si>
    <t>Société 471</t>
  </si>
  <si>
    <t>Société 472</t>
  </si>
  <si>
    <t>Société 473</t>
  </si>
  <si>
    <t>Société 475</t>
  </si>
  <si>
    <t>Société 476</t>
  </si>
  <si>
    <t>Société 477</t>
  </si>
  <si>
    <t>Société 480</t>
  </si>
  <si>
    <t>Société 481</t>
  </si>
  <si>
    <t>Société 482</t>
  </si>
  <si>
    <t>Société 483</t>
  </si>
  <si>
    <t>Société 484</t>
  </si>
  <si>
    <t>Société 485</t>
  </si>
  <si>
    <t>Société 486</t>
  </si>
  <si>
    <t>Société 487</t>
  </si>
  <si>
    <t>Société 489</t>
  </si>
  <si>
    <t>Société 494</t>
  </si>
  <si>
    <t>Société 495</t>
  </si>
  <si>
    <t>Société 496</t>
  </si>
  <si>
    <t>Société 497</t>
  </si>
  <si>
    <t>Société 498</t>
  </si>
  <si>
    <t>Société 499</t>
  </si>
  <si>
    <t>Société 500</t>
  </si>
  <si>
    <t>Société 502</t>
  </si>
  <si>
    <t>Société 503</t>
  </si>
  <si>
    <t>Société 504</t>
  </si>
  <si>
    <t>Société 505</t>
  </si>
  <si>
    <t>Société 506</t>
  </si>
  <si>
    <t>Société 507</t>
  </si>
  <si>
    <t>Société 508</t>
  </si>
  <si>
    <t>Société 511</t>
  </si>
  <si>
    <t>Société 512</t>
  </si>
  <si>
    <t>Société 513</t>
  </si>
  <si>
    <t>Société 515</t>
  </si>
  <si>
    <t>Société 516</t>
  </si>
  <si>
    <t>Société 518</t>
  </si>
  <si>
    <t>Société 519</t>
  </si>
  <si>
    <t>Société 525</t>
  </si>
  <si>
    <t>Société 527</t>
  </si>
  <si>
    <t>Société 529</t>
  </si>
  <si>
    <t>Société 530</t>
  </si>
  <si>
    <t>Société 532</t>
  </si>
  <si>
    <t>Société 541</t>
  </si>
  <si>
    <t>Société 545</t>
  </si>
  <si>
    <t>Société 566</t>
  </si>
  <si>
    <t>Société 567</t>
  </si>
  <si>
    <t>Société 572</t>
  </si>
  <si>
    <t>Société 573</t>
  </si>
  <si>
    <t>Société 574</t>
  </si>
  <si>
    <t>Société 575</t>
  </si>
  <si>
    <t>Société 579</t>
  </si>
  <si>
    <t>Société 580</t>
  </si>
  <si>
    <t>Société 581</t>
  </si>
  <si>
    <t>Société 582</t>
  </si>
  <si>
    <t>Société 583</t>
  </si>
  <si>
    <t>Société 584</t>
  </si>
  <si>
    <t>Société 585</t>
  </si>
  <si>
    <t>Société 586</t>
  </si>
  <si>
    <t>Société 587</t>
  </si>
  <si>
    <t>Société 588</t>
  </si>
  <si>
    <t>Société 589</t>
  </si>
  <si>
    <t>Société 590</t>
  </si>
  <si>
    <t>Société 591</t>
  </si>
  <si>
    <t>Société 592</t>
  </si>
  <si>
    <t>Société 593</t>
  </si>
  <si>
    <t>Société 596</t>
  </si>
  <si>
    <t>Société 597</t>
  </si>
  <si>
    <t>Société 598</t>
  </si>
  <si>
    <t>Société 599</t>
  </si>
  <si>
    <t>Société 600</t>
  </si>
  <si>
    <t>Société 601</t>
  </si>
  <si>
    <t>Société 602</t>
  </si>
  <si>
    <t>Société 603</t>
  </si>
  <si>
    <t>Société 604</t>
  </si>
  <si>
    <t>Société 605</t>
  </si>
  <si>
    <t>Société 606</t>
  </si>
  <si>
    <t>Société 607</t>
  </si>
  <si>
    <t>Société 608</t>
  </si>
  <si>
    <t>Société 609</t>
  </si>
  <si>
    <t>Société 610</t>
  </si>
  <si>
    <t>Société 611</t>
  </si>
  <si>
    <t>Société 612</t>
  </si>
  <si>
    <t>Société 613</t>
  </si>
  <si>
    <t>Société 614</t>
  </si>
  <si>
    <t>Société 615</t>
  </si>
  <si>
    <t>Société 616</t>
  </si>
  <si>
    <t>Société 617</t>
  </si>
  <si>
    <t>Société 618</t>
  </si>
  <si>
    <t>Société 619</t>
  </si>
  <si>
    <t>Société 621</t>
  </si>
  <si>
    <t>Société 622</t>
  </si>
  <si>
    <t>Société 623</t>
  </si>
  <si>
    <t>Société 624</t>
  </si>
  <si>
    <t>Société 627</t>
  </si>
  <si>
    <t>Société 628</t>
  </si>
  <si>
    <t>Société 631</t>
  </si>
  <si>
    <t>Société 632</t>
  </si>
  <si>
    <t>Société 634</t>
  </si>
  <si>
    <t>Société 635</t>
  </si>
  <si>
    <t>Société 637</t>
  </si>
  <si>
    <t>Société 638</t>
  </si>
  <si>
    <t>Société 639</t>
  </si>
  <si>
    <t>Société 641</t>
  </si>
  <si>
    <t>Société 642</t>
  </si>
  <si>
    <t>Société 643</t>
  </si>
  <si>
    <t>Société 644</t>
  </si>
  <si>
    <t>Société 645</t>
  </si>
  <si>
    <t>Société 646</t>
  </si>
  <si>
    <t>Société 647</t>
  </si>
  <si>
    <t>Société 648</t>
  </si>
  <si>
    <t>Société 649</t>
  </si>
  <si>
    <t>Société 650</t>
  </si>
  <si>
    <t>Société 651</t>
  </si>
  <si>
    <t>Société 652</t>
  </si>
  <si>
    <t>Société 653</t>
  </si>
  <si>
    <t>Société 654</t>
  </si>
  <si>
    <t>Société 655</t>
  </si>
  <si>
    <t>Société 656</t>
  </si>
  <si>
    <t>Société 657</t>
  </si>
  <si>
    <t>Société 658</t>
  </si>
  <si>
    <t>Société 659</t>
  </si>
  <si>
    <t>Société 660</t>
  </si>
  <si>
    <t>Société 661</t>
  </si>
  <si>
    <t>Société 662</t>
  </si>
  <si>
    <t>Société 665</t>
  </si>
  <si>
    <t>Société 667</t>
  </si>
  <si>
    <t>Société 704</t>
  </si>
  <si>
    <t>Société 705</t>
  </si>
  <si>
    <t>Société 706</t>
  </si>
  <si>
    <t>Société 707</t>
  </si>
  <si>
    <t>Société 708</t>
  </si>
  <si>
    <t>Société 709</t>
  </si>
  <si>
    <t>Société 710</t>
  </si>
  <si>
    <t>Société 712</t>
  </si>
  <si>
    <t>Société 713</t>
  </si>
  <si>
    <t>Société 714</t>
  </si>
  <si>
    <t>Société 715</t>
  </si>
  <si>
    <t>Société 716</t>
  </si>
  <si>
    <t>Société 717</t>
  </si>
  <si>
    <t>Société 728</t>
  </si>
  <si>
    <t>Société 729</t>
  </si>
  <si>
    <t>Société 731</t>
  </si>
  <si>
    <t>Société 733</t>
  </si>
  <si>
    <t>Société 742</t>
  </si>
  <si>
    <t>Société 746</t>
  </si>
  <si>
    <t>Société 750</t>
  </si>
  <si>
    <t>Société 751</t>
  </si>
  <si>
    <t>Société 755</t>
  </si>
  <si>
    <t>Société 759</t>
  </si>
  <si>
    <t>Société 760</t>
  </si>
  <si>
    <t>Société 765</t>
  </si>
  <si>
    <t>Société 771</t>
  </si>
  <si>
    <t>Société 774</t>
  </si>
  <si>
    <t>Société 775</t>
  </si>
  <si>
    <t>Société 786</t>
  </si>
  <si>
    <t>Société 818</t>
  </si>
  <si>
    <t>Société 819</t>
  </si>
  <si>
    <t>Société 821</t>
  </si>
  <si>
    <t>Société 822</t>
  </si>
  <si>
    <t>Société 823</t>
  </si>
  <si>
    <t>Société 824</t>
  </si>
  <si>
    <t>Société 825</t>
  </si>
  <si>
    <t>Société 826</t>
  </si>
  <si>
    <t>Société 827</t>
  </si>
  <si>
    <t>Société 828</t>
  </si>
  <si>
    <t>Société 829</t>
  </si>
  <si>
    <t>Société 830</t>
  </si>
  <si>
    <t>Société 831</t>
  </si>
  <si>
    <t>Société 832</t>
  </si>
  <si>
    <t>Société 835</t>
  </si>
  <si>
    <t>Société 836</t>
  </si>
  <si>
    <t>Société 837</t>
  </si>
  <si>
    <t>Société 838</t>
  </si>
  <si>
    <t>Société 839</t>
  </si>
  <si>
    <t>Société 840</t>
  </si>
  <si>
    <t>Société 841</t>
  </si>
  <si>
    <t>Société 842</t>
  </si>
  <si>
    <t>Société 843</t>
  </si>
  <si>
    <t>Société 844</t>
  </si>
  <si>
    <t>Société 845</t>
  </si>
  <si>
    <t>Société 846</t>
  </si>
  <si>
    <t>Société 847</t>
  </si>
  <si>
    <t>Société 848</t>
  </si>
  <si>
    <t>Société 849</t>
  </si>
  <si>
    <t>Société 850</t>
  </si>
  <si>
    <t>Société 851</t>
  </si>
  <si>
    <t>Société 852</t>
  </si>
  <si>
    <t>Société 853</t>
  </si>
  <si>
    <t>Société 854</t>
  </si>
  <si>
    <t>Société 855</t>
  </si>
  <si>
    <t>Société 856</t>
  </si>
  <si>
    <t>Société 857</t>
  </si>
  <si>
    <t>Société 858</t>
  </si>
  <si>
    <t>Société 860</t>
  </si>
  <si>
    <t>Société 862</t>
  </si>
  <si>
    <t>Société 863</t>
  </si>
  <si>
    <t>Société 864</t>
  </si>
  <si>
    <t>Société 865</t>
  </si>
  <si>
    <t>Société 866</t>
  </si>
  <si>
    <t>Société 867</t>
  </si>
  <si>
    <t>Société 868</t>
  </si>
  <si>
    <t>Société 869</t>
  </si>
  <si>
    <t>Société 870</t>
  </si>
  <si>
    <t>Société 871</t>
  </si>
  <si>
    <t>Société 872</t>
  </si>
  <si>
    <t>Société 873</t>
  </si>
  <si>
    <t>Société 874</t>
  </si>
  <si>
    <t>Société 875</t>
  </si>
  <si>
    <t>Société 876</t>
  </si>
  <si>
    <t>Société 877</t>
  </si>
  <si>
    <t>Société 878</t>
  </si>
  <si>
    <t>Société 880</t>
  </si>
  <si>
    <t>Société 881</t>
  </si>
  <si>
    <t>Société 882</t>
  </si>
  <si>
    <t>Société 883</t>
  </si>
  <si>
    <t>Société 884</t>
  </si>
  <si>
    <t>Société 886</t>
  </si>
  <si>
    <t>Société 887</t>
  </si>
  <si>
    <t>Société 888</t>
  </si>
  <si>
    <t>Société 889</t>
  </si>
  <si>
    <t>Société 890</t>
  </si>
  <si>
    <t>Société 891</t>
  </si>
  <si>
    <t>Société 892</t>
  </si>
  <si>
    <t>Société 893</t>
  </si>
  <si>
    <t>Société 894</t>
  </si>
  <si>
    <t>Société 895</t>
  </si>
  <si>
    <t>Société 896</t>
  </si>
  <si>
    <t>Société 899</t>
  </si>
  <si>
    <t>Société 900</t>
  </si>
  <si>
    <t>Société 901</t>
  </si>
  <si>
    <t>Société 902</t>
  </si>
  <si>
    <t>Société 903</t>
  </si>
  <si>
    <t>Société 904</t>
  </si>
  <si>
    <t>Société 905</t>
  </si>
  <si>
    <t>Société 906</t>
  </si>
  <si>
    <t>Société 907</t>
  </si>
  <si>
    <t>Société 908</t>
  </si>
  <si>
    <t>Société 910</t>
  </si>
  <si>
    <t>Société 912</t>
  </si>
  <si>
    <t>Société 915</t>
  </si>
  <si>
    <t>Société 916</t>
  </si>
  <si>
    <t>Société 917</t>
  </si>
  <si>
    <t>Société 918</t>
  </si>
  <si>
    <t>Société 919</t>
  </si>
  <si>
    <t>Société 920</t>
  </si>
  <si>
    <t>Société 921</t>
  </si>
  <si>
    <t>Société 922</t>
  </si>
  <si>
    <t>Société 923</t>
  </si>
  <si>
    <t>Société 924</t>
  </si>
  <si>
    <t>Société 925</t>
  </si>
  <si>
    <t>Société 926</t>
  </si>
  <si>
    <t>Société 927</t>
  </si>
  <si>
    <t>Société 928</t>
  </si>
  <si>
    <t>Société 929</t>
  </si>
  <si>
    <t>Société 934</t>
  </si>
  <si>
    <t>Société 935</t>
  </si>
  <si>
    <t>Société 937</t>
  </si>
  <si>
    <t>Société 938</t>
  </si>
  <si>
    <t>Société 939</t>
  </si>
  <si>
    <t>Société 941</t>
  </si>
  <si>
    <t>Société 942</t>
  </si>
  <si>
    <t>Société 943</t>
  </si>
  <si>
    <t>Société 944</t>
  </si>
  <si>
    <t>Société 947</t>
  </si>
  <si>
    <t>Société 948</t>
  </si>
  <si>
    <t>Société 949</t>
  </si>
  <si>
    <t>Société 950</t>
  </si>
  <si>
    <t>Société 951</t>
  </si>
  <si>
    <t>Société 952</t>
  </si>
  <si>
    <t>Société 953</t>
  </si>
  <si>
    <t>Société 954</t>
  </si>
  <si>
    <t>Société 955</t>
  </si>
  <si>
    <t>Société 956</t>
  </si>
  <si>
    <t>Société 957</t>
  </si>
  <si>
    <t>Société 958</t>
  </si>
  <si>
    <t>Société 959</t>
  </si>
  <si>
    <t>Société 960</t>
  </si>
  <si>
    <t>Société 961</t>
  </si>
  <si>
    <t>Société 963</t>
  </si>
  <si>
    <t>Société 967</t>
  </si>
  <si>
    <t>Société 969</t>
  </si>
  <si>
    <t>Société 970</t>
  </si>
  <si>
    <t>Société 971</t>
  </si>
  <si>
    <t>Société 972</t>
  </si>
  <si>
    <t>Société 973</t>
  </si>
  <si>
    <t>Société 974</t>
  </si>
  <si>
    <t>Société 976</t>
  </si>
  <si>
    <t>Société 977</t>
  </si>
  <si>
    <t>Société 978</t>
  </si>
  <si>
    <t>Société 979</t>
  </si>
  <si>
    <t>Société 987</t>
  </si>
  <si>
    <t>Société 988</t>
  </si>
  <si>
    <t>Société 989</t>
  </si>
  <si>
    <t>Société 991</t>
  </si>
  <si>
    <t>Société 993</t>
  </si>
  <si>
    <t>Société 1028</t>
  </si>
  <si>
    <t>Société 1029</t>
  </si>
  <si>
    <t>Société 1032</t>
  </si>
  <si>
    <t>Société 1033</t>
  </si>
  <si>
    <t>Société 1034</t>
  </si>
  <si>
    <t>Société 1035</t>
  </si>
  <si>
    <t>Société 1037</t>
  </si>
  <si>
    <t>Société 1038</t>
  </si>
  <si>
    <t>Société 1039</t>
  </si>
  <si>
    <t>Société 1040</t>
  </si>
  <si>
    <t>Société 1041</t>
  </si>
  <si>
    <t>Société 1042</t>
  </si>
  <si>
    <t>Société 1043</t>
  </si>
  <si>
    <t>Société 1044</t>
  </si>
  <si>
    <t>Société 1045</t>
  </si>
  <si>
    <t>Société 1046</t>
  </si>
  <si>
    <t>Société 1047</t>
  </si>
  <si>
    <t>Société 1048</t>
  </si>
  <si>
    <t>Société 1049</t>
  </si>
  <si>
    <t>Société 1050</t>
  </si>
  <si>
    <t>Société 1051</t>
  </si>
  <si>
    <t>Société 1052</t>
  </si>
  <si>
    <t>Société 1053</t>
  </si>
  <si>
    <t>Société 1054</t>
  </si>
  <si>
    <t>Société 1055</t>
  </si>
  <si>
    <t>Société 1056</t>
  </si>
  <si>
    <t>Société 1057</t>
  </si>
  <si>
    <t>Société 1058</t>
  </si>
  <si>
    <t>Société 1065</t>
  </si>
  <si>
    <t>Société 1067</t>
  </si>
  <si>
    <t>Société 1068</t>
  </si>
  <si>
    <t>Société 1069</t>
  </si>
  <si>
    <t>Société 1070</t>
  </si>
  <si>
    <t>Société 1071</t>
  </si>
  <si>
    <t>Société 1072</t>
  </si>
  <si>
    <t>Société 1073</t>
  </si>
  <si>
    <t>Société 1074</t>
  </si>
  <si>
    <t>Société 1075</t>
  </si>
  <si>
    <t>Société 1077</t>
  </si>
  <si>
    <t>Société 1078</t>
  </si>
  <si>
    <t>Société 1080</t>
  </si>
  <si>
    <t>Société 1081</t>
  </si>
  <si>
    <t>Société 1082</t>
  </si>
  <si>
    <t>Société 1083</t>
  </si>
  <si>
    <t>Société 1084</t>
  </si>
  <si>
    <t>Société 1086</t>
  </si>
  <si>
    <t>Société 1089</t>
  </si>
  <si>
    <t>Société 1090</t>
  </si>
  <si>
    <t>Société 1091</t>
  </si>
  <si>
    <t>Société 1092</t>
  </si>
  <si>
    <t>Société 1093</t>
  </si>
  <si>
    <t>Société 1094</t>
  </si>
  <si>
    <t>Société 1095</t>
  </si>
  <si>
    <t>Société 1096</t>
  </si>
  <si>
    <t>Société 1097</t>
  </si>
  <si>
    <t>Société 1098</t>
  </si>
  <si>
    <t>Société 1099</t>
  </si>
  <si>
    <t>Société 1100</t>
  </si>
  <si>
    <t>Société 1101</t>
  </si>
  <si>
    <t>Société 1102</t>
  </si>
  <si>
    <t>Société 1103</t>
  </si>
  <si>
    <t>Société 1104</t>
  </si>
  <si>
    <t>Société 1109</t>
  </si>
  <si>
    <t>Société 1111</t>
  </si>
  <si>
    <t>Société 1113</t>
  </si>
  <si>
    <t>Société 1116</t>
  </si>
  <si>
    <t>Société 1117</t>
  </si>
  <si>
    <t>Société 1118</t>
  </si>
  <si>
    <t>Société 1119</t>
  </si>
  <si>
    <t>Société 1120</t>
  </si>
  <si>
    <t>Société 1122</t>
  </si>
  <si>
    <t>Société 1123</t>
  </si>
  <si>
    <t>Société 1124</t>
  </si>
  <si>
    <t>Société 1126</t>
  </si>
  <si>
    <t>Société 1127</t>
  </si>
  <si>
    <t>Société 1128</t>
  </si>
  <si>
    <t>Société 1129</t>
  </si>
  <si>
    <t>Société 1130</t>
  </si>
  <si>
    <t>Société 1131</t>
  </si>
  <si>
    <t>Société 1132</t>
  </si>
  <si>
    <t>Société 1133</t>
  </si>
  <si>
    <t>Société 1134</t>
  </si>
  <si>
    <t>Société 1136</t>
  </si>
  <si>
    <t>Société 1139</t>
  </si>
  <si>
    <t>Société 1140</t>
  </si>
  <si>
    <t>Société 1144</t>
  </si>
  <si>
    <t>Société 1146</t>
  </si>
  <si>
    <t>Société 1147</t>
  </si>
  <si>
    <t>Société 1148</t>
  </si>
  <si>
    <t>Société 1149</t>
  </si>
  <si>
    <t>Société 1150</t>
  </si>
  <si>
    <t>Société 1152</t>
  </si>
  <si>
    <t>Société 1153</t>
  </si>
  <si>
    <t>Société 1155</t>
  </si>
  <si>
    <t>Société 1158</t>
  </si>
  <si>
    <t>Société 1159</t>
  </si>
  <si>
    <t>Société 1160</t>
  </si>
  <si>
    <t>Société 1161</t>
  </si>
  <si>
    <t>Société 1163</t>
  </si>
  <si>
    <t>Société 1164</t>
  </si>
  <si>
    <t>Société 1169</t>
  </si>
  <si>
    <t>Société 1170</t>
  </si>
  <si>
    <t>Société 1172</t>
  </si>
  <si>
    <t>Société 1173</t>
  </si>
  <si>
    <t>Société 1179</t>
  </si>
  <si>
    <t>Société 1180</t>
  </si>
  <si>
    <t>Société 1183</t>
  </si>
  <si>
    <t>Société 1186</t>
  </si>
  <si>
    <t>Société 1187</t>
  </si>
  <si>
    <t>Société 1188</t>
  </si>
  <si>
    <t>Société 1189</t>
  </si>
  <si>
    <t>Société 1190</t>
  </si>
  <si>
    <t>Société 1192</t>
  </si>
  <si>
    <t>Société 1193</t>
  </si>
  <si>
    <t>Société 1194</t>
  </si>
  <si>
    <t>Société 1195</t>
  </si>
  <si>
    <t>Société 1196</t>
  </si>
  <si>
    <t>Société 1197</t>
  </si>
  <si>
    <t>Société 1198</t>
  </si>
  <si>
    <t>Société 1199</t>
  </si>
  <si>
    <t>Société 1200</t>
  </si>
  <si>
    <t>Société 1201</t>
  </si>
  <si>
    <t>Société 1202</t>
  </si>
  <si>
    <t>Société 1203</t>
  </si>
  <si>
    <t>Société 1204</t>
  </si>
  <si>
    <t>Société 1205</t>
  </si>
  <si>
    <t>Société 1206</t>
  </si>
  <si>
    <t>Société 1207</t>
  </si>
  <si>
    <t>Société 1208</t>
  </si>
  <si>
    <t>Société 1209</t>
  </si>
  <si>
    <t>Société 1210</t>
  </si>
  <si>
    <t>Société 1211</t>
  </si>
  <si>
    <t>Société 1212</t>
  </si>
  <si>
    <t>Société 1213</t>
  </si>
  <si>
    <t>Société 1214</t>
  </si>
  <si>
    <t>Société 1215</t>
  </si>
  <si>
    <t>Société 1216</t>
  </si>
  <si>
    <t>Société 1217</t>
  </si>
  <si>
    <t>Société 1218</t>
  </si>
  <si>
    <t>Société 1220</t>
  </si>
  <si>
    <t>Société 1221</t>
  </si>
  <si>
    <t>Société 1222</t>
  </si>
  <si>
    <t>Société 1223</t>
  </si>
  <si>
    <t>Société 1224</t>
  </si>
  <si>
    <t>Société 1225</t>
  </si>
  <si>
    <t>Société 1226</t>
  </si>
  <si>
    <t>Société 1227</t>
  </si>
  <si>
    <t>Société 1230</t>
  </si>
  <si>
    <t>Société 1231</t>
  </si>
  <si>
    <t>Société 1233</t>
  </si>
  <si>
    <t>Société 1234</t>
  </si>
  <si>
    <t>Société 1237</t>
  </si>
  <si>
    <t>Société 1238</t>
  </si>
  <si>
    <t>Société 1239</t>
  </si>
  <si>
    <t>Société 1240</t>
  </si>
  <si>
    <t>Société 1241</t>
  </si>
  <si>
    <t>Société 1242</t>
  </si>
  <si>
    <t>Société 1243</t>
  </si>
  <si>
    <t>Société 1244</t>
  </si>
  <si>
    <t>Société 1245</t>
  </si>
  <si>
    <t>Société 1246</t>
  </si>
  <si>
    <t>Société 1248</t>
  </si>
  <si>
    <t>Société 1249</t>
  </si>
  <si>
    <t>Société 1250</t>
  </si>
  <si>
    <t>Société 1252</t>
  </si>
  <si>
    <t>Société 1254</t>
  </si>
  <si>
    <t>Société 1255</t>
  </si>
  <si>
    <t>Société 1264</t>
  </si>
  <si>
    <t>Société 1267</t>
  </si>
  <si>
    <t>Société 1272</t>
  </si>
  <si>
    <t>Société 1279</t>
  </si>
  <si>
    <t>Société 1280</t>
  </si>
  <si>
    <t>Société 1281</t>
  </si>
  <si>
    <t>Société 1282</t>
  </si>
  <si>
    <t>Société 1286</t>
  </si>
  <si>
    <t>Société 1287</t>
  </si>
  <si>
    <t>Société 1288</t>
  </si>
  <si>
    <t>Société 1289</t>
  </si>
  <si>
    <t>Société 1290</t>
  </si>
  <si>
    <t>Société 1291</t>
  </si>
  <si>
    <t>Société 1292</t>
  </si>
  <si>
    <t>Société 1293</t>
  </si>
  <si>
    <t>Société 1294</t>
  </si>
  <si>
    <t>Société 1295</t>
  </si>
  <si>
    <t>Société 1296</t>
  </si>
  <si>
    <t>Société 1297</t>
  </si>
  <si>
    <t>Société 1298</t>
  </si>
  <si>
    <t>Société 1299</t>
  </si>
  <si>
    <t>Société 1300</t>
  </si>
  <si>
    <t>Société 1301</t>
  </si>
  <si>
    <t>Société 1302</t>
  </si>
  <si>
    <t>Société 1305</t>
  </si>
  <si>
    <t>Société 1308</t>
  </si>
  <si>
    <t>Société 1313</t>
  </si>
  <si>
    <t>Société 1314</t>
  </si>
  <si>
    <t>Société 1315</t>
  </si>
  <si>
    <t>Société 1316</t>
  </si>
  <si>
    <t>Société 1317</t>
  </si>
  <si>
    <t>Société 1319</t>
  </si>
  <si>
    <t>Société 1320</t>
  </si>
  <si>
    <t>Société 1321</t>
  </si>
  <si>
    <t>Société 1326</t>
  </si>
  <si>
    <t>Société 1327</t>
  </si>
  <si>
    <t>Société 1331</t>
  </si>
  <si>
    <t>Société 1332</t>
  </si>
  <si>
    <t>Société 1333</t>
  </si>
  <si>
    <t>Société 1334</t>
  </si>
  <si>
    <t>Société 1335</t>
  </si>
  <si>
    <t>Société 1336</t>
  </si>
  <si>
    <t>Société 1337</t>
  </si>
  <si>
    <t>Société 1338</t>
  </si>
  <si>
    <t>Société 1339</t>
  </si>
  <si>
    <t>Société 1340</t>
  </si>
  <si>
    <t>Société 1342</t>
  </si>
  <si>
    <t>Société 1343</t>
  </si>
  <si>
    <t>Société 1344</t>
  </si>
  <si>
    <t>Société 1345</t>
  </si>
  <si>
    <t>Société 1346</t>
  </si>
  <si>
    <t>Société 1347</t>
  </si>
  <si>
    <t>Société 1349</t>
  </si>
  <si>
    <t>Société 1350</t>
  </si>
  <si>
    <t>Société 1353</t>
  </si>
  <si>
    <t>Société 1354</t>
  </si>
  <si>
    <t>Société 1364</t>
  </si>
  <si>
    <t>Société 1365</t>
  </si>
  <si>
    <t>Société 1366</t>
  </si>
  <si>
    <t>Société 1367</t>
  </si>
  <si>
    <t>Société 1368</t>
  </si>
  <si>
    <t>Société 1369</t>
  </si>
  <si>
    <t>Société 1370</t>
  </si>
  <si>
    <t>Société 1371</t>
  </si>
  <si>
    <t>Société 1383</t>
  </si>
  <si>
    <t>Société 1397</t>
  </si>
  <si>
    <t>Société 1398</t>
  </si>
  <si>
    <t>Société 1399</t>
  </si>
  <si>
    <t>Société 1400</t>
  </si>
  <si>
    <t>Société 1402</t>
  </si>
  <si>
    <t>Société 1403</t>
  </si>
  <si>
    <t>Société 1404</t>
  </si>
  <si>
    <t>Société 1405</t>
  </si>
  <si>
    <t>Société 1406</t>
  </si>
  <si>
    <t>Société 1407</t>
  </si>
  <si>
    <t>Société 1408</t>
  </si>
  <si>
    <t>Société 1409</t>
  </si>
  <si>
    <t>Société 1410</t>
  </si>
  <si>
    <t>Société 1411</t>
  </si>
  <si>
    <t>Société 1412</t>
  </si>
  <si>
    <t>Société 1413</t>
  </si>
  <si>
    <t>Société 1414</t>
  </si>
  <si>
    <t>Société 1415</t>
  </si>
  <si>
    <t>Société 1416</t>
  </si>
  <si>
    <t>Société 1417</t>
  </si>
  <si>
    <t>Société 1418</t>
  </si>
  <si>
    <t>Société 1419</t>
  </si>
  <si>
    <t>Société 1421</t>
  </si>
  <si>
    <t>Société 1425</t>
  </si>
  <si>
    <t>Société 1426</t>
  </si>
  <si>
    <t>Société 1427</t>
  </si>
  <si>
    <t>Société 1428</t>
  </si>
  <si>
    <t>Société 1429</t>
  </si>
  <si>
    <t>Société 1430</t>
  </si>
  <si>
    <t>Société 1431</t>
  </si>
  <si>
    <t>Société 1433</t>
  </si>
  <si>
    <t>Société 1435</t>
  </si>
  <si>
    <t>Société 1436</t>
  </si>
  <si>
    <t>Société 1439</t>
  </si>
  <si>
    <t>Société 1440</t>
  </si>
  <si>
    <t>Société 1441</t>
  </si>
  <si>
    <t>Société 1442</t>
  </si>
  <si>
    <t>Société 1443</t>
  </si>
  <si>
    <t>Société 1444</t>
  </si>
  <si>
    <t>Société 1457</t>
  </si>
  <si>
    <t>Société 1458</t>
  </si>
  <si>
    <t>Société 1459</t>
  </si>
  <si>
    <t>Société 1460</t>
  </si>
  <si>
    <t>Société 1461</t>
  </si>
  <si>
    <t>Société 1463</t>
  </si>
  <si>
    <t>Société 1464</t>
  </si>
  <si>
    <t>Société 1465</t>
  </si>
  <si>
    <t>Société 1466</t>
  </si>
  <si>
    <t>Société 1467</t>
  </si>
  <si>
    <t>Société 1468</t>
  </si>
  <si>
    <t>Société 1469</t>
  </si>
  <si>
    <t>Société 1470</t>
  </si>
  <si>
    <t>Société 1472</t>
  </si>
  <si>
    <t>Société 1473</t>
  </si>
  <si>
    <t>Société 1474</t>
  </si>
  <si>
    <t>Société 1475</t>
  </si>
  <si>
    <t>Société 1477</t>
  </si>
  <si>
    <t>Société 1478</t>
  </si>
  <si>
    <t>Société 1479</t>
  </si>
  <si>
    <t>Société 1480</t>
  </si>
  <si>
    <t>Société 1481</t>
  </si>
  <si>
    <t>Société 1484</t>
  </si>
  <si>
    <t>Société 1486</t>
  </si>
  <si>
    <t>Société 1488</t>
  </si>
  <si>
    <t>Société 1493</t>
  </si>
  <si>
    <t>Société 1494</t>
  </si>
  <si>
    <t>Société 1495</t>
  </si>
  <si>
    <t>Société 1496</t>
  </si>
  <si>
    <t>Société 1498</t>
  </si>
  <si>
    <t>Société 1504</t>
  </si>
  <si>
    <t>Société 1507</t>
  </si>
  <si>
    <t>Société 1508</t>
  </si>
  <si>
    <t>Société 1509</t>
  </si>
  <si>
    <t>Société 1510</t>
  </si>
  <si>
    <t>Société 1511</t>
  </si>
  <si>
    <t>Société 1512</t>
  </si>
  <si>
    <t>Société 1513</t>
  </si>
  <si>
    <t>Société 1514</t>
  </si>
  <si>
    <t>Société 1515</t>
  </si>
  <si>
    <t>Société 1516</t>
  </si>
  <si>
    <t>Société 1517</t>
  </si>
  <si>
    <t>Société 1518</t>
  </si>
  <si>
    <t>Société 1519</t>
  </si>
  <si>
    <t>Société 1520</t>
  </si>
  <si>
    <t>Société 1521</t>
  </si>
  <si>
    <t>Société 1522</t>
  </si>
  <si>
    <t>Société 1523</t>
  </si>
  <si>
    <t>Société 1524</t>
  </si>
  <si>
    <t>Société 1525</t>
  </si>
  <si>
    <t>Société 1526</t>
  </si>
  <si>
    <t>Société 1527</t>
  </si>
  <si>
    <t>Société 1528</t>
  </si>
  <si>
    <t>Société 1529</t>
  </si>
  <si>
    <t>Société 1530</t>
  </si>
  <si>
    <t>Société 1531</t>
  </si>
  <si>
    <t>Société 1532</t>
  </si>
  <si>
    <t>Société 1533</t>
  </si>
  <si>
    <t>Société 1534</t>
  </si>
  <si>
    <t>Société 1535</t>
  </si>
  <si>
    <t>Société 1536</t>
  </si>
  <si>
    <t>Société 1537</t>
  </si>
  <si>
    <t>Société 1538</t>
  </si>
  <si>
    <t>Société 1539</t>
  </si>
  <si>
    <t>Société 1540</t>
  </si>
  <si>
    <t>Société 1541</t>
  </si>
  <si>
    <t>Société 1542</t>
  </si>
  <si>
    <t>Société 1543</t>
  </si>
  <si>
    <t>Société 1544</t>
  </si>
  <si>
    <t>Société 1545</t>
  </si>
  <si>
    <t>Société 1546</t>
  </si>
  <si>
    <t>Société 1547</t>
  </si>
  <si>
    <t>Société 1548</t>
  </si>
  <si>
    <t>Société 1549</t>
  </si>
  <si>
    <t>Société 1550</t>
  </si>
  <si>
    <t>Société 1551</t>
  </si>
  <si>
    <t>Société 1552</t>
  </si>
  <si>
    <t>Société 1553</t>
  </si>
  <si>
    <t>Société 1554</t>
  </si>
  <si>
    <t>Société 1555</t>
  </si>
  <si>
    <t>Société 1556</t>
  </si>
  <si>
    <t>Société 1557</t>
  </si>
  <si>
    <t>Société 1558</t>
  </si>
  <si>
    <t>Société 1559</t>
  </si>
  <si>
    <t>Société 1560</t>
  </si>
  <si>
    <t>Société 1561</t>
  </si>
  <si>
    <t>Société 1562</t>
  </si>
  <si>
    <t>Société 1563</t>
  </si>
  <si>
    <t>Société 1564</t>
  </si>
  <si>
    <t>Société 1565</t>
  </si>
  <si>
    <t>Société 1566</t>
  </si>
  <si>
    <t>Société 1567</t>
  </si>
  <si>
    <t>Société 1568</t>
  </si>
  <si>
    <t>Société 1569</t>
  </si>
  <si>
    <t>Société 1570</t>
  </si>
  <si>
    <t>Société 1571</t>
  </si>
  <si>
    <t>Société 1572</t>
  </si>
  <si>
    <t>Société 1573</t>
  </si>
  <si>
    <t>Société 1574</t>
  </si>
  <si>
    <t>Société 1575</t>
  </si>
  <si>
    <t>Société 1576</t>
  </si>
  <si>
    <t>Société 1577</t>
  </si>
  <si>
    <t>Société 1578</t>
  </si>
  <si>
    <t>Société 1579</t>
  </si>
  <si>
    <t>Société 1580</t>
  </si>
  <si>
    <t>Société 1581</t>
  </si>
  <si>
    <t>Société 1582</t>
  </si>
  <si>
    <t>Société 1583</t>
  </si>
  <si>
    <t>Société 1584</t>
  </si>
  <si>
    <t>Société 1585</t>
  </si>
  <si>
    <t>Société 1586</t>
  </si>
  <si>
    <t>Société 1587</t>
  </si>
  <si>
    <t>Société 1588</t>
  </si>
  <si>
    <t>Société 1589</t>
  </si>
  <si>
    <t>Société 1590</t>
  </si>
  <si>
    <t>Société 1591</t>
  </si>
  <si>
    <t>Société 1592</t>
  </si>
  <si>
    <t>Société 1593</t>
  </si>
  <si>
    <t>Société 1594</t>
  </si>
  <si>
    <t>Société 1595</t>
  </si>
  <si>
    <t>Société 1596</t>
  </si>
  <si>
    <t>Société 1597</t>
  </si>
  <si>
    <t>Société 1598</t>
  </si>
  <si>
    <t>Société 1599</t>
  </si>
  <si>
    <t>Société 1600</t>
  </si>
  <si>
    <t>Société 1601</t>
  </si>
  <si>
    <t>Société 1602</t>
  </si>
  <si>
    <t>Société 1603</t>
  </si>
  <si>
    <t>Société 1604</t>
  </si>
  <si>
    <t>Société 1605</t>
  </si>
  <si>
    <t>Société 1606</t>
  </si>
  <si>
    <t>Société 1607</t>
  </si>
  <si>
    <t>Société 1608</t>
  </si>
  <si>
    <t>Société 1609</t>
  </si>
  <si>
    <t>Société 1610</t>
  </si>
  <si>
    <t>Société 1611</t>
  </si>
  <si>
    <t>Société 1612</t>
  </si>
  <si>
    <t>Société 1613</t>
  </si>
  <si>
    <t>Société 1614</t>
  </si>
  <si>
    <t>Société 1615</t>
  </si>
  <si>
    <t>Société 1616</t>
  </si>
  <si>
    <t>Société 1617</t>
  </si>
  <si>
    <t>Société 1618</t>
  </si>
  <si>
    <t>Société 1619</t>
  </si>
  <si>
    <t>Société 1620</t>
  </si>
  <si>
    <t>Société 1621</t>
  </si>
  <si>
    <t>Société 1622</t>
  </si>
  <si>
    <t>Société 1623</t>
  </si>
  <si>
    <t>Société 1624</t>
  </si>
  <si>
    <t>Société 1625</t>
  </si>
  <si>
    <t>Société 1626</t>
  </si>
  <si>
    <t>Société 1627</t>
  </si>
  <si>
    <t>Société 1628</t>
  </si>
  <si>
    <t>Société 1629</t>
  </si>
  <si>
    <t>Société 1630</t>
  </si>
  <si>
    <t>Société 1631</t>
  </si>
  <si>
    <t>Société 1632</t>
  </si>
  <si>
    <t>Société 1633</t>
  </si>
  <si>
    <t>Société 1634</t>
  </si>
  <si>
    <t>Société 1635</t>
  </si>
  <si>
    <t>Société 1636</t>
  </si>
  <si>
    <t>Société 1637</t>
  </si>
  <si>
    <t>Société 1638</t>
  </si>
  <si>
    <t>Société 1639</t>
  </si>
  <si>
    <t>Société 1640</t>
  </si>
  <si>
    <t>Société 1642</t>
  </si>
  <si>
    <t>Société 1643</t>
  </si>
  <si>
    <t>Société 1644</t>
  </si>
  <si>
    <t>Société 1645</t>
  </si>
  <si>
    <t>Société 1646</t>
  </si>
  <si>
    <t>Société 1647</t>
  </si>
  <si>
    <t>Société 1648</t>
  </si>
  <si>
    <t>Société 1649</t>
  </si>
  <si>
    <t>Société 1650</t>
  </si>
  <si>
    <t>Société 1651</t>
  </si>
  <si>
    <t>Société 1652</t>
  </si>
  <si>
    <t>Société 1653</t>
  </si>
  <si>
    <t>Société 1654</t>
  </si>
  <si>
    <t>Société 1655</t>
  </si>
  <si>
    <t>Société 1657</t>
  </si>
  <si>
    <t>Société 1658</t>
  </si>
  <si>
    <t>Société 1659</t>
  </si>
  <si>
    <t>Société 1660</t>
  </si>
  <si>
    <t>Société 1661</t>
  </si>
  <si>
    <t>Société 1662</t>
  </si>
  <si>
    <t>Société 1663</t>
  </si>
  <si>
    <t>Société 1664</t>
  </si>
  <si>
    <t>Société 1665</t>
  </si>
  <si>
    <t>Société 1666</t>
  </si>
  <si>
    <t>Société 1667</t>
  </si>
  <si>
    <t>Société 1668</t>
  </si>
  <si>
    <t>Société 1669</t>
  </si>
  <si>
    <t>Société 1670</t>
  </si>
  <si>
    <t>Société 1671</t>
  </si>
  <si>
    <t>Société 1672</t>
  </si>
  <si>
    <t>Société 1673</t>
  </si>
  <si>
    <t>Société 1674</t>
  </si>
  <si>
    <t>Société 1675</t>
  </si>
  <si>
    <t>Société 1676</t>
  </si>
  <si>
    <t>Société 1677</t>
  </si>
  <si>
    <t>Société 1678</t>
  </si>
  <si>
    <t>Société 1679</t>
  </si>
  <si>
    <t>Société 1680</t>
  </si>
  <si>
    <t>Société 1681</t>
  </si>
  <si>
    <t>Société 1682</t>
  </si>
  <si>
    <t>Société 1683</t>
  </si>
  <si>
    <t>Société 1684</t>
  </si>
  <si>
    <t>Société 1685</t>
  </si>
  <si>
    <t>Société 1686</t>
  </si>
  <si>
    <t>Société 1687</t>
  </si>
  <si>
    <t>Société 1688</t>
  </si>
  <si>
    <t>Société 1689</t>
  </si>
  <si>
    <t>Société 1690</t>
  </si>
  <si>
    <t>Société 1691</t>
  </si>
  <si>
    <t>Société 1692</t>
  </si>
  <si>
    <t>Société 1693</t>
  </si>
  <si>
    <t>Société 1694</t>
  </si>
  <si>
    <t>Société 1695</t>
  </si>
  <si>
    <t>Société 1696</t>
  </si>
  <si>
    <t>Société 1697</t>
  </si>
  <si>
    <t>Société 1699</t>
  </si>
  <si>
    <t>Société 1700</t>
  </si>
  <si>
    <t>Société 1701</t>
  </si>
  <si>
    <t>Société 1703</t>
  </si>
  <si>
    <t>Société 1705</t>
  </si>
  <si>
    <t>Société 1706</t>
  </si>
  <si>
    <t>Société 1707</t>
  </si>
  <si>
    <t>Société 1708</t>
  </si>
  <si>
    <t>Société 1709</t>
  </si>
  <si>
    <t>Société 1710</t>
  </si>
  <si>
    <t>Société 1711</t>
  </si>
  <si>
    <t>Société 1712</t>
  </si>
  <si>
    <t>Société 1713</t>
  </si>
  <si>
    <t>Société 1714</t>
  </si>
  <si>
    <t>Société 1715</t>
  </si>
  <si>
    <t>Société 1716</t>
  </si>
  <si>
    <t>Société 1717</t>
  </si>
  <si>
    <t>Société 1718</t>
  </si>
  <si>
    <t>Société 1719</t>
  </si>
  <si>
    <t>Société 1721</t>
  </si>
  <si>
    <t>Société 1722</t>
  </si>
  <si>
    <t>Société 1723</t>
  </si>
  <si>
    <t>Société 1724</t>
  </si>
  <si>
    <t>Société 1725</t>
  </si>
  <si>
    <t>Société 1726</t>
  </si>
  <si>
    <t>Société 1727</t>
  </si>
  <si>
    <t>Société 1728</t>
  </si>
  <si>
    <t>Société 1729</t>
  </si>
  <si>
    <t>Société 1730</t>
  </si>
  <si>
    <t>Société 1731</t>
  </si>
  <si>
    <t>Société 1732</t>
  </si>
  <si>
    <t>Société 1733</t>
  </si>
  <si>
    <t>Société 1734</t>
  </si>
  <si>
    <t>Société 1735</t>
  </si>
  <si>
    <t>Société 1736</t>
  </si>
  <si>
    <t>Société 1737</t>
  </si>
  <si>
    <t>Société 1738</t>
  </si>
  <si>
    <t>Société 1739</t>
  </si>
  <si>
    <t>Société 1741</t>
  </si>
  <si>
    <t>Société 1742</t>
  </si>
  <si>
    <t>Société 1743</t>
  </si>
  <si>
    <t>Société 1744</t>
  </si>
  <si>
    <t>Société 1746</t>
  </si>
  <si>
    <t>Société 1747</t>
  </si>
  <si>
    <t>Société 1748</t>
  </si>
  <si>
    <t>Société 1749</t>
  </si>
  <si>
    <t>Société 1750</t>
  </si>
  <si>
    <t>Société 1751</t>
  </si>
  <si>
    <t>Société 1752</t>
  </si>
  <si>
    <t>Société 1754</t>
  </si>
  <si>
    <t>Société 1755</t>
  </si>
  <si>
    <t>Société 1756</t>
  </si>
  <si>
    <t>Société 1757</t>
  </si>
  <si>
    <t>Société 1758</t>
  </si>
  <si>
    <t>Société 1759</t>
  </si>
  <si>
    <t>Société 1760</t>
  </si>
  <si>
    <t>Société 1761</t>
  </si>
  <si>
    <t>Société 1762</t>
  </si>
  <si>
    <t>Société 1764</t>
  </si>
  <si>
    <t>Société 1765</t>
  </si>
  <si>
    <t>Société 1766</t>
  </si>
  <si>
    <t>Société 1767</t>
  </si>
  <si>
    <t>Société 1768</t>
  </si>
  <si>
    <t>Société 1769</t>
  </si>
  <si>
    <t>Société 1770</t>
  </si>
  <si>
    <t>Société 1771</t>
  </si>
  <si>
    <t>Société 1772</t>
  </si>
  <si>
    <t>Société 1773</t>
  </si>
  <si>
    <t>Société 1774</t>
  </si>
  <si>
    <t>Société 1775</t>
  </si>
  <si>
    <t>Société 1776</t>
  </si>
  <si>
    <t>Société 1777</t>
  </si>
  <si>
    <t>Société 1778</t>
  </si>
  <si>
    <t>Société 1779</t>
  </si>
  <si>
    <t>Société 1780</t>
  </si>
  <si>
    <t>Société 1781</t>
  </si>
  <si>
    <t>Société 1782</t>
  </si>
  <si>
    <t>Société 1783</t>
  </si>
  <si>
    <t>Société 1784</t>
  </si>
  <si>
    <t>Société 1786</t>
  </si>
  <si>
    <t>Société 1787</t>
  </si>
  <si>
    <t>Société 1788</t>
  </si>
  <si>
    <t>Société 1789</t>
  </si>
  <si>
    <t>Société 1790</t>
  </si>
  <si>
    <t>Société 1791</t>
  </si>
  <si>
    <t>Société 1792</t>
  </si>
  <si>
    <t>Société 1793</t>
  </si>
  <si>
    <t>Société 1794</t>
  </si>
  <si>
    <t>Société 1795</t>
  </si>
  <si>
    <t>Société 1797</t>
  </si>
  <si>
    <t>Société 1801</t>
  </si>
  <si>
    <t>Société 1802</t>
  </si>
  <si>
    <t>Société 1803</t>
  </si>
  <si>
    <t>Société 1804</t>
  </si>
  <si>
    <t>Société 1805</t>
  </si>
  <si>
    <t>Société 1807</t>
  </si>
  <si>
    <t>Société 1808</t>
  </si>
  <si>
    <t>Société 1809</t>
  </si>
  <si>
    <t>Société 1810</t>
  </si>
  <si>
    <t>Société 1811</t>
  </si>
  <si>
    <t>Société 1812</t>
  </si>
  <si>
    <t>Société 1813</t>
  </si>
  <si>
    <t>Société 1814</t>
  </si>
  <si>
    <t>Société 1815</t>
  </si>
  <si>
    <t>Société 1816</t>
  </si>
  <si>
    <t>Société 1817</t>
  </si>
  <si>
    <t>Société 1818</t>
  </si>
  <si>
    <t>Société 1819</t>
  </si>
  <si>
    <t>Société 1820</t>
  </si>
  <si>
    <t>Société 1821</t>
  </si>
  <si>
    <t>Société 1822</t>
  </si>
  <si>
    <t>Société 1823</t>
  </si>
  <si>
    <t>Société 1824</t>
  </si>
  <si>
    <t>Société 1825</t>
  </si>
  <si>
    <t>Société 1827</t>
  </si>
  <si>
    <t>Société 1828</t>
  </si>
  <si>
    <t>Société 1829</t>
  </si>
  <si>
    <t>Société 1830</t>
  </si>
  <si>
    <t>Société 1831</t>
  </si>
  <si>
    <t>Société 1833</t>
  </si>
  <si>
    <t>Société 1834</t>
  </si>
  <si>
    <t>Société 1835</t>
  </si>
  <si>
    <t>Société 1836</t>
  </si>
  <si>
    <t>Société 1837</t>
  </si>
  <si>
    <t>Société 1838</t>
  </si>
  <si>
    <t>Société 1839</t>
  </si>
  <si>
    <t>Société 1840</t>
  </si>
  <si>
    <t>Société 1841</t>
  </si>
  <si>
    <t>Société 1842</t>
  </si>
  <si>
    <t>Société 1843</t>
  </si>
  <si>
    <t>Société 1845</t>
  </si>
  <si>
    <t>Société 1846</t>
  </si>
  <si>
    <t>Société 1847</t>
  </si>
  <si>
    <t>Société 1848</t>
  </si>
  <si>
    <t>Société 1849</t>
  </si>
  <si>
    <t>Société 1850</t>
  </si>
  <si>
    <t>Société 1851</t>
  </si>
  <si>
    <t>Société 1852</t>
  </si>
  <si>
    <t>Société 1853</t>
  </si>
  <si>
    <t>Société 1854</t>
  </si>
  <si>
    <t>Société 1855</t>
  </si>
  <si>
    <t>Société 1856</t>
  </si>
  <si>
    <t>Société 1857</t>
  </si>
  <si>
    <t>Société 1858</t>
  </si>
  <si>
    <t>Société 1859</t>
  </si>
  <si>
    <t>Société 1860</t>
  </si>
  <si>
    <t>Société 1861</t>
  </si>
  <si>
    <t>Société 1862</t>
  </si>
  <si>
    <t>Société 1863</t>
  </si>
  <si>
    <t>Société 1864</t>
  </si>
  <si>
    <t>Société 1865</t>
  </si>
  <si>
    <t>Société 1866</t>
  </si>
  <si>
    <t>Société 1867</t>
  </si>
  <si>
    <t>Société 1868</t>
  </si>
  <si>
    <t>Société 1869</t>
  </si>
  <si>
    <t>Société 1870</t>
  </si>
  <si>
    <t>Société 1871</t>
  </si>
  <si>
    <t>Société 1872</t>
  </si>
  <si>
    <t>Société 1873</t>
  </si>
  <si>
    <t>Société 1874</t>
  </si>
  <si>
    <t>Société 1875</t>
  </si>
  <si>
    <t>Société 1876</t>
  </si>
  <si>
    <t>Société 1877</t>
  </si>
  <si>
    <t>Société 1878</t>
  </si>
  <si>
    <t>Société 1879</t>
  </si>
  <si>
    <t>Société 1880</t>
  </si>
  <si>
    <t>Société 1881</t>
  </si>
  <si>
    <t>Société 1882</t>
  </si>
  <si>
    <t>Société 1883</t>
  </si>
  <si>
    <t>Société 1884</t>
  </si>
  <si>
    <t>Société 1885</t>
  </si>
  <si>
    <t>Société 1886</t>
  </si>
  <si>
    <t>Société 1887</t>
  </si>
  <si>
    <t>Société 1888</t>
  </si>
  <si>
    <t>Société 1889</t>
  </si>
  <si>
    <t>Société 1890</t>
  </si>
  <si>
    <t>Société 1891</t>
  </si>
  <si>
    <t>Société 1892</t>
  </si>
  <si>
    <t>Société 1893</t>
  </si>
  <si>
    <t>Société 1894</t>
  </si>
  <si>
    <t>Société 1895</t>
  </si>
  <si>
    <t>Société 1896</t>
  </si>
  <si>
    <t>Société 1897</t>
  </si>
  <si>
    <t>Société 1898</t>
  </si>
  <si>
    <t>Société 1899</t>
  </si>
  <si>
    <t>Société 1900</t>
  </si>
  <si>
    <t>Société 1901</t>
  </si>
  <si>
    <t>Société 1902</t>
  </si>
  <si>
    <t>Société 1903</t>
  </si>
  <si>
    <t>Société 1904</t>
  </si>
  <si>
    <t>Société 1905</t>
  </si>
  <si>
    <t>Société 1906</t>
  </si>
  <si>
    <t>Société 1907</t>
  </si>
  <si>
    <t>Société 1908</t>
  </si>
  <si>
    <t>Société 1909</t>
  </si>
  <si>
    <t>Société 1910</t>
  </si>
  <si>
    <t>Société 1911</t>
  </si>
  <si>
    <t>Société 1912</t>
  </si>
  <si>
    <t>Société 1913</t>
  </si>
  <si>
    <t>Société 1914</t>
  </si>
  <si>
    <t>Société 1915</t>
  </si>
  <si>
    <t>Société 1916</t>
  </si>
  <si>
    <t>Société 1917</t>
  </si>
  <si>
    <t>Société 1918</t>
  </si>
  <si>
    <t>Société 1919</t>
  </si>
  <si>
    <t>Société 1920</t>
  </si>
  <si>
    <t>Société 1921</t>
  </si>
  <si>
    <t>Société 1922</t>
  </si>
  <si>
    <t>Société 1923</t>
  </si>
  <si>
    <t>Société 1924</t>
  </si>
  <si>
    <t>Société 1925</t>
  </si>
  <si>
    <t>Société 1926</t>
  </si>
  <si>
    <t>Société 1927</t>
  </si>
  <si>
    <t>Société 1928</t>
  </si>
  <si>
    <t>Société 1929</t>
  </si>
  <si>
    <t>Société 1930</t>
  </si>
  <si>
    <t>Société 1931</t>
  </si>
  <si>
    <t>Société 1932</t>
  </si>
  <si>
    <t>Société 1933</t>
  </si>
  <si>
    <t>Société 1934</t>
  </si>
  <si>
    <t>Société 1935</t>
  </si>
  <si>
    <t>Société 1936</t>
  </si>
  <si>
    <t>Société 1937</t>
  </si>
  <si>
    <t>Société 1938</t>
  </si>
  <si>
    <t>Société 1939</t>
  </si>
  <si>
    <t>Société 1940</t>
  </si>
  <si>
    <t>Société 1941</t>
  </si>
  <si>
    <t>Société 1942</t>
  </si>
  <si>
    <t>Société 1943</t>
  </si>
  <si>
    <t>Société 1944</t>
  </si>
  <si>
    <t>Société 1945</t>
  </si>
  <si>
    <t>Société 1946</t>
  </si>
  <si>
    <t>Société 1947</t>
  </si>
  <si>
    <t>Société 1948</t>
  </si>
  <si>
    <t>Société 1949</t>
  </si>
  <si>
    <t>Société 1950</t>
  </si>
  <si>
    <t>Société 1951</t>
  </si>
  <si>
    <t>Société 1952</t>
  </si>
  <si>
    <t>Société 1953</t>
  </si>
  <si>
    <t>Société 1954</t>
  </si>
  <si>
    <t>Société 1955</t>
  </si>
  <si>
    <t>Société 1956</t>
  </si>
  <si>
    <t>Société 1957</t>
  </si>
  <si>
    <t>Société 1958</t>
  </si>
  <si>
    <t>Société 1959</t>
  </si>
  <si>
    <t>Société 1960</t>
  </si>
  <si>
    <t>Société 1961</t>
  </si>
  <si>
    <t>Société 1962</t>
  </si>
  <si>
    <t>Société 1963</t>
  </si>
  <si>
    <t>Société 1964</t>
  </si>
  <si>
    <t>Société 1965</t>
  </si>
  <si>
    <t>Société 1966</t>
  </si>
  <si>
    <t>Société 1967</t>
  </si>
  <si>
    <t>Société 1968</t>
  </si>
  <si>
    <t>Société 1969</t>
  </si>
  <si>
    <t>Société 1970</t>
  </si>
  <si>
    <t>Société 1971</t>
  </si>
  <si>
    <t>Société 1972</t>
  </si>
  <si>
    <t>Société 1973</t>
  </si>
  <si>
    <t>Société 1974</t>
  </si>
  <si>
    <t>Société 1975</t>
  </si>
  <si>
    <t>Société 1976</t>
  </si>
  <si>
    <t>Société 1977</t>
  </si>
  <si>
    <t>Société 1978</t>
  </si>
  <si>
    <t>Société 1979</t>
  </si>
  <si>
    <t>Société 1980</t>
  </si>
  <si>
    <t>Société 1981</t>
  </si>
  <si>
    <t>Société 1982</t>
  </si>
  <si>
    <t>Société 1983</t>
  </si>
  <si>
    <t>Société 1984</t>
  </si>
  <si>
    <t>Société 1985</t>
  </si>
  <si>
    <t>Société 1986</t>
  </si>
  <si>
    <t>Société 1987</t>
  </si>
  <si>
    <t>Société 1988</t>
  </si>
  <si>
    <t>Société 1989</t>
  </si>
  <si>
    <t>Société 1990</t>
  </si>
  <si>
    <t>Société 1991</t>
  </si>
  <si>
    <t>Société 1992</t>
  </si>
  <si>
    <t>Société 1993</t>
  </si>
  <si>
    <t>Société 1994</t>
  </si>
  <si>
    <t>Société 1995</t>
  </si>
  <si>
    <t>Société 1996</t>
  </si>
  <si>
    <t>Société 1997</t>
  </si>
  <si>
    <t>Société 1998</t>
  </si>
  <si>
    <t>Société 1999</t>
  </si>
  <si>
    <t>Société 2000</t>
  </si>
  <si>
    <t>Société 2001</t>
  </si>
  <si>
    <t>Société 2002</t>
  </si>
  <si>
    <t>Société 2003</t>
  </si>
  <si>
    <t>Société 2004</t>
  </si>
  <si>
    <t>Société 2005</t>
  </si>
  <si>
    <t>Société 2006</t>
  </si>
  <si>
    <t>Société 2007</t>
  </si>
  <si>
    <t>Société 2008</t>
  </si>
  <si>
    <t>Société 2009</t>
  </si>
  <si>
    <t>Société 2010</t>
  </si>
  <si>
    <t>Société 2011</t>
  </si>
  <si>
    <t>Société 2012</t>
  </si>
  <si>
    <t>Société 2013</t>
  </si>
  <si>
    <t>Société 2014</t>
  </si>
  <si>
    <t>Société 2015</t>
  </si>
  <si>
    <t>Société 2016</t>
  </si>
  <si>
    <t>Société 2017</t>
  </si>
  <si>
    <t>Société 2018</t>
  </si>
  <si>
    <t>Société 2019</t>
  </si>
  <si>
    <t>Société 2020</t>
  </si>
  <si>
    <t>Société 2021</t>
  </si>
  <si>
    <t>Société 2022</t>
  </si>
  <si>
    <t>Société 2023</t>
  </si>
  <si>
    <t>Société 2024</t>
  </si>
  <si>
    <t>Société 2025</t>
  </si>
  <si>
    <t>Société 2026</t>
  </si>
  <si>
    <t>Société 2027</t>
  </si>
  <si>
    <t>Société 2028</t>
  </si>
  <si>
    <t>Société 2029</t>
  </si>
  <si>
    <t>Société 2030</t>
  </si>
  <si>
    <t>Société 2031</t>
  </si>
  <si>
    <t>Société 2032</t>
  </si>
  <si>
    <t>Société 2033</t>
  </si>
  <si>
    <t>Société 2034</t>
  </si>
  <si>
    <t>Société 2035</t>
  </si>
  <si>
    <t>Société 2036</t>
  </si>
  <si>
    <t>Société 2037</t>
  </si>
  <si>
    <t>Société 2038</t>
  </si>
  <si>
    <t>Société 2039</t>
  </si>
  <si>
    <t>Société 2040</t>
  </si>
  <si>
    <t>Société 2041</t>
  </si>
  <si>
    <t>Société 2042</t>
  </si>
  <si>
    <t>Société 2043</t>
  </si>
  <si>
    <t>Société 2044</t>
  </si>
  <si>
    <t>Société 2045</t>
  </si>
  <si>
    <t>Société 2046</t>
  </si>
  <si>
    <t>Société 2047</t>
  </si>
  <si>
    <t>Société 2048</t>
  </si>
  <si>
    <t>Société 2049</t>
  </si>
  <si>
    <t>Société 2050</t>
  </si>
  <si>
    <t>Société 2051</t>
  </si>
  <si>
    <t>Société 2052</t>
  </si>
  <si>
    <t>Société 2053</t>
  </si>
  <si>
    <t>Société 2054</t>
  </si>
  <si>
    <t>Société 2055</t>
  </si>
  <si>
    <t>Société 2056</t>
  </si>
  <si>
    <t>Société 2057</t>
  </si>
  <si>
    <t>Société 2058</t>
  </si>
  <si>
    <t>Société 2059</t>
  </si>
  <si>
    <t>Société 2060</t>
  </si>
  <si>
    <t>Société 2061</t>
  </si>
  <si>
    <t>Société 2062</t>
  </si>
  <si>
    <t>Société 2063</t>
  </si>
  <si>
    <t>Société 2064</t>
  </si>
  <si>
    <t>Société 2065</t>
  </si>
  <si>
    <t>Société 2066</t>
  </si>
  <si>
    <t>Société 2067</t>
  </si>
  <si>
    <t>Société 2068</t>
  </si>
  <si>
    <t>Société 2069</t>
  </si>
  <si>
    <t>Société 2070</t>
  </si>
  <si>
    <t>Société 2071</t>
  </si>
  <si>
    <t>Société 2072</t>
  </si>
  <si>
    <t>Société 2073</t>
  </si>
  <si>
    <t>Société 2074</t>
  </si>
  <si>
    <t>Société 2075</t>
  </si>
  <si>
    <t>Société 2076</t>
  </si>
  <si>
    <t>Société 2077</t>
  </si>
  <si>
    <t>Société 2078</t>
  </si>
  <si>
    <t>Société 2079</t>
  </si>
  <si>
    <t>Société 2080</t>
  </si>
  <si>
    <t>Société 2081</t>
  </si>
  <si>
    <t>Société 2082</t>
  </si>
  <si>
    <t>Société 2083</t>
  </si>
  <si>
    <t>Société 2084</t>
  </si>
  <si>
    <t>Société 2085</t>
  </si>
  <si>
    <t>Société 2086</t>
  </si>
  <si>
    <t>Société 2087</t>
  </si>
  <si>
    <t>Société 2088</t>
  </si>
  <si>
    <t>Société 2089</t>
  </si>
  <si>
    <t>Société 2090</t>
  </si>
  <si>
    <t>Société 2091</t>
  </si>
  <si>
    <t>Société 2092</t>
  </si>
  <si>
    <t>Société 2093</t>
  </si>
  <si>
    <t>Société 2094</t>
  </si>
  <si>
    <t>Société 2095</t>
  </si>
  <si>
    <t>Société 2096</t>
  </si>
  <si>
    <t>Société 2097</t>
  </si>
  <si>
    <t>Société 2098</t>
  </si>
  <si>
    <t>Société 2099</t>
  </si>
  <si>
    <t>Société 2100</t>
  </si>
  <si>
    <t>Société 2101</t>
  </si>
  <si>
    <t>Société 2102</t>
  </si>
  <si>
    <t>Société 2103</t>
  </si>
  <si>
    <t>Société 2104</t>
  </si>
  <si>
    <t>Société 2105</t>
  </si>
  <si>
    <t>Société 2106</t>
  </si>
  <si>
    <t>Société 2107</t>
  </si>
  <si>
    <t>Société 2108</t>
  </si>
  <si>
    <t>Société 2109</t>
  </si>
  <si>
    <t>Société 2110</t>
  </si>
  <si>
    <t>Société 2111</t>
  </si>
  <si>
    <t>Société 2112</t>
  </si>
  <si>
    <t>Société 2113</t>
  </si>
  <si>
    <t>Société 2114</t>
  </si>
  <si>
    <t>Société 2115</t>
  </si>
  <si>
    <t>Société 2116</t>
  </si>
  <si>
    <t>Société 2117</t>
  </si>
  <si>
    <t>Société 2118</t>
  </si>
  <si>
    <t>Société 2119</t>
  </si>
  <si>
    <t>Société 2120</t>
  </si>
  <si>
    <t>Société 2121</t>
  </si>
  <si>
    <t>Société 2122</t>
  </si>
  <si>
    <t>Société 2123</t>
  </si>
  <si>
    <t>Société 2124</t>
  </si>
  <si>
    <t>Société 2125</t>
  </si>
  <si>
    <t>Société 2126</t>
  </si>
  <si>
    <t>Société 2127</t>
  </si>
  <si>
    <t>Société 2128</t>
  </si>
  <si>
    <t>Société 2129</t>
  </si>
  <si>
    <t>Société 2130</t>
  </si>
  <si>
    <t>Société 2131</t>
  </si>
  <si>
    <t>Société 2132</t>
  </si>
  <si>
    <t>Société 2133</t>
  </si>
  <si>
    <t>Société 2134</t>
  </si>
  <si>
    <t>Société 2135</t>
  </si>
  <si>
    <t>Société 2136</t>
  </si>
  <si>
    <t>Société 2137</t>
  </si>
  <si>
    <t>Société 2138</t>
  </si>
  <si>
    <t>Société 2139</t>
  </si>
  <si>
    <t>Société 2140</t>
  </si>
  <si>
    <t>Société 2141</t>
  </si>
  <si>
    <t>Société 2142</t>
  </si>
  <si>
    <t>Société 2143</t>
  </si>
  <si>
    <t>Société 2144</t>
  </si>
  <si>
    <t>Société 2145</t>
  </si>
  <si>
    <t>Société 2146</t>
  </si>
  <si>
    <t>Société 2147</t>
  </si>
  <si>
    <t>Société 2148</t>
  </si>
  <si>
    <t>Société 2149</t>
  </si>
  <si>
    <t>Société 2150</t>
  </si>
  <si>
    <t>Société 2151</t>
  </si>
  <si>
    <t>Société 2152</t>
  </si>
  <si>
    <t>Société 2153</t>
  </si>
  <si>
    <t>Société 2154</t>
  </si>
  <si>
    <t>Société 2155</t>
  </si>
  <si>
    <t>Société 2156</t>
  </si>
  <si>
    <t>Société 2157</t>
  </si>
  <si>
    <t>Société 2158</t>
  </si>
  <si>
    <t>Société 2159</t>
  </si>
  <si>
    <t>Société 2160</t>
  </si>
  <si>
    <t>Société 2161</t>
  </si>
  <si>
    <t>Société 2162</t>
  </si>
  <si>
    <t>Société 2163</t>
  </si>
  <si>
    <t>Société 2164</t>
  </si>
  <si>
    <t>Société 2165</t>
  </si>
  <si>
    <t>Société 2166</t>
  </si>
  <si>
    <t>Société 2167</t>
  </si>
  <si>
    <t>Société 2168</t>
  </si>
  <si>
    <t>Société 2169</t>
  </si>
  <si>
    <t>Société 2170</t>
  </si>
  <si>
    <t>Société 2171</t>
  </si>
  <si>
    <t>Société 2172</t>
  </si>
  <si>
    <t>Société 2173</t>
  </si>
  <si>
    <t>Société 2174</t>
  </si>
  <si>
    <t>Société 2175</t>
  </si>
  <si>
    <t>Société 2176</t>
  </si>
  <si>
    <t>Société 2177</t>
  </si>
  <si>
    <t>Société 2178</t>
  </si>
  <si>
    <t>Société 2179</t>
  </si>
  <si>
    <t>Société 2180</t>
  </si>
  <si>
    <t>Société 2181</t>
  </si>
  <si>
    <t>Société 2182</t>
  </si>
  <si>
    <t>Société 2183</t>
  </si>
  <si>
    <t>Société 2184</t>
  </si>
  <si>
    <t>Société 2185</t>
  </si>
  <si>
    <t>Société 2186</t>
  </si>
  <si>
    <t>Société 2187</t>
  </si>
  <si>
    <t>Société 2188</t>
  </si>
  <si>
    <t>Société 2189</t>
  </si>
  <si>
    <t>Société 2190</t>
  </si>
  <si>
    <t>Société 2191</t>
  </si>
  <si>
    <t>Société 2192</t>
  </si>
  <si>
    <t>Société 2193</t>
  </si>
  <si>
    <t>Société 2194</t>
  </si>
  <si>
    <t>Société 2195</t>
  </si>
  <si>
    <t>Société 2196</t>
  </si>
  <si>
    <t>Société 2197</t>
  </si>
  <si>
    <t>Société 2198</t>
  </si>
  <si>
    <t>Société 2199</t>
  </si>
  <si>
    <t>Société 2200</t>
  </si>
  <si>
    <t>Société 2201</t>
  </si>
  <si>
    <t>Société 2202</t>
  </si>
  <si>
    <t>Société 2203</t>
  </si>
  <si>
    <t>Société 2204</t>
  </si>
  <si>
    <t>Société 2205</t>
  </si>
  <si>
    <t>Société 2206</t>
  </si>
  <si>
    <t>Société 2207</t>
  </si>
  <si>
    <t>Société 2208</t>
  </si>
  <si>
    <t>Société 2209</t>
  </si>
  <si>
    <t>Société 2210</t>
  </si>
  <si>
    <t>Société 2211</t>
  </si>
  <si>
    <t>Société 2212</t>
  </si>
  <si>
    <t>Société 2213</t>
  </si>
  <si>
    <t>Société 2214</t>
  </si>
  <si>
    <t>Société 2215</t>
  </si>
  <si>
    <t>Société 2216</t>
  </si>
  <si>
    <t>Société 2217</t>
  </si>
  <si>
    <t>Société 2218</t>
  </si>
  <si>
    <t>Société 2219</t>
  </si>
  <si>
    <t>Société 2220</t>
  </si>
  <si>
    <t>Société 2221</t>
  </si>
  <si>
    <t>Société 2222</t>
  </si>
  <si>
    <t>Société 2223</t>
  </si>
  <si>
    <t>Société 2224</t>
  </si>
  <si>
    <t>Société 2225</t>
  </si>
  <si>
    <t>Société 2226</t>
  </si>
  <si>
    <t>Société 2227</t>
  </si>
  <si>
    <t>Société 2228</t>
  </si>
  <si>
    <t>Société 2229</t>
  </si>
  <si>
    <t>Société 2230</t>
  </si>
  <si>
    <t>Société 2231</t>
  </si>
  <si>
    <t>Société 2232</t>
  </si>
  <si>
    <t>Société 2233</t>
  </si>
  <si>
    <t>Société 2234</t>
  </si>
  <si>
    <t>Société 2235</t>
  </si>
  <si>
    <t>Société 2236</t>
  </si>
  <si>
    <t>Société 2237</t>
  </si>
  <si>
    <t>Société 2238</t>
  </si>
  <si>
    <t>Société 2239</t>
  </si>
  <si>
    <t>Société 2240</t>
  </si>
  <si>
    <t>Société 2241</t>
  </si>
  <si>
    <t>Société 2242</t>
  </si>
  <si>
    <t>Société 2243</t>
  </si>
  <si>
    <t>Société 2244</t>
  </si>
  <si>
    <t>Société 2245</t>
  </si>
  <si>
    <t>Société 2246</t>
  </si>
  <si>
    <t>Société 2247</t>
  </si>
  <si>
    <t>Société 2248</t>
  </si>
  <si>
    <t>Société 2249</t>
  </si>
  <si>
    <t>Société 2250</t>
  </si>
  <si>
    <t>Société 2251</t>
  </si>
  <si>
    <t>Société 2252</t>
  </si>
  <si>
    <t>Société 2253</t>
  </si>
  <si>
    <t>Société 2254</t>
  </si>
  <si>
    <t>Société 2255</t>
  </si>
  <si>
    <t>Société 2256</t>
  </si>
  <si>
    <t>Société 2257</t>
  </si>
  <si>
    <t>Société 2258</t>
  </si>
  <si>
    <t>Société 2259</t>
  </si>
  <si>
    <t>Société 2260</t>
  </si>
  <si>
    <t>Société 2261</t>
  </si>
  <si>
    <t>Société 2262</t>
  </si>
  <si>
    <t>Société 2263</t>
  </si>
  <si>
    <t>Société 2264</t>
  </si>
  <si>
    <t>Société 2265</t>
  </si>
  <si>
    <t>Société 2266</t>
  </si>
  <si>
    <t>Société 2267</t>
  </si>
  <si>
    <t>Société 2268</t>
  </si>
  <si>
    <t>Société 2269</t>
  </si>
  <si>
    <t>Société 2270</t>
  </si>
  <si>
    <t>Société 2271</t>
  </si>
  <si>
    <t>Société 2272</t>
  </si>
  <si>
    <t>Société 2273</t>
  </si>
  <si>
    <t>Société 2274</t>
  </si>
  <si>
    <t>Société 2275</t>
  </si>
  <si>
    <t>Société 2276</t>
  </si>
  <si>
    <t>Société 2277</t>
  </si>
  <si>
    <t>Société 2278</t>
  </si>
  <si>
    <t>Société 2279</t>
  </si>
  <si>
    <t>Société 2280</t>
  </si>
  <si>
    <t>Société 2281</t>
  </si>
  <si>
    <t>Société 2282</t>
  </si>
  <si>
    <t>Société 2283</t>
  </si>
  <si>
    <t>Société 2284</t>
  </si>
  <si>
    <t>Société 2285</t>
  </si>
  <si>
    <t>Société 2286</t>
  </si>
  <si>
    <t>Société 2287</t>
  </si>
  <si>
    <t>Société 2288</t>
  </si>
  <si>
    <t>Société 2289</t>
  </si>
  <si>
    <t>Société 2290</t>
  </si>
  <si>
    <t>Société 2291</t>
  </si>
  <si>
    <t>Société 2292</t>
  </si>
  <si>
    <t>Société 2293</t>
  </si>
  <si>
    <t>Société 2294</t>
  </si>
  <si>
    <t>Société 2295</t>
  </si>
  <si>
    <t>Société 2296</t>
  </si>
  <si>
    <t>Société 2297</t>
  </si>
  <si>
    <t>Société 2298</t>
  </si>
  <si>
    <t>Société 2299</t>
  </si>
  <si>
    <t>Société 2300</t>
  </si>
  <si>
    <t>Société 2301</t>
  </si>
  <si>
    <t>Société 2302</t>
  </si>
  <si>
    <t>Société 2303</t>
  </si>
  <si>
    <t>Société 2304</t>
  </si>
  <si>
    <t>Société 2305</t>
  </si>
  <si>
    <t>Société 2306</t>
  </si>
  <si>
    <t>Société 2307</t>
  </si>
  <si>
    <t>Société 2308</t>
  </si>
  <si>
    <t>Société 2309</t>
  </si>
  <si>
    <t>Société 2310</t>
  </si>
  <si>
    <t>Société 2311</t>
  </si>
  <si>
    <t>Société 2312</t>
  </si>
  <si>
    <t>Société 2313</t>
  </si>
  <si>
    <t>Société 2314</t>
  </si>
  <si>
    <t>Société 2315</t>
  </si>
  <si>
    <t>Société 2316</t>
  </si>
  <si>
    <t>Société 2317</t>
  </si>
  <si>
    <t>Société 2318</t>
  </si>
  <si>
    <t>Société 2319</t>
  </si>
  <si>
    <t>Société 2320</t>
  </si>
  <si>
    <t>Société 2321</t>
  </si>
  <si>
    <t>Société 2322</t>
  </si>
  <si>
    <t>Société 2323</t>
  </si>
  <si>
    <t>Société 2324</t>
  </si>
  <si>
    <t>Société 2325</t>
  </si>
  <si>
    <t>Société 2326</t>
  </si>
  <si>
    <t>Société 2327</t>
  </si>
  <si>
    <t>Société 2328</t>
  </si>
  <si>
    <t>Société 2329</t>
  </si>
  <si>
    <t>Société 2330</t>
  </si>
  <si>
    <t>Société 2331</t>
  </si>
  <si>
    <t>Société 2332</t>
  </si>
  <si>
    <t>Société 2333</t>
  </si>
  <si>
    <t>Société 2334</t>
  </si>
  <si>
    <t>Société 2335</t>
  </si>
  <si>
    <t>Société 2336</t>
  </si>
  <si>
    <t>Société 2337</t>
  </si>
  <si>
    <t>Société 2338</t>
  </si>
  <si>
    <t>Société 2339</t>
  </si>
  <si>
    <t>Société 2340</t>
  </si>
  <si>
    <t>Société 2341</t>
  </si>
  <si>
    <t>Société 2342</t>
  </si>
  <si>
    <t>Société 2343</t>
  </si>
  <si>
    <t>Société 2344</t>
  </si>
  <si>
    <t>Société 2345</t>
  </si>
  <si>
    <t>Société 2346</t>
  </si>
  <si>
    <t>Société 2347</t>
  </si>
  <si>
    <t>Société 2348</t>
  </si>
  <si>
    <t>Société 2349</t>
  </si>
  <si>
    <t>Société 2350</t>
  </si>
  <si>
    <t>Société 2351</t>
  </si>
  <si>
    <t>Société 2352</t>
  </si>
  <si>
    <t>Société 2353</t>
  </si>
  <si>
    <t>Société 2354</t>
  </si>
  <si>
    <t>Société 2355</t>
  </si>
  <si>
    <t>Société 2356</t>
  </si>
  <si>
    <t>Société 2357</t>
  </si>
  <si>
    <t>Société 2358</t>
  </si>
  <si>
    <t>Société 2359</t>
  </si>
  <si>
    <t>Société 2360</t>
  </si>
  <si>
    <t>Société 2361</t>
  </si>
  <si>
    <t>Société 2362</t>
  </si>
  <si>
    <t>Société 2363</t>
  </si>
  <si>
    <t>Société 2364</t>
  </si>
  <si>
    <t>Société 2365</t>
  </si>
  <si>
    <t>Société 2366</t>
  </si>
  <si>
    <t>Société 2367</t>
  </si>
  <si>
    <t>Société 2368</t>
  </si>
  <si>
    <t>Société 2369</t>
  </si>
  <si>
    <t>Société 2370</t>
  </si>
  <si>
    <t>Société 2371</t>
  </si>
  <si>
    <t>Société 2372</t>
  </si>
  <si>
    <t>Société 2373</t>
  </si>
  <si>
    <t>Société 2374</t>
  </si>
  <si>
    <t>Société 2375</t>
  </si>
  <si>
    <t>Société 2376</t>
  </si>
  <si>
    <t>Société 2377</t>
  </si>
  <si>
    <t>Société 2378</t>
  </si>
  <si>
    <t>Société 2379</t>
  </si>
  <si>
    <t>Société 2380</t>
  </si>
  <si>
    <t>Société 2381</t>
  </si>
  <si>
    <t>Société 2382</t>
  </si>
  <si>
    <t>Société 2383</t>
  </si>
  <si>
    <t>Société 2384</t>
  </si>
  <si>
    <t>Société 2385</t>
  </si>
  <si>
    <t>Société 2386</t>
  </si>
  <si>
    <t>Société 2387</t>
  </si>
  <si>
    <t>Société 2388</t>
  </si>
  <si>
    <t>Société 2389</t>
  </si>
  <si>
    <t>Société 2390</t>
  </si>
  <si>
    <t>Société 2391</t>
  </si>
  <si>
    <t>Société 2392</t>
  </si>
  <si>
    <t>Société 2393</t>
  </si>
  <si>
    <t>Société 2394</t>
  </si>
  <si>
    <t>Société 2395</t>
  </si>
  <si>
    <t>Société 2396</t>
  </si>
  <si>
    <t>Société 2397</t>
  </si>
  <si>
    <t>Société 2398</t>
  </si>
  <si>
    <t>Société 2399</t>
  </si>
  <si>
    <t>Société 2400</t>
  </si>
  <si>
    <t>Société 2401</t>
  </si>
  <si>
    <t>Société 2402</t>
  </si>
  <si>
    <t>Société 2403</t>
  </si>
  <si>
    <t>Société 2404</t>
  </si>
  <si>
    <t>Société 2405</t>
  </si>
  <si>
    <t>Société 2406</t>
  </si>
  <si>
    <t>Société 2407</t>
  </si>
  <si>
    <t>Société 2408</t>
  </si>
  <si>
    <t>Société 2409</t>
  </si>
  <si>
    <t>Société 2410</t>
  </si>
  <si>
    <t>Société 2411</t>
  </si>
  <si>
    <t>Société 2412</t>
  </si>
  <si>
    <t>Société 2413</t>
  </si>
  <si>
    <t>Société 2414</t>
  </si>
  <si>
    <t>Société 2415</t>
  </si>
  <si>
    <t>Société 2416</t>
  </si>
  <si>
    <t>Société 2417</t>
  </si>
  <si>
    <t>Société 2418</t>
  </si>
  <si>
    <t>Société 2419</t>
  </si>
  <si>
    <t>Société 2420</t>
  </si>
  <si>
    <t>Société 2421</t>
  </si>
  <si>
    <t>Société 2422</t>
  </si>
  <si>
    <t>Société 2423</t>
  </si>
  <si>
    <t>Société 2424</t>
  </si>
  <si>
    <t>Société 2425</t>
  </si>
  <si>
    <t>Société 2426</t>
  </si>
  <si>
    <t>Société 2427</t>
  </si>
  <si>
    <t>Société 2429</t>
  </si>
  <si>
    <t>Société 2430</t>
  </si>
  <si>
    <t>Société 2431</t>
  </si>
  <si>
    <t>Société 2432</t>
  </si>
  <si>
    <t>Société 2433</t>
  </si>
  <si>
    <t>Société 2434</t>
  </si>
  <si>
    <t>Société 2435</t>
  </si>
  <si>
    <t>Société 2436</t>
  </si>
  <si>
    <t>Société 2437</t>
  </si>
  <si>
    <t>Société 2438</t>
  </si>
  <si>
    <t>Société 2439</t>
  </si>
  <si>
    <t>Société 2440</t>
  </si>
  <si>
    <t>Société 2441</t>
  </si>
  <si>
    <t>Société 2446</t>
  </si>
  <si>
    <t>Société 2447</t>
  </si>
  <si>
    <t>Société 2448</t>
  </si>
  <si>
    <t>Société 2449</t>
  </si>
  <si>
    <t>Société 2450</t>
  </si>
  <si>
    <t>Société 2451</t>
  </si>
  <si>
    <t>Société 2452</t>
  </si>
  <si>
    <t>Société 2453</t>
  </si>
  <si>
    <t>Société 2454</t>
  </si>
  <si>
    <t>Société 2455</t>
  </si>
  <si>
    <t>Société 2456</t>
  </si>
  <si>
    <t>Société 2457</t>
  </si>
  <si>
    <t>Société 2458</t>
  </si>
  <si>
    <t>Société 2459</t>
  </si>
  <si>
    <t>Société 2460</t>
  </si>
  <si>
    <t>Société 2461</t>
  </si>
  <si>
    <t>Société 2462</t>
  </si>
  <si>
    <t>Société 2463</t>
  </si>
  <si>
    <t>Société 2467</t>
  </si>
  <si>
    <t>Société 2468</t>
  </si>
  <si>
    <t>Société 2469</t>
  </si>
  <si>
    <t>Société 2471</t>
  </si>
  <si>
    <t>Société 2472</t>
  </si>
  <si>
    <t>Société 2473</t>
  </si>
  <si>
    <t>Société 2474</t>
  </si>
  <si>
    <t>Société 2475</t>
  </si>
  <si>
    <t>Société 2476</t>
  </si>
  <si>
    <t>Société 2477</t>
  </si>
  <si>
    <t>Société 2479</t>
  </si>
  <si>
    <t>Société 2480</t>
  </si>
  <si>
    <t>Société 2481</t>
  </si>
  <si>
    <t>Société 2482</t>
  </si>
  <si>
    <t>Société 2487</t>
  </si>
  <si>
    <t>Société 2489</t>
  </si>
  <si>
    <t>Société 2490</t>
  </si>
  <si>
    <t>Société 2491</t>
  </si>
  <si>
    <t>Société 2492</t>
  </si>
  <si>
    <t>Société 2493</t>
  </si>
  <si>
    <t>Société 2495</t>
  </si>
  <si>
    <t>Société 2496</t>
  </si>
  <si>
    <t>Min Qte</t>
  </si>
  <si>
    <t>Bouffadou / tisonnier forgé à la main avec poignées en teck (carton de 10)</t>
  </si>
  <si>
    <t>Bol à céréales motif poisson /coloris bleu (conditionné par 8)</t>
  </si>
  <si>
    <t>Bol à céréales motif poisson /coloris écru (conditionné par 8)</t>
  </si>
  <si>
    <t>Bol à céréales motif poisson /coloris vert (conditionné par 8)</t>
  </si>
  <si>
    <t>Bol à céréales motif poisson /coloris turquoise (conditionné par 8)</t>
  </si>
  <si>
    <t>Bol à céréales motif poisson /coloris jaune (conditionné par 8)</t>
  </si>
  <si>
    <t>Grand saladier motif poisson / coloris bleu</t>
  </si>
  <si>
    <t>Grand saladier motif poisson / coloris écru</t>
  </si>
  <si>
    <t>Grand saladier motif poisson / coloris vert</t>
  </si>
  <si>
    <t>Grand saladier motif poisson / coloris jaune</t>
  </si>
  <si>
    <t>Jarre motif poisson coloris bleu</t>
  </si>
  <si>
    <t>Jarre motif poisson coloris écru</t>
  </si>
  <si>
    <t>Dessous de plat coloris bleu motif poisson (conditionné par 8)</t>
  </si>
  <si>
    <t>Dessous de plat coloris écru moif poisson (conditionné par 8)</t>
  </si>
  <si>
    <t>Dessous de plat coloris vert motif poisson (conditionné par 8)</t>
  </si>
  <si>
    <t>Dessous de plat coloris jaune motif poisson (conditionné par 8)</t>
  </si>
  <si>
    <t>IDLCOC02</t>
  </si>
  <si>
    <t>set de 2 cuillères en bois de cocotier</t>
  </si>
  <si>
    <t>IDLP141RW</t>
  </si>
  <si>
    <t>Pot à suspendre en terre cuite marron imperméabilisée (conditionné par 4)</t>
  </si>
  <si>
    <t>IDLV04</t>
  </si>
  <si>
    <t>Corbeille bois + rotin</t>
  </si>
  <si>
    <t>Set de table oval en herbes des rizières</t>
  </si>
  <si>
    <t>IDLV21</t>
  </si>
  <si>
    <t>Rond de serviette ovale en herbes des rizières</t>
  </si>
  <si>
    <t>Set de table rond tressé avec motif géométrique en herbes des rizières</t>
  </si>
  <si>
    <t>Set de table rond en rotin + herbes des rizières</t>
  </si>
  <si>
    <t>IDLV43</t>
  </si>
  <si>
    <t>Sac de plage en herbes des rizières avec doublure + poche intérieure avec zip</t>
  </si>
  <si>
    <t>IDLV44</t>
  </si>
  <si>
    <t>Sac à main en herbes des rizières avec doublure + poche intérieure avec zip</t>
  </si>
  <si>
    <t>IDLV45</t>
  </si>
  <si>
    <t>Petit sac à main en herbes des rizières avec doublure</t>
  </si>
  <si>
    <t>IDYBV010</t>
  </si>
  <si>
    <t>Coquillage décoratif "Nautilus" sur socle bois + tige métal</t>
  </si>
  <si>
    <t>Cahier en tige de cocotier avec reliure cuir</t>
  </si>
  <si>
    <t>IDYL14</t>
  </si>
  <si>
    <t>Lampe design base inox et abat-jour avec régulateur/interrupteur fonctionnant "au toucher"</t>
  </si>
  <si>
    <t>IDYP15</t>
  </si>
  <si>
    <t>Plat sushi carré en terre cuite avec habillage en jacinthe + rotin</t>
  </si>
  <si>
    <t>IDYSP14</t>
  </si>
  <si>
    <t>Sculpture de Sinopati en pierre de sable avec encadrement bois pour accroche mural</t>
  </si>
  <si>
    <t>IDYSP15</t>
  </si>
  <si>
    <t>Sculpture de Bouddha assis en pierre de sable avec encadrement bois pour accroche mural</t>
  </si>
  <si>
    <t>IDYSP16</t>
  </si>
  <si>
    <t>Sculpture de Tête de bouddha en pierre de sable avec encadrement bois pour accroche mural</t>
  </si>
  <si>
    <t>IDYTCG01</t>
  </si>
  <si>
    <t>Table à manger (pieds démontables) en tek + placage d'écorce de cannelle (odorant!!)</t>
  </si>
  <si>
    <t>IDYTM06B</t>
  </si>
  <si>
    <t>Miroir carré en noix de coco motif vague</t>
  </si>
  <si>
    <t>Table à manger (pieds démontables) en tek + placage de pierre de rivière</t>
  </si>
  <si>
    <t>IDYTRS02</t>
  </si>
  <si>
    <t>Table basse (pieds démontables) en tek + placage de pierre de rivière</t>
  </si>
  <si>
    <t>IDYTRS04</t>
  </si>
  <si>
    <t>Meuble télé 2 portes + 1 étagère + 4 tiroirs en tek + placage de pierre de rivière</t>
  </si>
  <si>
    <t>IDYV4</t>
  </si>
  <si>
    <t>Corbeille à papier en feuille de cacaoyer</t>
  </si>
  <si>
    <t>Ancien pot à lait tribal en tek / en assortiment vendu à l'unité</t>
  </si>
  <si>
    <t>Ancienne pelle à riz en tek / en assortiment vendu à l'unité</t>
  </si>
  <si>
    <t>Ancien plateau de jeu du Kerala en tek (idéal en bougeoir) / en assortiment (conditionné par 2)</t>
  </si>
  <si>
    <t>INBAN006</t>
  </si>
  <si>
    <t>Ancien plateau de jeu du Tamil Nadu en tek (idéal en bougeoir) / en assortiment (conditionné par 2)</t>
  </si>
  <si>
    <t>Ancien pilulier en métal / en assortiment vendu à l'unité</t>
  </si>
  <si>
    <t>INBAN012</t>
  </si>
  <si>
    <t>Ancien panier à offrandes en cuivre (conditionné par 2)</t>
  </si>
  <si>
    <t>Cendrier fait à partir d'ancien bracelet en cuivre (conditionné par 2)</t>
  </si>
  <si>
    <t>Ancien ornement en tête de cheval en tek sculpté / en assortiment vendu à l'unité</t>
  </si>
  <si>
    <t>INBAN016</t>
  </si>
  <si>
    <t>Lampe à huile indienne en cuivre</t>
  </si>
  <si>
    <t>Lampe à huile "Aladin" en cuivre</t>
  </si>
  <si>
    <t>Ancien bol à opium en tek ciselé / en assortiment (conditionné par 2)</t>
  </si>
  <si>
    <t>Ancien rouleau à chapati peint à la main / assortiment de taille et de coloris</t>
  </si>
  <si>
    <t>Ancien bol à tika en bois sculpté / en assortiment (conditionné par 2)</t>
  </si>
  <si>
    <t>Ancien linteau de porte du Kerala sculpté monté en patère</t>
  </si>
  <si>
    <t>Ancien pot à lait sculpté en tek birman / idéal en vase (en assortiment)</t>
  </si>
  <si>
    <t>Ancien pot de mesure en 1 seule pièce de bois / en assortiment</t>
  </si>
  <si>
    <t>INBAN050</t>
  </si>
  <si>
    <t>Ancien bac à linge en tek birman</t>
  </si>
  <si>
    <t>Ancien seau à glace en métal émaillé / en assortiment</t>
  </si>
  <si>
    <t>Ancien saladier en métal émaillé / en assortiment</t>
  </si>
  <si>
    <t>Ancienne assiette en métal émaillé / en assortiment</t>
  </si>
  <si>
    <t>Tête de bouddha en cuivre</t>
  </si>
  <si>
    <t>Ancien plateau de jeu en bois du Tamil nadu / en assortiment</t>
  </si>
  <si>
    <t>Ancienne boite en tek birman entièrement ciselé / en assortiment</t>
  </si>
  <si>
    <t>INBAN059</t>
  </si>
  <si>
    <t>Bougeoir chauffe plat "lotus" en marbre</t>
  </si>
  <si>
    <t>Ancien poids de mesure en fonte / grand modèle</t>
  </si>
  <si>
    <t>INBAN065</t>
  </si>
  <si>
    <t>Ancien poids de mesure en fonte / petit modèle</t>
  </si>
  <si>
    <t>Statuette Ganesh "jumbo" en résine / petit modèle</t>
  </si>
  <si>
    <t>Statuette Ganesh "jumbo" en résine / grand modèle</t>
  </si>
  <si>
    <t>INBAN075</t>
  </si>
  <si>
    <t>Ancien éléphant sculpté en bois de rose</t>
  </si>
  <si>
    <t>Set de couverts à salade en corne de buffle et manche simple en os (conditionné par 2)</t>
  </si>
  <si>
    <t>INC03</t>
  </si>
  <si>
    <t>Set de couverts à salade en corne de buffle et manche strié en os (conditionné par 2)</t>
  </si>
  <si>
    <t>Set de couverts à salade en palissandre et manche os de buffle avec motif blanc (conditionné par 2)</t>
  </si>
  <si>
    <t>INC19</t>
  </si>
  <si>
    <t>Set de couverts à salade en palissandre et manche strié (conditionné par 2)</t>
  </si>
  <si>
    <t>Set de couverts à salade en palissandre et manche en os moucheté (conditionné par 2)</t>
  </si>
  <si>
    <t>INF067</t>
  </si>
  <si>
    <t>Ancienne ornementation murale tête de cheval en tek birman avec patine d'origine</t>
  </si>
  <si>
    <t>Grand plateau en métal peint à la main motif pieds de Krishna</t>
  </si>
  <si>
    <t>INF134</t>
  </si>
  <si>
    <t>Ancienne porte en tek birman avec clapet supérieur avec 3 panneaux vitrés</t>
  </si>
  <si>
    <t>Cadre photo en lattes de tek polychromé / taille photo 10 x 15 cm</t>
  </si>
  <si>
    <t>INF170</t>
  </si>
  <si>
    <t>Ancienne rambarde en tek birman et fer forgé</t>
  </si>
  <si>
    <t>INFA008</t>
  </si>
  <si>
    <t>Penderie  en palissandre avec façade en ancienne fenêtre en tek birman</t>
  </si>
  <si>
    <t>INFA032</t>
  </si>
  <si>
    <t>Ancien coffre fort en fonte peint à la main sur piétement 1 tiroir en tek birman / pièce d'exception</t>
  </si>
  <si>
    <t>INFA036</t>
  </si>
  <si>
    <t>ING007</t>
  </si>
  <si>
    <t>Oiseau décoratif fait à partir d'un coquillage serti de métal ciselé</t>
  </si>
  <si>
    <t>INHK015</t>
  </si>
  <si>
    <t>Ancienne charrette en tek birman + assise en corde / pièce d'exception</t>
  </si>
  <si>
    <t>Petite boite métal avec pinceau et peinture</t>
  </si>
  <si>
    <t>Ancien étui métal peint pour boite d'allumettes / marque Passing show</t>
  </si>
  <si>
    <t>Ancien étui métal peint pour boite d'allumettes / marque hindi</t>
  </si>
  <si>
    <t>Patère éléphant 6 crochets en manguier (conditionnée par 2 )</t>
  </si>
  <si>
    <t>Patère 2 éléphants en manguier peint à la main (conditionnée par lot de 4 couleurs)</t>
  </si>
  <si>
    <t>Patère 4 éléphants en manguier peint à la main (conditionnée par lot de 4 couleurs)</t>
  </si>
  <si>
    <t>Presse-livre 1 éléphant en manguier peint à la main / coloris fond noir ( prix pour la paire)</t>
  </si>
  <si>
    <t>Presse-livre 1 éléphant en manguier peint à la main / coloris fond bleu ( prix pour la paire)</t>
  </si>
  <si>
    <t>INJOB562</t>
  </si>
  <si>
    <t>Carreau de céramique peint à la main motif éléphant</t>
  </si>
  <si>
    <t>Petit éléphant décoratif en manguier peint à la main (conditionné par lot de 4 couleurs)</t>
  </si>
  <si>
    <t>INJOBL205</t>
  </si>
  <si>
    <t>Miroir en fer forgé avec double patère</t>
  </si>
  <si>
    <t>INJOBL206</t>
  </si>
  <si>
    <t>Bougeoir d'angle mural en fer forgé</t>
  </si>
  <si>
    <t>INJOBL90</t>
  </si>
  <si>
    <t>Panier ancien en bambou</t>
  </si>
  <si>
    <t>Miroir en manguier avec frise en moucharabieh (conditionné par 2)</t>
  </si>
  <si>
    <t>Ancienne roue de métier à tisser en tek birman transformée en miroir</t>
  </si>
  <si>
    <t>INJOBP076</t>
  </si>
  <si>
    <t>Saladier / coupe à fruit  en manguier et pourtour en laiton (conditionné par 2)</t>
  </si>
  <si>
    <t>INJOBP077</t>
  </si>
  <si>
    <t>INJOBP117</t>
  </si>
  <si>
    <t>Ancien grand pressoir à agrumes en tek birman</t>
  </si>
  <si>
    <t>Ancien petit pressoir à agrumes en tek birman</t>
  </si>
  <si>
    <t>Ancienne louche de cuisine en tek birman</t>
  </si>
  <si>
    <t>Ancien pot à épices en tek birman (conditionné par 2)</t>
  </si>
  <si>
    <t>Boite à barbier patinée bleue</t>
  </si>
  <si>
    <t>Boite à barbier patinée verte</t>
  </si>
  <si>
    <t>Boite à barbier patinée jaune</t>
  </si>
  <si>
    <t>INJOBP203</t>
  </si>
  <si>
    <t>Ancien semoir sculpté en tek birman transformé en bougeoir</t>
  </si>
  <si>
    <t>INJOBP205</t>
  </si>
  <si>
    <t>Boite à épices carrée sculptée en tek birman / assortiments de motifs</t>
  </si>
  <si>
    <t>INJOBP235B</t>
  </si>
  <si>
    <t>Ancienne boite funéraire avec vache sacrée sculptée en tek birman</t>
  </si>
  <si>
    <t>INJOBP235H</t>
  </si>
  <si>
    <t>Ancienne natte en cannelure finement tressée avec pourtour en feutrine</t>
  </si>
  <si>
    <t>Frise de mariage en patchwork de tissu / petit modèle</t>
  </si>
  <si>
    <t>Frise de mariage en patchwork de tissu / grand modèle</t>
  </si>
  <si>
    <t>INJOBP369TT</t>
  </si>
  <si>
    <t>Ancien "tiffin" en cuivre (quart indien servant à transporter le repas)</t>
  </si>
  <si>
    <t>INJOBP369Y</t>
  </si>
  <si>
    <t>Ancienne tête Rajput en fonte / pièce d'exception</t>
  </si>
  <si>
    <t>INJOBP400</t>
  </si>
  <si>
    <t>Ancien pot à huile de temple en cuivre</t>
  </si>
  <si>
    <t>INJOBP419</t>
  </si>
  <si>
    <t>Ancien plat en pierre servant à cuire les œufs (Inde du sud)</t>
  </si>
  <si>
    <t>INJOBP464I</t>
  </si>
  <si>
    <t>Ancienne lampe à huile de temple en cuivre avec chaîne de suspension</t>
  </si>
  <si>
    <t>INJOBP464K</t>
  </si>
  <si>
    <t>Ancien allumoir de temple en cuivre / pièce d'exception</t>
  </si>
  <si>
    <t>Ancienne clochette en cuivre</t>
  </si>
  <si>
    <t>Ancien bloc ciselé en bois utilisé pour l'impression textile</t>
  </si>
  <si>
    <t>INJOBP604</t>
  </si>
  <si>
    <t>Ancienne meule à blé complète avec sa pierre</t>
  </si>
  <si>
    <t>INJOBP616</t>
  </si>
  <si>
    <t>Ancienne boite à bétel "voiture" en cuivre</t>
  </si>
  <si>
    <t>INJOBP617</t>
  </si>
  <si>
    <t>Ancienne boite à bétel "canard" en cuivre</t>
  </si>
  <si>
    <t>Ancien ciseaux de tapissier en cuivre</t>
  </si>
  <si>
    <t>Ancienne boite à épices en tek birman ( en assortiment)</t>
  </si>
  <si>
    <t>INJOBP630</t>
  </si>
  <si>
    <t>Ancienne chaîne ciselé dans 1 seul morceau de bois</t>
  </si>
  <si>
    <t>INJOBP631</t>
  </si>
  <si>
    <t>Ancienne boite "sindoor" en bois avec patine d'origine</t>
  </si>
  <si>
    <t>INJOBP637</t>
  </si>
  <si>
    <t>Ancien pot à riz (parfait en pot à crayon) en tek birman</t>
  </si>
  <si>
    <t>INJOBP651</t>
  </si>
  <si>
    <t>Ancienne fenêtre musulmane en bois montée en miroir / petit modèle</t>
  </si>
  <si>
    <t>Ancienne fenêtre musulmane en bois montée en miroir / moyen modèle</t>
  </si>
  <si>
    <t>Ancienne fenêtre musulmane en bois montée en miroir / grand modèle</t>
  </si>
  <si>
    <t>Ancien seau à glace d'hôtel en tek birman avec intérieur en mélamine</t>
  </si>
  <si>
    <t>INJOBP682R</t>
  </si>
  <si>
    <t>Lustre "karbuja" en verre rouge avec finition métal ciselé</t>
  </si>
  <si>
    <t>INJOBP682Y</t>
  </si>
  <si>
    <t>Lustre "karbuja" en verre orangé avec finition métal ciselé</t>
  </si>
  <si>
    <t>Bouton de porte en céramique (en assortiment par lot de 50) / grande taille</t>
  </si>
  <si>
    <t>Lustre "œuf" en marqueterie de mosaïque colorée avec finition métal cuivré</t>
  </si>
  <si>
    <t>INJOBP687</t>
  </si>
  <si>
    <t>Statuette Ganesh dans son coquillage en cuivre</t>
  </si>
  <si>
    <t>Sculpture Ganesh en manguier (conditionnée par 2)</t>
  </si>
  <si>
    <t>Sculpture Ganesh en manguier patinée en assortiment de couleurs (conditionnée par 2)</t>
  </si>
  <si>
    <t>Ancien pot / louche à riz en tek birman / grand modèle</t>
  </si>
  <si>
    <t>INK044</t>
  </si>
  <si>
    <t>Set de 2 colonnes semi-circulaires en tek birman avec base en pierre</t>
  </si>
  <si>
    <t>Ancienne boite à épices en tek birman ciselé / assortiment</t>
  </si>
  <si>
    <t>INK091</t>
  </si>
  <si>
    <t>Ancienne porte en tek birman avec clapet supérieur vitré</t>
  </si>
  <si>
    <t>INK122</t>
  </si>
  <si>
    <t>Ancienne plaque en fonte décorative avec cadre en tek birman</t>
  </si>
  <si>
    <t>INKB11</t>
  </si>
  <si>
    <t>Ancien pot à riz cachemiri entièrement sculptée en cuivre / pièce d'exception</t>
  </si>
  <si>
    <t>INKPM010</t>
  </si>
  <si>
    <t>Boite à bijoux en bois peinte à la main avec finition à l'or fin / intérieur feutré noir</t>
  </si>
  <si>
    <t>INKPM08</t>
  </si>
  <si>
    <t>Bougeoir carré 1 bougie chauffe-plat en bois peint à la main</t>
  </si>
  <si>
    <t>INMA003</t>
  </si>
  <si>
    <t>Ancienne colonne en tek birman avec corbeau rectangulaire sculpté (prix unitaire mais vendu par paire uniquement)</t>
  </si>
  <si>
    <t>INMA004</t>
  </si>
  <si>
    <t>Ancienne colonne en tek birman avec corbeau rectangulaire sculpté (vendu par paire / prix unitaire) / patine verte d'origine</t>
  </si>
  <si>
    <t>INMA008</t>
  </si>
  <si>
    <t>Ancienne porte en tek birman</t>
  </si>
  <si>
    <t>INMA010</t>
  </si>
  <si>
    <t>Buste de femme sculpté en pierre (ancien promontoire mural) / idéal en patère</t>
  </si>
  <si>
    <t>INMA011</t>
  </si>
  <si>
    <t>Panneau bois peint avec divinités indiennes sculptées (en assortiment)</t>
  </si>
  <si>
    <t>INMA012</t>
  </si>
  <si>
    <t>Ancienne statue d'ornement architectural en tek birman avec accroche murale</t>
  </si>
  <si>
    <t>INMA026</t>
  </si>
  <si>
    <t>Ancienne statuette d'animaux en cuivre (en assortiment)</t>
  </si>
  <si>
    <t>INMA05</t>
  </si>
  <si>
    <t>Jarre Obelisque en cuivre patiné à l'ancienne</t>
  </si>
  <si>
    <t>Lampe de bureau "architecte" ajustable en cuivre patiné à l'ancienne</t>
  </si>
  <si>
    <t>Lampe "melon" en cuivre patiné à l'ancienne abat-jour inclus</t>
  </si>
  <si>
    <t>INMF03</t>
  </si>
  <si>
    <t>Tuteur colibri</t>
  </si>
  <si>
    <t>INMF05</t>
  </si>
  <si>
    <t>Tuteur grenouille</t>
  </si>
  <si>
    <t>Ancienne gourde de chamelier en terre cuite / en assortiment vendu à l'unité</t>
  </si>
  <si>
    <t>Ancienne laitière en métal</t>
  </si>
  <si>
    <t>INMI126</t>
  </si>
  <si>
    <t>Ancien sculpture murale ciselée en tek birman provenant de la province d'Orissa</t>
  </si>
  <si>
    <t>INMI129</t>
  </si>
  <si>
    <t>INMI136</t>
  </si>
  <si>
    <t>INMI138</t>
  </si>
  <si>
    <t>INMI143</t>
  </si>
  <si>
    <t>INMI148</t>
  </si>
  <si>
    <t>INMI150</t>
  </si>
  <si>
    <t>INMI151</t>
  </si>
  <si>
    <t>INMI152</t>
  </si>
  <si>
    <t>INMI153</t>
  </si>
  <si>
    <t>INMI154</t>
  </si>
  <si>
    <t>INMI155</t>
  </si>
  <si>
    <t>INMI159</t>
  </si>
  <si>
    <t>INMI160</t>
  </si>
  <si>
    <t>INMI161</t>
  </si>
  <si>
    <t>INMI163</t>
  </si>
  <si>
    <t>Bougeoir mini lustre "karbuja" en verre bleu (avec receptacle pour bougie chauffe-plat)</t>
  </si>
  <si>
    <t>Bougeoir mini lustre "karbuja" en verre rouge (avec receptacle pour bougie chauffe-plat)</t>
  </si>
  <si>
    <t>Bougeoir cone en verre bleu et métal ciselé (pour bougie chauffe-plat)</t>
  </si>
  <si>
    <t>Bougeoir cone en verre rouge et métal ciselé (pour bougie chauffe-plat)</t>
  </si>
  <si>
    <t>INMO012</t>
  </si>
  <si>
    <t>Sucrier en verre transparent craquelé et métal ciselé</t>
  </si>
  <si>
    <t>INMO015</t>
  </si>
  <si>
    <t>Saladier / coupe en verre craquelé et métal ciselé</t>
  </si>
  <si>
    <t>INMO016</t>
  </si>
  <si>
    <t>Bougeoir lanterne en métal ciselé avec habillage mosaïque + perles colorées</t>
  </si>
  <si>
    <t>INMO022R</t>
  </si>
  <si>
    <t>Bouton de porte "Ganesh" en céramique rouge (conditionné par sachet de 20)</t>
  </si>
  <si>
    <t>INMO022W</t>
  </si>
  <si>
    <t>Bouton de porte "Ganesh" en céramique blanche (conditionné par sachet de 20)</t>
  </si>
  <si>
    <t>Bouton de porte "éléphant" en céramique turquoise (conditionné par sachet de 25)</t>
  </si>
  <si>
    <t>Bouton de porte en bois naturel (conditionné par sachet de 25)</t>
  </si>
  <si>
    <t>INMO034</t>
  </si>
  <si>
    <t>Boite en bois avec 6 sous-verre en carreau de céramique peinte à la main motif éléphant</t>
  </si>
  <si>
    <t>Boite en bois avec 6 sous-verre en carreau de céramique peinte à la main motif floral</t>
  </si>
  <si>
    <t>INRA024</t>
  </si>
  <si>
    <t>Ancienne parure de mariage pour cheval / pièce d'exception</t>
  </si>
  <si>
    <t>INRA104</t>
  </si>
  <si>
    <t>Ancien vaisselier tribal en tek birman avec polychrome vert d'origine</t>
  </si>
  <si>
    <t>INRA192</t>
  </si>
  <si>
    <t>Ancien étui à cigarette en cuivre</t>
  </si>
  <si>
    <t>INRA210</t>
  </si>
  <si>
    <t>Ancien shilom en bois et cuivre / en assortiment vendu à l'unité</t>
  </si>
  <si>
    <t>INRA213</t>
  </si>
  <si>
    <t>Ancien étui à cigarette en cuivre / en assortiment vendu à l'unité</t>
  </si>
  <si>
    <t>INRA305</t>
  </si>
  <si>
    <t>Armoirette de salle de bain en tek birman avec 1 miroir + 1 tiroir</t>
  </si>
  <si>
    <t>INRA307I</t>
  </si>
  <si>
    <t>Ancien buffet en tek avec 3 portes + 3 tiroirs</t>
  </si>
  <si>
    <t>INRA336</t>
  </si>
  <si>
    <t>Ancien lit pliant en tek</t>
  </si>
  <si>
    <t>KP012</t>
  </si>
  <si>
    <t>Ancien "charpoy" avec gros pieds ronds polychromés converti en table basse</t>
  </si>
  <si>
    <t>Pelle à cendres pour cheminée en fer forgé main et manche en tek (carton de 4)</t>
  </si>
  <si>
    <t>Pince de cheminée forgée main (carton de 4)</t>
  </si>
  <si>
    <t>FACTURES du</t>
  </si>
  <si>
    <t>au</t>
  </si>
  <si>
    <t>NO_Datefacture</t>
  </si>
  <si>
    <t>NO_DateEcheance</t>
  </si>
  <si>
    <t>NO_Decalage_Date_fact</t>
  </si>
  <si>
    <t>NO_Decalage_DateEch</t>
  </si>
  <si>
    <t>Date Facture</t>
  </si>
  <si>
    <t>Date Echeance Fact</t>
  </si>
  <si>
    <t>Date Échéance</t>
  </si>
  <si>
    <t>Prix Ex Works</t>
  </si>
  <si>
    <t>DescriptionProduit</t>
  </si>
  <si>
    <t>Prixrevient</t>
  </si>
  <si>
    <t>ARCHYS</t>
  </si>
  <si>
    <t>Tabouret de bar tournant en métal et bois recyclé polychromé</t>
  </si>
  <si>
    <t>EMI001</t>
  </si>
  <si>
    <t>Ancienne vitrine en tek birman avec 2 portes vitrées coulissantes et son marquage "Air voice" et sa patine verte d'origine</t>
  </si>
  <si>
    <t>EMI002</t>
  </si>
  <si>
    <t>Bar en bois polychromé recyclé avec arrondi vitré</t>
  </si>
  <si>
    <t>EMI003</t>
  </si>
  <si>
    <t>Ancien vaisselier en tek birman 2 portes vitrées avec sa patine verte d'origine</t>
  </si>
  <si>
    <t>EMI004</t>
  </si>
  <si>
    <t>Ancien garde-manger en tek birman avec 2 double portes vitrées et sa patine turquoise d'origine</t>
  </si>
  <si>
    <t>EMI005</t>
  </si>
  <si>
    <t>Ancienne étagère de cuisine en tek birman avec sa patine turquoise d'origine</t>
  </si>
  <si>
    <t>Iran</t>
  </si>
  <si>
    <t>Vase motif poisson / coloris bleu (conditionné en carton individuel)</t>
  </si>
  <si>
    <t>Vase bleu motif poisson avec socle (conditionné en carton individuel)</t>
  </si>
  <si>
    <t>Vase motif poisson / coloris écru (conditionné en carton individuel)</t>
  </si>
  <si>
    <t>Vase motif poisson / coloris vert  (conditionné en carton individuel)</t>
  </si>
  <si>
    <t>Vase motif poisson / coloris jaune (conditionné en carton individuel)</t>
  </si>
  <si>
    <t>Petit carreau (idéal en sous-verre) bleu motif poisson (conditionné par 32)</t>
  </si>
  <si>
    <t>Petit carreau (idéal en sous-verre) écru motif poisson (conditionné par 32)</t>
  </si>
  <si>
    <t>Petit carreau (idéal en sous-verre) coloris vert motif poisson (conditionné par 32)</t>
  </si>
  <si>
    <t>Petit carreau (idéal en sous-verre) coloris jaune motif poisson (conditionné par 32)</t>
  </si>
  <si>
    <t>IC9</t>
  </si>
  <si>
    <t>Magnet pour frigidaire en céramique peinte à la main - assortiment de coloris - (conditionné par boite de 26 ex)</t>
  </si>
  <si>
    <t>Ancien brûleur à suspendre en tek</t>
  </si>
  <si>
    <t>INK143</t>
  </si>
  <si>
    <t>Ancien coffre tribal en tek avec façade en marqueterie laiton et sa patine bleue  d'origine</t>
  </si>
  <si>
    <t>INK144</t>
  </si>
  <si>
    <t>Ancien bureau en tek avec 4 étagères + 1 tiroir</t>
  </si>
  <si>
    <t>INK146</t>
  </si>
  <si>
    <t>Ancienne chaise en tek pliable avec sa patine bleue  d'origine ( plusieurs pièces en stock)</t>
  </si>
  <si>
    <t>INK147A</t>
  </si>
  <si>
    <t>INK147B</t>
  </si>
  <si>
    <t>INK147C</t>
  </si>
  <si>
    <t>INK147D</t>
  </si>
  <si>
    <t>INK148A</t>
  </si>
  <si>
    <t>INK148B</t>
  </si>
  <si>
    <t>INK148C</t>
  </si>
  <si>
    <t>INK148D</t>
  </si>
  <si>
    <t>INK148E</t>
  </si>
  <si>
    <t>INK148F</t>
  </si>
  <si>
    <t>INK149</t>
  </si>
  <si>
    <t>Ancien pot à eau "matka" en métal</t>
  </si>
  <si>
    <t>INK150</t>
  </si>
  <si>
    <t>Ancien garde-manger en tek avec 2 portes vitrées + 1 étagère basse et sa patine orange d'origine</t>
  </si>
  <si>
    <t>INK151</t>
  </si>
  <si>
    <t>Ancien vaisselier en tek avec 4 portes ( 6 vitres) + 2 tiroirs + 1 corniche supérieure</t>
  </si>
  <si>
    <t>INK152</t>
  </si>
  <si>
    <t>Ancien vaisselier en tek avec 2 portes ( 2 vitres) + 1 corniche supérieure</t>
  </si>
  <si>
    <t>INK153</t>
  </si>
  <si>
    <t>Ancien vaisselier en tek avec 1 porte ( 5 vitres) + 1 corniche supérieure et sa patine turquoise et jaune d'origine</t>
  </si>
  <si>
    <t>INK154</t>
  </si>
  <si>
    <t>Ancien vaisselier en tek avec 2 portes ( 12 vitres) + 1 corniche supérieure</t>
  </si>
  <si>
    <t>INK155</t>
  </si>
  <si>
    <t>Ancien vaisselier en tek avec 2 portes ( 4 vitres) + 1 corniche supérieure et sa patine bleue  d'origine</t>
  </si>
  <si>
    <t>INK156</t>
  </si>
  <si>
    <t>Ancien vaisselier en tek avec 2 portes ( 6 vitres) + 2 tiroirs + 1 corniche supérieure et sa patine turquoise d'origine</t>
  </si>
  <si>
    <t>INK157</t>
  </si>
  <si>
    <t>Ancien pupitre et chaise d'écolier en tek ( prix du set chaise + pupitre)</t>
  </si>
  <si>
    <t>INK158</t>
  </si>
  <si>
    <t>Ancienne commode en tek avec 5 tiroirs</t>
  </si>
  <si>
    <t>INK159</t>
  </si>
  <si>
    <t>Ancienne commode en tek avec 4 tiroirs</t>
  </si>
  <si>
    <t>INK160</t>
  </si>
  <si>
    <t>Ancienne table basse en tek avec 2 tiroirs</t>
  </si>
  <si>
    <t>INK161</t>
  </si>
  <si>
    <t>Ancienne table basse en tek avec 3 tiroirs</t>
  </si>
  <si>
    <t>INK162</t>
  </si>
  <si>
    <t>INK163</t>
  </si>
  <si>
    <t>Ancienne commode en tek avec 3 tiroirs</t>
  </si>
  <si>
    <t>INK164</t>
  </si>
  <si>
    <t>Ancien vaisselier double corps en tek avec 5 portes ( 12 vitres) + 3 tiroirs / légèrement cérusé écru</t>
  </si>
  <si>
    <t>INK165</t>
  </si>
  <si>
    <t>Ancien étagère d'angle en tek avec 2 portes vitrées</t>
  </si>
  <si>
    <t>INK166</t>
  </si>
  <si>
    <t>Ancien banc-pupitre d'écolier en tek avec structure métallique</t>
  </si>
  <si>
    <t>INK167</t>
  </si>
  <si>
    <t>Ancien meuble radio en tek avec 3 portes vitrées / porte vitrée supérieure coulissante-escamotable/ idéal en meuble hi-fi / clapets arrière prévus pour passage fils</t>
  </si>
  <si>
    <t>INK168</t>
  </si>
  <si>
    <t>Ancien meuble bas en tek avec 2 étagères + 6 tiroirs / idéal en meuble télé / clapets arrière prévus pour passage fils</t>
  </si>
  <si>
    <t>INK169</t>
  </si>
  <si>
    <t>Ancien meuble à chaussures en tek / idéal au pied au pied d'un lit double</t>
  </si>
  <si>
    <t>INK170</t>
  </si>
  <si>
    <t>Ancienne table basse en tek</t>
  </si>
  <si>
    <t>INK171</t>
  </si>
  <si>
    <t>Ancien étagère 4 niveaux en tek</t>
  </si>
  <si>
    <t>INK172</t>
  </si>
  <si>
    <t>Coffre fait à partir de bois recyclé polychromé et de frises et pièces d'architecture / assortiment de modèles et couleurs</t>
  </si>
  <si>
    <t>INK173</t>
  </si>
  <si>
    <t>Ancien vaisselier en tek avec 2 portes ( 4 vitres) et sa patine écrue d'origine</t>
  </si>
  <si>
    <t>INK174A</t>
  </si>
  <si>
    <t>Table basse en tek avec frises latérales et plateau en bois recyclé avec sa patine turquoise d'origine</t>
  </si>
  <si>
    <t>INK174B</t>
  </si>
  <si>
    <t>Table basse en tek avec frises latérales et plateau en bois recyclé avec sa patine d'origine</t>
  </si>
  <si>
    <t>INK174C</t>
  </si>
  <si>
    <t>Table basse en tek avec frises "éléphant" latérales et plateau en bois recyclé avec sa patine verte d'origine</t>
  </si>
  <si>
    <t>INK175</t>
  </si>
  <si>
    <t>Ancienne étagère murale en tek birman avec 1 porte vitrée</t>
  </si>
  <si>
    <t>INK177</t>
  </si>
  <si>
    <t>Ancien coffre en tek birman avec sa patine verte et rouge d'origine</t>
  </si>
  <si>
    <t>INK178</t>
  </si>
  <si>
    <t>Bibliothèque en métal avec portes en bois polychromé recyclé</t>
  </si>
  <si>
    <t>INK180</t>
  </si>
  <si>
    <t>Ancien coffre tribal de "Jaisalmer"</t>
  </si>
  <si>
    <t>INK181</t>
  </si>
  <si>
    <t>Ancien seau de mesure en métal avec patine verte</t>
  </si>
  <si>
    <t>INK182</t>
  </si>
  <si>
    <t>Ancienne chaise de cinéma en bois pliante avec polychrome d'origine</t>
  </si>
  <si>
    <t>INK183</t>
  </si>
  <si>
    <t>Ancienne petite table à thé "bajoot" en tek birman avec sa patine turquoise d'origine</t>
  </si>
  <si>
    <t>INK184</t>
  </si>
  <si>
    <t>Ancienne bibliothèque en tek birman avec sa patine turquoise d'origine</t>
  </si>
  <si>
    <t>INK185</t>
  </si>
  <si>
    <t>Ancien volet bois polychromé transformé en bougeoir mural / assortiment</t>
  </si>
  <si>
    <t>INK186</t>
  </si>
  <si>
    <t>Ancien pot à lait en métal avec patine d'origine / assortiment</t>
  </si>
  <si>
    <t>INK187</t>
  </si>
  <si>
    <t>Ancien meuble d'administration en tek birman avec ses 48 tiroirs</t>
  </si>
  <si>
    <t>INK188</t>
  </si>
  <si>
    <t>Ancien buffet en tek birman avec 3 portes + 2 tiroirs et sa patine rose-écrue d'origine</t>
  </si>
  <si>
    <t>INK189</t>
  </si>
  <si>
    <t>Ancien vaisselier en tek birman avec 6 panneaux vitrés et son fond de patine rouge d'origine</t>
  </si>
  <si>
    <t>INK190</t>
  </si>
  <si>
    <t>Ancien vaisselier en tek birman avec 8 panneaux vitrés + 2 tiroirs et sa patine verte d'origine</t>
  </si>
  <si>
    <t>INK191</t>
  </si>
  <si>
    <t>Ancien vaisselier en tek birman avec 4 panneaux vitrés + étagères supérieures + rack à Tali (12 plats à Tali en métal inclus)</t>
  </si>
  <si>
    <t>INK192</t>
  </si>
  <si>
    <t>Ancien vaisselier en tek birman avec 2 panneaux vitrés et sa patine écrue d'origine</t>
  </si>
  <si>
    <t>INK194</t>
  </si>
  <si>
    <t>Ancien vaisselier tribal "Bandara" en tek birman avec 2 double portes + 2 tiroirs + 2 tiroirs secrets intérieurs et sa patine bleue et verte d'origine</t>
  </si>
  <si>
    <t>INK195</t>
  </si>
  <si>
    <t>Ancien vaisselier en tek birman avec 2 portes vitrées + 1 frise en faïence et sa patine verte + jaune + rose d'origine</t>
  </si>
  <si>
    <t>INK196</t>
  </si>
  <si>
    <t>Ancien vaisselier en tek birman avec 2 double portes et sa patine écrue d'origine</t>
  </si>
  <si>
    <t>INK198</t>
  </si>
  <si>
    <t>Miroir avec cadre en bois polychromé / grand modèle / assortiment de coloris</t>
  </si>
  <si>
    <t>INK199</t>
  </si>
  <si>
    <t>Miroir avec cadre en bois polychromé / moyen modèle / assortiment de coloris</t>
  </si>
  <si>
    <t>INK201</t>
  </si>
  <si>
    <t>Ancien vaisselier en tek birman avec 2 panneaux vitrés et sa patine bleue d'origine</t>
  </si>
  <si>
    <t>INK202</t>
  </si>
  <si>
    <t>Ancien vaisselier en tek birman avec sa patine jaune et verte d'origine</t>
  </si>
  <si>
    <t>INK203</t>
  </si>
  <si>
    <t>Ancien tabouret tournant d'atelier en métal + bois</t>
  </si>
  <si>
    <t>INK204</t>
  </si>
  <si>
    <t>Ancien buffet en tek birman avec 4 portes vitrées fait à partir de bois polychromé recyclé</t>
  </si>
  <si>
    <t>INK205</t>
  </si>
  <si>
    <t>Ancienne coiffeuse "art déco" en tek birman avec 5 tiroirs + miroir rond pivotant</t>
  </si>
  <si>
    <t>INK206</t>
  </si>
  <si>
    <t>Ancienne table à thé "bajoot" en tek birman avec sa patine turquoise d'origine</t>
  </si>
  <si>
    <t>INK207</t>
  </si>
  <si>
    <t>Ancien rack à boissons en tek birman avec sa patine jaune et son marquage d'origine</t>
  </si>
  <si>
    <t>INK208</t>
  </si>
  <si>
    <t>Ancienne meuble de diamantaire en tek birman avec 1 tiroir</t>
  </si>
  <si>
    <t>INK209</t>
  </si>
  <si>
    <t>Ancien tabouret cylindrique en tek birman avec sa patine  d'origine</t>
  </si>
  <si>
    <t>INK210</t>
  </si>
  <si>
    <t>Ancien corbeau ciselé en tek birman avec sa patine jaune d'origine</t>
  </si>
  <si>
    <t>INK212</t>
  </si>
  <si>
    <t>Ancienne étagère murale en tek birman avec 1 porte vitrée et sa patine verte d'origine</t>
  </si>
  <si>
    <t>INK213</t>
  </si>
  <si>
    <t>Ancien vaisselier en tek birman avec 6 panneaux vitrés et sa patine jaune - écrue d'origine</t>
  </si>
  <si>
    <t>INK214</t>
  </si>
  <si>
    <t>Ancien buffet en tek birman avec 3 portes vitrées + &amp; frise de faïence et sa patine turquoise d'origine</t>
  </si>
  <si>
    <t>INK215</t>
  </si>
  <si>
    <t>Ancien vaisselier en tek birman avec 2 portes vitrées + 1 tiroir bas et sa patine verte pistache d'origine</t>
  </si>
  <si>
    <t>INK216</t>
  </si>
  <si>
    <t>Ancien meuble téléphone en tek birman avec 7 panneaux vitrés et sa patine blanche d'origine</t>
  </si>
  <si>
    <t>INK217</t>
  </si>
  <si>
    <t>Ancien vaisselier en tek birman avec 4 portes + partie haute ajourée et sa patine blanche d'origine</t>
  </si>
  <si>
    <t>INK218</t>
  </si>
  <si>
    <t>Ancien meuble téléphone en tek birman avec 6 panneaux vitrés + 1 tiroir + 1 étagère supérieur et sa patine blanche d'origine</t>
  </si>
  <si>
    <t>INMI127</t>
  </si>
  <si>
    <t>Ancien meuble de cireur en tek birman avec 4 portes + 2 tiroirs</t>
  </si>
  <si>
    <t>INMI128</t>
  </si>
  <si>
    <t>Ancien fauteuil de bureau en tek birman</t>
  </si>
  <si>
    <t>Ancienne "cash box" de temple pour donations avec sa patine verte d'origine</t>
  </si>
  <si>
    <t>INMI130</t>
  </si>
  <si>
    <t>Ancienne glacière "Coca-cola" portable en métal</t>
  </si>
  <si>
    <t>INMI131</t>
  </si>
  <si>
    <t>Ancien vaisselier en tek birman avec 2 panneaux vitrés + étagère supérieure et sa patine turquoise d'origine</t>
  </si>
  <si>
    <t>INMI132</t>
  </si>
  <si>
    <t>Ancienne boite métal "collector"</t>
  </si>
  <si>
    <t>Ancienne boite "Chopra" pour tika en laiton</t>
  </si>
  <si>
    <t>INMI134</t>
  </si>
  <si>
    <t>Ancien chevet en tek birman avec 1 porte vitrée et sa patine rouge d'origine</t>
  </si>
  <si>
    <t>Ancienne chaise en tek birman</t>
  </si>
  <si>
    <t>Ancien buffet en tek birman avec 3 portes et 6 panneaux vitrés + 1 frise en faïence et sa patine turquoise d'origine</t>
  </si>
  <si>
    <t>INMI137</t>
  </si>
  <si>
    <t>Ancien vaisselier en tek birman avec 8 panneaux vitrés + 1 étagère supérieure et sa patine turquoise d'origine</t>
  </si>
  <si>
    <t>Ancien vaisselier tribal en tek birman avec 2 portes vitrées en arabesque +1 porte pleine + 2 tiroirs et sa patine rouge d'origine</t>
  </si>
  <si>
    <t>INMI139</t>
  </si>
  <si>
    <t>Ancienne boite cylindrique "collector" en métal</t>
  </si>
  <si>
    <t>INMI140</t>
  </si>
  <si>
    <t>Encoignure en manguier avec volet à lattes avec sa patine verte d'origine</t>
  </si>
  <si>
    <t>INMI141</t>
  </si>
  <si>
    <t>Ancienne fenêtre en tek birman montée en miroir avec sa patine rose d'origine</t>
  </si>
  <si>
    <t>INMI142</t>
  </si>
  <si>
    <t>Ancienne console de machine à écrire en bois de marque Sona</t>
  </si>
  <si>
    <t>Ancien corbeau ciselé en tek birman avec sa patine turquoise d'origine</t>
  </si>
  <si>
    <t>INMI144</t>
  </si>
  <si>
    <t>Ancien tabouret carré en tek birman avec sa patine turquoise d'origine</t>
  </si>
  <si>
    <t>INMI145</t>
  </si>
  <si>
    <t>Ancien pot rond en laiton</t>
  </si>
  <si>
    <t>Ancien vaisselier en tek birman avec 8 panneaux vitrés + 1 étagère supérieure et sa patine verte d'origine</t>
  </si>
  <si>
    <t>Ancienne malle de voyage en métal avec sa patine verte d'origine</t>
  </si>
  <si>
    <t>Ancienne bibliothèque en tek birman avec 6 panneaux vitrés et sa patine jaune d'origine</t>
  </si>
  <si>
    <t>INMI149</t>
  </si>
  <si>
    <t>Ancien buffet en tek birman avec 2 portes + 1 tiroir et sa patine turquoise d'origine</t>
  </si>
  <si>
    <t>Ancien meuble téléphone en tek birman avec 1 porte vitrée + corniche et sa patine bleue-grise d'origine</t>
  </si>
  <si>
    <t>Ancien chevet en tek birman avec 1 porte vitrée + corniche et sa patine rouge d'origine</t>
  </si>
  <si>
    <t>Ancien éventail en coton et soie brodé</t>
  </si>
  <si>
    <t>Ancien vaisselier en tek birman avec 2 panneaux vitrés + 1 tiroir et sa patine verte d'origine</t>
  </si>
  <si>
    <t>Ancien chevet en tek birman avec 1 porte vitrée et sa patine turquoise d'origine</t>
  </si>
  <si>
    <t>Ancien chevet en tek birman avec 1 porte vitrée et sa patine écrue-marron d'origine</t>
  </si>
  <si>
    <t>Ancien chevet en tek birman avec 1 porte vitrée et sa patine verte d'origine</t>
  </si>
  <si>
    <t>Ancienne armoire en tek birman avec 1 porte vitrée + 1 tiroir et sa patine bleue d'origine</t>
  </si>
  <si>
    <t>Ancien berceau transformé en table basse en tek birman avec sa patine rouge d'origine</t>
  </si>
  <si>
    <t>Ancien coffre tribal de "Jaisalmer" avec ferrures</t>
  </si>
  <si>
    <t>Ancienne chaise de cinéma pliante sablée pour une finition métal chromé</t>
  </si>
  <si>
    <t>Ancienne horloge murale coloniale / mécanisme d'horloge neuf à pile AA</t>
  </si>
  <si>
    <t>INMI162</t>
  </si>
  <si>
    <t>Ancienne étagère murale en tek birman avec 1 porte à 3 panneaux vitrés et sa patine marron - écrue d'origine</t>
  </si>
  <si>
    <t>Ancien petit chevet 1 porte avec sa patine verte d'origine</t>
  </si>
  <si>
    <t>INMI164</t>
  </si>
  <si>
    <t>Encoignure en manguier avec volet à lattes et vitré en forme d'arabesque avec sa patine verte d'origine</t>
  </si>
  <si>
    <t>Ancien cadre quintuple avec impressions de divinités et politiciens indiens</t>
  </si>
  <si>
    <t>INRA337</t>
  </si>
  <si>
    <t>Ancien jerrican à eau en métal de l'armée indienne</t>
  </si>
  <si>
    <t>INRA338</t>
  </si>
  <si>
    <t>Ancien vaisselier en tek avec 4 portes ( 2 vitrées) + 1 tiroir et sa patine bleue  d'origine</t>
  </si>
  <si>
    <t>INRA339A</t>
  </si>
  <si>
    <t>Ancien vaisselier en tek avec 2 portes ( 4 vitres) + 1 corniche supérieure et sa patine verte d'origine</t>
  </si>
  <si>
    <t>INRA339B</t>
  </si>
  <si>
    <t>INRA339C</t>
  </si>
  <si>
    <t>Ancien vaisselier en tek avec 2 portes ( 2 vitres) et sa patine turquoise d'origine</t>
  </si>
  <si>
    <t>INRA339D</t>
  </si>
  <si>
    <t>INRA339E</t>
  </si>
  <si>
    <t>Ancien vaisselier en tek avec 2 portes ( 2 vitres) + 1 corniche supérieure et sa patine marron - écrue d'origine</t>
  </si>
  <si>
    <t>INRA340A</t>
  </si>
  <si>
    <t>INRA340B</t>
  </si>
  <si>
    <t>Ancien vaisselier en tek avec 2 portes ( 4 vitres) + 2 tiroirs et sa patine d'origine</t>
  </si>
  <si>
    <t>INRA340C</t>
  </si>
  <si>
    <t>Ancien petit buffet en tek avec 2 portes + 1 tiroir et sa patine bleue  d'origine</t>
  </si>
  <si>
    <t>INRA340D</t>
  </si>
  <si>
    <t>Ancien petit buffet en tek avec 2 portes + 2 tiroirs et sa patine bleue  d'origine</t>
  </si>
  <si>
    <t>INRA340E</t>
  </si>
  <si>
    <t>Ancien petit buffet en tek avec 2 portes et sa patine verte d'origine</t>
  </si>
  <si>
    <t>INRA341A</t>
  </si>
  <si>
    <t>Ancien vaisselier en tek avec 2 portes ( 4 vitres) + 1 corniche supérieure et sa patine bleue  - grise d'origine</t>
  </si>
  <si>
    <t>INRA341B</t>
  </si>
  <si>
    <t>Ancien vaisselier en tek avec 2 portes ( 8 vitres) + 1 corniche supérieure et sa patine bleue  - grise d'origine</t>
  </si>
  <si>
    <t>INRA341C</t>
  </si>
  <si>
    <t>Ancien vaisselier en tek avec sa patine d'origine</t>
  </si>
  <si>
    <t>INRA341D</t>
  </si>
  <si>
    <t>Ancien garde-manger en tek avec 4 portes et sa patine verte d'origine</t>
  </si>
  <si>
    <t>INRA341E</t>
  </si>
  <si>
    <t>Ancienne petite bibliothèque en tek avec 2 portes et côtés en metal  avec sa patine verte d'origine</t>
  </si>
  <si>
    <t>INRA342A</t>
  </si>
  <si>
    <t>Ancien petit vaisselier en tek avec 1 porte vitrée + 1 corniche supérieure et sa patine turquoise d'origine</t>
  </si>
  <si>
    <t>INRA342B</t>
  </si>
  <si>
    <t>INRA342C</t>
  </si>
  <si>
    <t>INRA342D</t>
  </si>
  <si>
    <t>Ancien petit vaisselier en tek avec 1 porte ( 2 vitres) + 1 corniche supérieure et sa patine turquoise d'origine</t>
  </si>
  <si>
    <t>INRA342E</t>
  </si>
  <si>
    <t>Ancien petit vaisselier en tek avec 1 porte vitrée et sa patine turquoise d'origine</t>
  </si>
  <si>
    <t>INRA343</t>
  </si>
  <si>
    <t>Ancien bureau en métal + plateau bois avec 3 tiroirs</t>
  </si>
  <si>
    <t>INRA344</t>
  </si>
  <si>
    <t>Ancien chevet en tek avec 3 tiroirs</t>
  </si>
  <si>
    <t>INRA345</t>
  </si>
  <si>
    <t>Ancien petit bureau en tek avec 1 tiroir</t>
  </si>
  <si>
    <t>INRA346</t>
  </si>
  <si>
    <t>Ancien petit bureau en tek avec 2 tiroirs et sa patine bleue  d'origine</t>
  </si>
  <si>
    <t>INRA347</t>
  </si>
  <si>
    <t>INRA348</t>
  </si>
  <si>
    <t>Ancienne glacière en métal "coca-cola" avec patine d'origine</t>
  </si>
  <si>
    <t>INRA349</t>
  </si>
  <si>
    <t>Ancien banc en tek avec sa patine bleue  - grise d'origine</t>
  </si>
  <si>
    <t>INRA351</t>
  </si>
  <si>
    <t>Ancienne bibliothèque en tek double porte ( 8 vitres) avec sa patine turquoise et blanche d'origine</t>
  </si>
  <si>
    <t>INRA352</t>
  </si>
  <si>
    <t>Ancien garde-manger avec 2 étagères et 2 portes ( 4 vitres) + 1 corniche supérieure et sa patine verte d'origine</t>
  </si>
  <si>
    <t>INRA353</t>
  </si>
  <si>
    <t>Ancienne double glacière "coca-cola" en métal avec patine d'origine</t>
  </si>
  <si>
    <t>INRA354</t>
  </si>
  <si>
    <t>Ancienne bibliothèque en tek avec 2 portes vitrées coulissantes et sa patine d'origine</t>
  </si>
  <si>
    <t>INRA355</t>
  </si>
  <si>
    <t>Ancienne petite bibliothèque en tek avec 2 portes et sa patine verte d'origine</t>
  </si>
  <si>
    <t>INRA356</t>
  </si>
  <si>
    <t>Ancienne petite bibliothèque en tek avec 2 portes ( 4 vitres) et sa patine verte d'origine</t>
  </si>
  <si>
    <t>INRA357</t>
  </si>
  <si>
    <t>Ancienne armoirette en tek avec 1 porte vitrée et sa patine turquoise d'origine</t>
  </si>
  <si>
    <t>INRA358</t>
  </si>
  <si>
    <t>Ancien chevet en tek avec 1 porte ( 6 vitres) et sa patine verte d'origine</t>
  </si>
  <si>
    <t>INRA359</t>
  </si>
  <si>
    <t>Ancienne bibliothèque en tek avec 1 porte ( 5 vitres) avec sa patine écrue d'origine</t>
  </si>
  <si>
    <t>INRA360</t>
  </si>
  <si>
    <t>Ancienne étagère 5 niveaux en tek avec sa patine bleue  - grise d'origine</t>
  </si>
  <si>
    <t>INRA361</t>
  </si>
  <si>
    <t>Ancien bureau à caisson en tek avec 2 tiroirs</t>
  </si>
  <si>
    <t>INRA362</t>
  </si>
  <si>
    <t>Ancien coffre de transport de la "indian railway" en tek avec ferrures</t>
  </si>
  <si>
    <t>INRA363</t>
  </si>
  <si>
    <t>Ancienne bibliothèque en tek avec 2 portes + 2 tiroirs et sa patine bleue  d'origine</t>
  </si>
  <si>
    <t>INRA365A</t>
  </si>
  <si>
    <t>Ancien petit meuble de métier en tek avec rabat et corniche supérieure</t>
  </si>
  <si>
    <t>INRA365B</t>
  </si>
  <si>
    <t>Ancien petit meuble de métier</t>
  </si>
  <si>
    <t>INRA365C</t>
  </si>
  <si>
    <t>INRA365D</t>
  </si>
  <si>
    <t>Ancien petit meuble de métier avec 2 tiroirs et sa patine bleue  - grise d'origine</t>
  </si>
  <si>
    <t>INRA365E</t>
  </si>
  <si>
    <t>INRA365F</t>
  </si>
  <si>
    <t>INRA365G</t>
  </si>
  <si>
    <t>Ancien petit meuble de métier en tek avec rabat + 1 tiroir</t>
  </si>
  <si>
    <t>INRA365H</t>
  </si>
  <si>
    <t>Ancien petit meuble de métier en tek avec rabat + 1 tiroir et sa patine écrue d'origine</t>
  </si>
  <si>
    <t>INRA365I</t>
  </si>
  <si>
    <t>Ancien petit meuble de métier en tek avec 2 tiroirs</t>
  </si>
  <si>
    <t>INRA365J</t>
  </si>
  <si>
    <t>Ancien petit meuble de métier en tek avec 2 tiroirs et sa patine bleue d'origine</t>
  </si>
  <si>
    <t>INRA366</t>
  </si>
  <si>
    <t>Ancien coffre - cash box en tek avec sa patine bleue  d'origine</t>
  </si>
  <si>
    <t>INRA367</t>
  </si>
  <si>
    <t>Ancien garde-manger avec 2 portes coulissantes ( 6 vitres) et sa patine turquoise d'origine</t>
  </si>
  <si>
    <t>INRA368</t>
  </si>
  <si>
    <t>Ancien coffre en tek avec ferrures d'origine</t>
  </si>
  <si>
    <t>INRA369</t>
  </si>
  <si>
    <t>INRA370</t>
  </si>
  <si>
    <t>Ancien bureau en tek avec 1 porte + 2 tiroirs et sa patine bleue  d'origine</t>
  </si>
  <si>
    <t>INRA371</t>
  </si>
  <si>
    <t>Ancienne étagères 4 niveaux en tek avec corniche supérieure</t>
  </si>
  <si>
    <t>INRA372</t>
  </si>
  <si>
    <t>Ancien garde-manger en tek avec 2 portes ( 6 vitres) et 1 étagère basse</t>
  </si>
  <si>
    <t>INRA373</t>
  </si>
  <si>
    <t>Ancien buffet bas en tek avec 2 double porte ( 4 vitres) et sa patine écrue et rose d'origine</t>
  </si>
  <si>
    <t>INRA374</t>
  </si>
  <si>
    <t>Ancien vaisselier en tek avec 2 portes ( 8 vitres) et sa patine bleue  d'origine</t>
  </si>
  <si>
    <t>INRA375</t>
  </si>
  <si>
    <t>Ancienne étagère murale en tek avec 2 portes ( 4 vitres) et sa patine turquoise et blanche d'origine</t>
  </si>
  <si>
    <t>INRA376A</t>
  </si>
  <si>
    <t>Ancienne étagère murale en tek avec 2 portes ( 4 vitres) et sa patine grise d'origine</t>
  </si>
  <si>
    <t>INRA376B</t>
  </si>
  <si>
    <t>Ancienne étagère murale en tek avec 1 porte ( 2 vitres) et sa patine turquoise d'origine</t>
  </si>
  <si>
    <t>INRA376C</t>
  </si>
  <si>
    <t>Ancienne étagère murale en tek avec 1 porte ( 2 vitres) et sa patine blanche d'origine</t>
  </si>
  <si>
    <t>INRA376D</t>
  </si>
  <si>
    <t>Ancienne étagère murale en tek avec 1 porte ( 2 vitres) et sa patine polychromée d'origine</t>
  </si>
  <si>
    <t>INRA377</t>
  </si>
  <si>
    <t>Ancien meuble de métier en tek avec 3 tiroir + 1 étagère et sa patine jaune - écrue d'origine</t>
  </si>
  <si>
    <t>INRA378</t>
  </si>
  <si>
    <t>Ancienne bibliothèque en tek avec 2 portes ( 6 vitres) + 4 étagères</t>
  </si>
  <si>
    <t>INRA379</t>
  </si>
  <si>
    <t>Ancien fauteuil de bureau en métal et bois</t>
  </si>
  <si>
    <t>INRA380</t>
  </si>
  <si>
    <t>Ancien vaisselier en tek avec 3 double-portes coulissantes ( 6 vitres) + 3 tiroirs et sa patine intérieure jaune d'origine</t>
  </si>
  <si>
    <t>INRA381</t>
  </si>
  <si>
    <t>Ancien îlot-table de cuisine en tek avec 2 tiroirs et 1 étagère basse et sa patine turquoise d'origine</t>
  </si>
  <si>
    <t>INRA382</t>
  </si>
  <si>
    <t>Ancienne étagère d'administration en tek avec 2 portes ( 4 vitres) + 12 étagères et sa patine turquoise d'origine</t>
  </si>
  <si>
    <t>INRA384</t>
  </si>
  <si>
    <t>Ancienne bibliothèque en tek avec 2 double-portes ( 8 vitres) + 2 frises de faïence</t>
  </si>
  <si>
    <t>INRA385</t>
  </si>
  <si>
    <t>Ancien comptoir-bar en tek avec sa patine verte d'origine</t>
  </si>
  <si>
    <t>INRA386</t>
  </si>
  <si>
    <t>Ancien bureau en tek avec 6 tiroirs + 2 tablettes coulissantes</t>
  </si>
  <si>
    <t>INRA387</t>
  </si>
  <si>
    <t>Ancienne bibliothèque en tek avec 2 portes + 1 tiroir et sa patine polychromée d'origine</t>
  </si>
  <si>
    <t>INRA388</t>
  </si>
  <si>
    <t>Ancien buffet en tek avec 3 portes en verre peint + 3 tiroirs + 1 frise en verre peint</t>
  </si>
  <si>
    <t>INRA389</t>
  </si>
  <si>
    <t>Ancien vaisselier en tek avec 2 double-portes ( 8 vitres) + 2 tiroirs et sa patine turquoise d'origine</t>
  </si>
  <si>
    <t>INRA390A</t>
  </si>
  <si>
    <t>Ancienne étagère murale vitrée en tek birman avec fond turquoise</t>
  </si>
  <si>
    <t>INRA390B</t>
  </si>
  <si>
    <t>INRA390C</t>
  </si>
  <si>
    <t>INRA391</t>
  </si>
  <si>
    <t>Ancien bureau en tek birman avec 1 porte + 1 tiroir avec patine écrue d'origine sur caisson</t>
  </si>
  <si>
    <t>INRA392</t>
  </si>
  <si>
    <t>Ancien coffre tribal "pitara" avec façade en métal embossé avec sa patine bleue d'origine</t>
  </si>
  <si>
    <t>INRA393</t>
  </si>
  <si>
    <t>Ancien meuble en tek birman avec 2 portes sculptées avec patine polychrome d'origine</t>
  </si>
  <si>
    <t>INRA394</t>
  </si>
  <si>
    <t>Ancienne étagère 2 niveaux en tek birman avec sa patine turquoise d'origine</t>
  </si>
  <si>
    <t>INRA395</t>
  </si>
  <si>
    <t>Ancien fauteuil rond en tek birman de l'administration indienne</t>
  </si>
  <si>
    <t>INRA396</t>
  </si>
  <si>
    <t>Ancienne double glacière "Coca-cola" en métal</t>
  </si>
  <si>
    <t>INRA397</t>
  </si>
  <si>
    <t>Ancienne glacière "Coca-cola" en métal</t>
  </si>
  <si>
    <t>INRA398</t>
  </si>
  <si>
    <t>Ancien garde-manger tribal en tek birman avec 2 portes vitrées et sa patine bleue-grise d'origine</t>
  </si>
  <si>
    <t>INRA399</t>
  </si>
  <si>
    <t>Ancien vaisselier 8 panneaux vitrés + 1 tiroir en tek birman avec sa patine turquoise d'origine</t>
  </si>
  <si>
    <t>INRA400</t>
  </si>
  <si>
    <t>Ancien vaisselier 9 panneaux vitrés en tek birman avec sa patine verte d'origine</t>
  </si>
  <si>
    <t>INRA401</t>
  </si>
  <si>
    <t>Ancien buffet bas ouvert en tek birman avec 1 porte vitrée et sa patine verte d'origine</t>
  </si>
  <si>
    <t>INRA402</t>
  </si>
  <si>
    <t>Ancienne bibliothèque 6 panneaux vitrés en tek birman avec sa patine rose d'origine</t>
  </si>
  <si>
    <t>INRA403</t>
  </si>
  <si>
    <t>Ancien vaisselier 4 panneaux vitrés en tek birman avec sa patine turquoise d'origine</t>
  </si>
  <si>
    <t>INRA404</t>
  </si>
  <si>
    <t>Ancien vaisselier 6 panneaux vitrés en tek birman avec sa patine rose d'origine</t>
  </si>
  <si>
    <t>INRA405</t>
  </si>
  <si>
    <t>Ancienne pelle en métal avec manche en bois</t>
  </si>
  <si>
    <t>INRA406</t>
  </si>
  <si>
    <t>Ancien meuble téléphone avec 1 porte vitrée + corniche en tek birman</t>
  </si>
  <si>
    <t>INRA407</t>
  </si>
  <si>
    <t>Ancien vaisselier 2 panneaux vitrés en tek birman avec son fond de patine bleue (intérieur) d'origine</t>
  </si>
  <si>
    <t>INRA408</t>
  </si>
  <si>
    <t>Ancienne étagère 4 niveaux en tek birman</t>
  </si>
  <si>
    <t>INRA409</t>
  </si>
  <si>
    <t>Ancien buffet tribal de mariage "Damachya" en tek birman avec en façade en métal embossé</t>
  </si>
  <si>
    <t>INRA410</t>
  </si>
  <si>
    <t>Ancien meuble de métier avec 6 tiroirs en tek birman</t>
  </si>
  <si>
    <t>INRA411</t>
  </si>
  <si>
    <t>Ancien panneau éducatif en milieu rural peint à la main sur plaque de bois contre-plaqué / assortiment</t>
  </si>
  <si>
    <t>INRA412</t>
  </si>
  <si>
    <t>Ancien panneau éducatif en milieu rural peint à la main sur plaque de bois contre-plaqué / assortiment grand format</t>
  </si>
  <si>
    <t>INRA413</t>
  </si>
  <si>
    <t>Ancienne danseuse râjasthânis en thermoformage plastique sur plaque de bois</t>
  </si>
  <si>
    <t>INRA414</t>
  </si>
  <si>
    <t>Ancienne chaise d'école en tek birman avec assortiment de patine d'origine</t>
  </si>
  <si>
    <t>INRA415</t>
  </si>
  <si>
    <t>INRA417A</t>
  </si>
  <si>
    <t>Ancien coffre tribal "pitara" avec façade en métal embossé avec sa patine verte d'origine</t>
  </si>
  <si>
    <t>INRA417B</t>
  </si>
  <si>
    <t>Ancien coffre tribal "pitara" avec façade en métal embossé avec sa patine rose et bleue d'origine</t>
  </si>
  <si>
    <t>INRA418</t>
  </si>
  <si>
    <t>Ancien tricycle en métal / assortiment de modèles</t>
  </si>
  <si>
    <t>INRA418G</t>
  </si>
  <si>
    <t>Ancien bureau 1 porte + 1 tiroir en tek birman avec sa patine écrue et bois d'origine</t>
  </si>
  <si>
    <t>INRA419</t>
  </si>
  <si>
    <t>Ancien vaisselier 2 portes vitrés + 2 portes pleines en tek birman avec son fond de patine rouge et bleue d'origine</t>
  </si>
  <si>
    <t>INRA420</t>
  </si>
  <si>
    <t>Ancien vaisselier 8 panneaux vitrés en tek birman avec sa patine turquoise d'origine</t>
  </si>
  <si>
    <t>INRA421</t>
  </si>
  <si>
    <t>Ancien vaisselier 8 panneaux vitrés en tek birman avec sa patine verte + rouge + bleue d'origine</t>
  </si>
  <si>
    <t>INRA422</t>
  </si>
  <si>
    <t>Ancienne malle de voyage avec sa patine noire d'origine</t>
  </si>
  <si>
    <t>INRA423</t>
  </si>
  <si>
    <t>Ancien vaisselier 2 panneaux vitrés en forme d'arabesque en tek birman avec sa patine pistache d'origine</t>
  </si>
  <si>
    <t>INRA424</t>
  </si>
  <si>
    <t>Ancien vaisselier 2 panneaux vitrés + 2 tiroirs bas en tek birman avec sa patine verte d'origine</t>
  </si>
  <si>
    <t>INRA425</t>
  </si>
  <si>
    <t>Ancien buffet 8 panneaux vitrés + 2 tiroirs en tek birman</t>
  </si>
  <si>
    <t>INRA426</t>
  </si>
  <si>
    <t>Ancien petit vaisselier 4 panneaux vitrés en tek birman avec sa patine verte - jaune d'origine</t>
  </si>
  <si>
    <t>INRA427</t>
  </si>
  <si>
    <t>Ancien chevet avec habillage métal et 2 panneaux vitrés avec sa patine écrue d'origine</t>
  </si>
  <si>
    <t>INRA428</t>
  </si>
  <si>
    <t>Ancienne bibliothèque en tek birman avec 2 portes coulissantes vitrées et sa patine bleue d'origine</t>
  </si>
  <si>
    <t>INRA429</t>
  </si>
  <si>
    <t>Ancien vaisselier 4 panneaux vitrés + 4 tiroirs en tek birman avec sa patine rose d'origine</t>
  </si>
  <si>
    <t>INRA430</t>
  </si>
  <si>
    <t>Ancien tabouret ovale en tek birman</t>
  </si>
  <si>
    <t>INRA431</t>
  </si>
  <si>
    <t>Ancien bureau 2 tiroirs en tek birman avec sa patine bleue / grise d'origine</t>
  </si>
  <si>
    <t>INRA432</t>
  </si>
  <si>
    <t>Ancien fauteuil de barbier en métal et assise bois avec sa patine d'origine</t>
  </si>
  <si>
    <t>INRA433</t>
  </si>
  <si>
    <t>Ancienne table basse en tek birman avec sa patine turquoise d'origine</t>
  </si>
  <si>
    <t>INRA434</t>
  </si>
  <si>
    <t>Ancien banc en tek birman avec sa patine turquoise d'origine</t>
  </si>
  <si>
    <t>INRA435</t>
  </si>
  <si>
    <t>INRA436</t>
  </si>
  <si>
    <t>Ancien grand vaisselier 3 portes vitrées + 3 portes pleines en tek birman avec belles poignées métal d'origine</t>
  </si>
  <si>
    <t>INRA437</t>
  </si>
  <si>
    <t>Ancien garde-manger tribal "Bandara" en tek birman avec 2 double portes + 10 niches et sa patine turquoise d'origine</t>
  </si>
  <si>
    <t>INRA439</t>
  </si>
  <si>
    <t>Ancien garde-manger tribal en tek birman avec 6 panneaux vitrés et sa patine turquoise d'origine</t>
  </si>
  <si>
    <t>INRA441</t>
  </si>
  <si>
    <t>Ancienne bibliothèque en tek birman avec sa patine verte + jaune d'origine</t>
  </si>
  <si>
    <t>INRA442</t>
  </si>
  <si>
    <t>Ancien vaisselier 4 panneaux vitrés en tek birman avec étagère supérieure et son fond de patine jaune / écrue d'origine</t>
  </si>
  <si>
    <t>INRA443</t>
  </si>
  <si>
    <t>Ancienne bibliothèque (peu profonde) en tek birman avec 2 tiroirs bas et sa patine verte + blanche d'origine</t>
  </si>
  <si>
    <t>INRA445</t>
  </si>
  <si>
    <t>Ancien vaisselier 6 panneaux vitrés en tek birman avec 2 tiroirs + étagère supérieure</t>
  </si>
  <si>
    <t>INRA446</t>
  </si>
  <si>
    <t>Ancien petit vaisselier 2 panneaux vitrés en tek birman avec sa patine rose et bleue d'origine</t>
  </si>
  <si>
    <t>INRA448</t>
  </si>
  <si>
    <t>Ancien grainetier 6 panneaux vitrés en tek birman avec 1 tiroir + 1 porte et sa patine polychrome d'origine</t>
  </si>
  <si>
    <t>INRA449</t>
  </si>
  <si>
    <t>Ancien berceau transformé en table basse en tek birman avec sa patine polychrome d'origine</t>
  </si>
  <si>
    <t>INRA450</t>
  </si>
  <si>
    <t>Ancien garde-manger 6 panneaux vitrés en tek birman avec double porte coulissante et sa patine turquoise d'origine</t>
  </si>
  <si>
    <t>INRA451</t>
  </si>
  <si>
    <t>Ancien chevet sur pied en tek birman avec 2 portes vitrées</t>
  </si>
  <si>
    <t>INRA452</t>
  </si>
  <si>
    <t>Ancien buffet en tek birman avec 2 portes vitrées coulissantes et sa patine bleue d'origine</t>
  </si>
  <si>
    <t>INRA454</t>
  </si>
  <si>
    <t>Ancien chevet 1 porte vitrée en tek birman avec sa patine jaune et bleue d'origine</t>
  </si>
  <si>
    <t>INRA455</t>
  </si>
  <si>
    <t>Ancien buffet tribal en tek birman avec 1 porte + 4 niches et sa patine écrue d'origine</t>
  </si>
  <si>
    <t>INRA457</t>
  </si>
  <si>
    <t>Ancien petit vaisselier en tek birman avec 2 portes vitrées + 1 tiroir et sa patine rouge d'origine</t>
  </si>
  <si>
    <t>INRA459</t>
  </si>
  <si>
    <t>Ancien comptoir d'hôtel en tek birman avec 22 niches et sa patine turquoise d'origine</t>
  </si>
  <si>
    <t>INRA461</t>
  </si>
  <si>
    <t>Ancien vaisselier en tek birman avec 8 panneaux vitrés + corniche supérieure et sa patine rouge d'origine</t>
  </si>
  <si>
    <t>INRA462</t>
  </si>
  <si>
    <t>INRA465</t>
  </si>
  <si>
    <t>Ancien fronton de camion indien avec son décor polychrome d'origine</t>
  </si>
  <si>
    <t>INRA466</t>
  </si>
  <si>
    <t>Petite étagère murale 5 niveaux en tek birman</t>
  </si>
  <si>
    <t>INRA467</t>
  </si>
  <si>
    <t>Ancien buffet en tek birman avec habillage côté et fond en métal et 4 panneaux vitrés avec sa patine verte d'origine</t>
  </si>
  <si>
    <t>INRA468</t>
  </si>
  <si>
    <t>Ancien vaisselier 6 panneaux vitrés en tek birman avec sa patine turquoise d'origine</t>
  </si>
  <si>
    <t>INRA469</t>
  </si>
  <si>
    <t>Ancien chevet 2 panneaux vitrés en tek birman avec sa patine jaune d'origine</t>
  </si>
  <si>
    <t>INRA470</t>
  </si>
  <si>
    <t>Ancien vaisselier en tek birman avec 4 panneaux vitrés + 6 niches et sa patine marron et bleue d'origine</t>
  </si>
  <si>
    <t>INRA471</t>
  </si>
  <si>
    <t>Ancien vaisselier en tek birman avec  10 panneaux vitrés et double étagère supérieure et sa patine verte d'origine</t>
  </si>
  <si>
    <t>INRA472</t>
  </si>
  <si>
    <t>Ancien vaisselier 4 panneaux vitrés en tek birman avec sa patine bleue et écrue d'origine</t>
  </si>
  <si>
    <t>INRA473</t>
  </si>
  <si>
    <t>INRA474</t>
  </si>
  <si>
    <t>Ancien vaisselier 4 panneaux vitrés en tek birman avec son fond de patine bleue d'origine</t>
  </si>
  <si>
    <t>INRA475</t>
  </si>
  <si>
    <t>Ancien vaisselier 4 panneaux vitrés en tek birman avec sa patine écrue d'origine</t>
  </si>
  <si>
    <t>INRA476</t>
  </si>
  <si>
    <t>Ancien vaisselier 6 panneaux vitrés en tek birman avec sa patine bleue - grise d'origine</t>
  </si>
  <si>
    <t>INRA477</t>
  </si>
  <si>
    <t>Ancien vaisselier en tek birman avec 5 panneaux vitrés et son fond de patine rouge et bleue d'origine</t>
  </si>
  <si>
    <t>INRA478</t>
  </si>
  <si>
    <t>Ancien buffet en tek birman avec 6 panneaux vitrés son fond de patine écrue d'origine</t>
  </si>
  <si>
    <t>INRA479</t>
  </si>
  <si>
    <t>Ancien buffet en tek birman avec 10 panneaux vitrés / 3 portes et sa patine écrue d'origine</t>
  </si>
  <si>
    <t>INRA480</t>
  </si>
  <si>
    <t>Ancien vaisselier "art déco "en tek birman avec 6 panneaux vitrés et sa patine verte d'origine</t>
  </si>
  <si>
    <t>INRA481</t>
  </si>
  <si>
    <t>Ancien buffet en tek birman 1 porte vitrée + 1 porte pleine + 1 tiroir avec sa patine turquoise d'origine</t>
  </si>
  <si>
    <t>INRA482</t>
  </si>
  <si>
    <t>Ancien bureau en tek birman avec 1 porte + 1 tiroir et  sa patine turquoise d'origine</t>
  </si>
  <si>
    <t>INRA483</t>
  </si>
  <si>
    <t>Ancien buffet en tek birman avec 4 portes sculptées et sa patine polychrome d'origine</t>
  </si>
  <si>
    <t>INRA484</t>
  </si>
  <si>
    <t>Ancienne desserte de cuisine en tek birman avec 2 tiroirs + 1 étagère basse et son fond de patine polychrome d'origine</t>
  </si>
  <si>
    <t>INRA485</t>
  </si>
  <si>
    <t>Ancien banc en tek birman avec sa patine bleue d'origine</t>
  </si>
  <si>
    <t>INRA486</t>
  </si>
  <si>
    <t>Ancien buffet en tek birman avec 2 portes + 2 tiroirs et sa patine verte-orange-jaune d'origine</t>
  </si>
  <si>
    <t>INRA487</t>
  </si>
  <si>
    <t>Table à manger avec roue de charrue</t>
  </si>
  <si>
    <t>INRA488</t>
  </si>
  <si>
    <t>Meuble télé sur-mesure en tek birman</t>
  </si>
  <si>
    <t>INRA490A</t>
  </si>
  <si>
    <t>INRA490B</t>
  </si>
  <si>
    <t>IRON BM</t>
  </si>
  <si>
    <t>Seau en métal recyclé polychromé - idéal en cache-pot</t>
  </si>
  <si>
    <t>ISA001</t>
  </si>
  <si>
    <t>Ancienne triple fenêtre en tek montée en miroir</t>
  </si>
  <si>
    <t>ISA002</t>
  </si>
  <si>
    <t>Ancien petit meuble de métier en tek avec 2 tiroirs + plateau ouvrant</t>
  </si>
  <si>
    <t>ISA002A</t>
  </si>
  <si>
    <t>Ancien petit meuble de métier en tek avec 2 tiroirs + 2 tablettes coulissantes</t>
  </si>
  <si>
    <t>Guirlande décorative faite avec des boutons de porte en céramique / assortiment de coloris</t>
  </si>
  <si>
    <t>S10DC</t>
  </si>
  <si>
    <t>Chiffonnier 10 tiroirs en bois polychromé recyclé</t>
  </si>
  <si>
    <t>S10DCWW</t>
  </si>
  <si>
    <t>Chiffonnier 10 tiroirs en bois bicolore recyclé</t>
  </si>
  <si>
    <t>S1G3SSC</t>
  </si>
  <si>
    <t>Vitrine de salle de bain en bois polychromé recyclé</t>
  </si>
  <si>
    <t>S1G3SSCWW</t>
  </si>
  <si>
    <t>Vitrine de salle de bain en bois bicolore recyclé</t>
  </si>
  <si>
    <t>S2D2DC</t>
  </si>
  <si>
    <t>Buffet 2 portes / 2 tiroirs en bois polychromé recyclé</t>
  </si>
  <si>
    <t>S2D2DCWW</t>
  </si>
  <si>
    <t>Buffet 2 portes / 2 tiroirs en bois bicolore recyclé</t>
  </si>
  <si>
    <t>S3DC</t>
  </si>
  <si>
    <t>Commode 3 tiroirs en bois polychromé recyclé</t>
  </si>
  <si>
    <t>S3DCWW</t>
  </si>
  <si>
    <t>Commode 3 tiroirs en bois bicolore recyclé</t>
  </si>
  <si>
    <t>S3HH</t>
  </si>
  <si>
    <t>patère 3 crochets en bois polychromé recyclé</t>
  </si>
  <si>
    <t>SALM185</t>
  </si>
  <si>
    <t>Bibliothèque en latte de bois polychromé recyclé</t>
  </si>
  <si>
    <t>SALM185WW</t>
  </si>
  <si>
    <t>Bibliothèque en latte de bois bicolore recyclé</t>
  </si>
  <si>
    <t>SBIBLIO</t>
  </si>
  <si>
    <t>Bibliothèque ouverte avec 4 étagères en bois polychromé recyclé</t>
  </si>
  <si>
    <t>SBIBLIOWW</t>
  </si>
  <si>
    <t>Bibliothèque ouverte avec 4 étagères en bois bicolore recyclé</t>
  </si>
  <si>
    <t>SBS1GD</t>
  </si>
  <si>
    <t>Chevet 1 porte vitrée + 1 tiroir en bois polychromé recyclé</t>
  </si>
  <si>
    <t>SBS1GDWW</t>
  </si>
  <si>
    <t>Chevet 1 porte vitrée + 1 tiroir en bois bicolore recyclé</t>
  </si>
  <si>
    <t>SBS1GDWWA</t>
  </si>
  <si>
    <t>Chevet 1 porte vitrée + 1 tiroir en bois de caisses de l'armée indienne recyclées</t>
  </si>
  <si>
    <t>SBS1SD</t>
  </si>
  <si>
    <t>Chevet 1 porte à lattes en bois polychromé recyclé</t>
  </si>
  <si>
    <t>SBS1SDWWA</t>
  </si>
  <si>
    <t>Chevet 1 porte à lattes en bois de caisses de l'armée indienne recyclées</t>
  </si>
  <si>
    <t>SCB1204045</t>
  </si>
  <si>
    <t>Banc en bois polychromé recyclé</t>
  </si>
  <si>
    <t>SCB1404045</t>
  </si>
  <si>
    <t>SCB1804045</t>
  </si>
  <si>
    <t>SCB1804045WW</t>
  </si>
  <si>
    <t>Banc en bois bicolore recyclé</t>
  </si>
  <si>
    <t>SCRAP10DC</t>
  </si>
  <si>
    <t>Chiffonnier 10 tiroirs en bois recyclé polychromé</t>
  </si>
  <si>
    <t>SCRAP10DCNF</t>
  </si>
  <si>
    <t>Chiffonnier 10 tiroirs en bois recyclé écru / blanc avec finition papier journal ancien</t>
  </si>
  <si>
    <t>SCRAPALM185SP</t>
  </si>
  <si>
    <t>Bibliothèque en bois recyclé polychromé avec côtés en lattes de caisses à sodas</t>
  </si>
  <si>
    <t>SCRAPALM185WP</t>
  </si>
  <si>
    <t>Bibliothèque en bois recyclé polychromé avec portes en lattes</t>
  </si>
  <si>
    <t>SCRAPBC</t>
  </si>
  <si>
    <t>Chaise bébé en bois recyclé polychromé</t>
  </si>
  <si>
    <t>SCRAPBS1GD</t>
  </si>
  <si>
    <t>Chevet en bois recyclé polychromé avec 1 tiroir et une porte vitrée</t>
  </si>
  <si>
    <t>SCRAPBS1SD</t>
  </si>
  <si>
    <t>Chevet en bois recyclé polychromé avec une porte ajourée</t>
  </si>
  <si>
    <t>SCRAPBT</t>
  </si>
  <si>
    <t>Table bébé  ou tabouret en bois recyclé polychromé</t>
  </si>
  <si>
    <t>SCRAPCB</t>
  </si>
  <si>
    <t>Fauteuil "cube" en bois recyclé polychromé</t>
  </si>
  <si>
    <t>SCRAPDC</t>
  </si>
  <si>
    <t>Chaise en bois recyclé polychromé</t>
  </si>
  <si>
    <t>SCRAPFX</t>
  </si>
  <si>
    <t>Cadre photo en bois recyclé polychromé avec tirage d'ancienne photo coloniale / taille photo 10 x 15 cm / conditionné par 10 ex</t>
  </si>
  <si>
    <t>SCRAPSC</t>
  </si>
  <si>
    <t>Fauteuil relax en bois recyclé polychromé</t>
  </si>
  <si>
    <t>SCRAPT10010045</t>
  </si>
  <si>
    <t>Table basse carrée en bois recyclé polychromé avec pieds démontables</t>
  </si>
  <si>
    <t>SCRAPT1409076</t>
  </si>
  <si>
    <t>Table à manger en bois recyclé polychromé avec pieds démontables / taille 140 x 90 x 76 cm</t>
  </si>
  <si>
    <t>SCRAPT1609076</t>
  </si>
  <si>
    <t>Table à manger en bois recyclé polychromé avec pieds démontables / taille 160 x 90 x 76 cm</t>
  </si>
  <si>
    <t>SCRAPT1809076</t>
  </si>
  <si>
    <t>Table à manger en bois recyclé polychromé avec pieds démontables / taille 180 x 90 x 76 cm</t>
  </si>
  <si>
    <t>SCT1484888WW</t>
  </si>
  <si>
    <t>Console en bois bicolore recyclé</t>
  </si>
  <si>
    <t>SCUBE</t>
  </si>
  <si>
    <t>Fauteuil "cube" en bois polychromé recyclé</t>
  </si>
  <si>
    <t>SCUBEWW</t>
  </si>
  <si>
    <t>Fauteuil "cube" en bois bicolore recyclé</t>
  </si>
  <si>
    <t>SDC</t>
  </si>
  <si>
    <t>Chaise en bois polychromé recyclé</t>
  </si>
  <si>
    <t>SDCS</t>
  </si>
  <si>
    <t>Canapé "cube" 3 places en bois polychromé recyclé</t>
  </si>
  <si>
    <t>SDCSWW</t>
  </si>
  <si>
    <t>Canapé "cube" 3 places en bois bicolore recyclé</t>
  </si>
  <si>
    <t>SDCWW</t>
  </si>
  <si>
    <t>Chaise en bois bicolore recyclé</t>
  </si>
  <si>
    <t>SFM</t>
  </si>
  <si>
    <t>Cadre photo 25 x 25 en bois polychromé recyclé avec ancien tirage colonial</t>
  </si>
  <si>
    <t>SFS</t>
  </si>
  <si>
    <t>Cadre photo en bois polychromé recyclé avec ancien tirage colonial</t>
  </si>
  <si>
    <t>SFUNBC</t>
  </si>
  <si>
    <t>Chaise "fun" enfant en bois polychromé recyclé</t>
  </si>
  <si>
    <t>SFUNBT</t>
  </si>
  <si>
    <t>Table "fun" enfant en bois polychromé recyclé</t>
  </si>
  <si>
    <t>SFX</t>
  </si>
  <si>
    <t>Cadre photo (photo 10 x 15) en bois polychromé recyclé avec ancien tirage colonial</t>
  </si>
  <si>
    <t>SM9060</t>
  </si>
  <si>
    <t>Miroir en bois polychromé recyclé</t>
  </si>
  <si>
    <t>SM9060WW</t>
  </si>
  <si>
    <t>Miroir en bois bicolore recyclé</t>
  </si>
  <si>
    <t>SSB</t>
  </si>
  <si>
    <t>Buffet 3 portes coulissantes en bois polychromé recyclé</t>
  </si>
  <si>
    <t>SSBWW</t>
  </si>
  <si>
    <t>Buffet 3 portes coulissantes en bois bicolore recyclé</t>
  </si>
  <si>
    <t>SSC</t>
  </si>
  <si>
    <t>Fauteuil "relax" en bois polychromé recyclé</t>
  </si>
  <si>
    <t>SSCB</t>
  </si>
  <si>
    <t>Fauteuil "relax" enfant en bois polychromé recyclé</t>
  </si>
  <si>
    <t>SSCBWW</t>
  </si>
  <si>
    <t>Fauteuil "relax" enfant en bois bicolore recyclé</t>
  </si>
  <si>
    <t>ST10010076</t>
  </si>
  <si>
    <t>Table carré en bois polychromé recyclé</t>
  </si>
  <si>
    <t>ST10010076WW</t>
  </si>
  <si>
    <t>Table carré en bois bicolore recyclé</t>
  </si>
  <si>
    <t>ST1206045</t>
  </si>
  <si>
    <t>Table basse en bois polychromé recyclé</t>
  </si>
  <si>
    <t>ST1407076</t>
  </si>
  <si>
    <t>Table à manger rectangulaire en bois polychromé recyclé</t>
  </si>
  <si>
    <t>ST1407076WW</t>
  </si>
  <si>
    <t>Table à manger rectangulaire en bois bicolore recyclé</t>
  </si>
  <si>
    <t>ST1609076</t>
  </si>
  <si>
    <t>ST1609076WW</t>
  </si>
  <si>
    <t>ST20010076</t>
  </si>
  <si>
    <t>ST20010076WW</t>
  </si>
  <si>
    <t>STB</t>
  </si>
  <si>
    <t>Meuble télé en bois polychromé recyclé</t>
  </si>
  <si>
    <t>STBWW</t>
  </si>
  <si>
    <t>Meuble télé en bois bicolore recyclé</t>
  </si>
  <si>
    <t>SWS4T</t>
  </si>
  <si>
    <t>Etagère murale 4 étagères + 4 crochets fonte en bois polychromé recyclé</t>
  </si>
  <si>
    <t>SWS5H</t>
  </si>
  <si>
    <t>Patère 5 crochets avec étagère en bois polychromé recyclé</t>
  </si>
  <si>
    <t>Origine</t>
  </si>
  <si>
    <t>Inde</t>
  </si>
  <si>
    <t>Indonésie</t>
  </si>
  <si>
    <t>NumArticle</t>
  </si>
  <si>
    <t>Catégorie</t>
  </si>
  <si>
    <t>MatPrincipale</t>
  </si>
  <si>
    <t>Taille</t>
  </si>
  <si>
    <t>Chaise / Fauteuil / Banc / Tabouret</t>
  </si>
  <si>
    <t>Métal</t>
  </si>
  <si>
    <t>37 x 42 x 80</t>
  </si>
  <si>
    <t>Accessoires de cheminée</t>
  </si>
  <si>
    <t>Fer forgé</t>
  </si>
  <si>
    <t>95 x 3 x 3</t>
  </si>
  <si>
    <t>Bibliothèque / Vitrine / Etagère</t>
  </si>
  <si>
    <t>Tek birman</t>
  </si>
  <si>
    <t>121 x 30 x 60</t>
  </si>
  <si>
    <t>Bureau / Secrétaire / Bar</t>
  </si>
  <si>
    <t>140 x 51 x 98</t>
  </si>
  <si>
    <t>Vaisselier / Buffet / Garde-manger</t>
  </si>
  <si>
    <t>94 x 42 x 126</t>
  </si>
  <si>
    <t>93 x 36 x 156</t>
  </si>
  <si>
    <t>95 x 40 x 140</t>
  </si>
  <si>
    <t>Arts de la table</t>
  </si>
  <si>
    <t>Céramique</t>
  </si>
  <si>
    <t>Diam : 14 / H : 6</t>
  </si>
  <si>
    <t>Diam : 28 / H : 14</t>
  </si>
  <si>
    <t>Vase</t>
  </si>
  <si>
    <t>Diam : 18 / H : 23</t>
  </si>
  <si>
    <t>H : 40 / Diam : 28</t>
  </si>
  <si>
    <t>20 x 20</t>
  </si>
  <si>
    <t>Univers de la salle de bain</t>
  </si>
  <si>
    <t>10 x 10</t>
  </si>
  <si>
    <t>8 x 4</t>
  </si>
  <si>
    <t>Cocotier</t>
  </si>
  <si>
    <t>L : 25</t>
  </si>
  <si>
    <t>Pot / Cache pot / Amphore</t>
  </si>
  <si>
    <t>Terre cuite</t>
  </si>
  <si>
    <t>H: 22 / DIAM: 18</t>
  </si>
  <si>
    <t>Plateau / Corbeille / Coupe</t>
  </si>
  <si>
    <t>Rotin</t>
  </si>
  <si>
    <t>32 x 10</t>
  </si>
  <si>
    <t>Herbe des rizières</t>
  </si>
  <si>
    <t>40 X 30</t>
  </si>
  <si>
    <t>5 x 4 x 3</t>
  </si>
  <si>
    <t>Diam : 35</t>
  </si>
  <si>
    <t>Sac / Cabas</t>
  </si>
  <si>
    <t>50 X 8 X 30</t>
  </si>
  <si>
    <t xml:space="preserve">  25 X6 X 32</t>
  </si>
  <si>
    <t>16 X 4 X 15</t>
  </si>
  <si>
    <t>Objet décoratif</t>
  </si>
  <si>
    <t>Coquillage / Nacre</t>
  </si>
  <si>
    <t>15 x 9 x 33</t>
  </si>
  <si>
    <t>Article de bureau</t>
  </si>
  <si>
    <t>Tige de cocotier</t>
  </si>
  <si>
    <t>28 x 19 x 2</t>
  </si>
  <si>
    <t>Lampe / Abat-jour</t>
  </si>
  <si>
    <t>30 x 15 x 43</t>
  </si>
  <si>
    <t>24 x 24</t>
  </si>
  <si>
    <t>Sculpture / Masque / Statue</t>
  </si>
  <si>
    <t>Pierre</t>
  </si>
  <si>
    <t>10 x 31 x 39</t>
  </si>
  <si>
    <t>18 x 11 x 23</t>
  </si>
  <si>
    <t>Table / Console / Guéridon</t>
  </si>
  <si>
    <t>Tek</t>
  </si>
  <si>
    <t>170 x 90 x 75</t>
  </si>
  <si>
    <t>Miroir / Horloge</t>
  </si>
  <si>
    <t>57 x 57</t>
  </si>
  <si>
    <t>120 x 60 x 45</t>
  </si>
  <si>
    <t>Meuble Télé / Hi-fi</t>
  </si>
  <si>
    <t>160 x 60 x 60</t>
  </si>
  <si>
    <t>Fibres naturelles</t>
  </si>
  <si>
    <t>H : 25 / Diam : 25</t>
  </si>
  <si>
    <t>Boite / Bol / Vide-poche</t>
  </si>
  <si>
    <t>20 x 20 x 20</t>
  </si>
  <si>
    <t>Antiquités / Pièce Unique</t>
  </si>
  <si>
    <t>42 x 18 x 10</t>
  </si>
  <si>
    <t>40 x 13 x 5</t>
  </si>
  <si>
    <t>45 x 21 x 8</t>
  </si>
  <si>
    <t>Assortiment</t>
  </si>
  <si>
    <t>Cuivre / Laiton</t>
  </si>
  <si>
    <t>22 x 24 x 6</t>
  </si>
  <si>
    <t>Cendrier / Briquet / Etui / Tabatière</t>
  </si>
  <si>
    <t>12 x 12 x 4</t>
  </si>
  <si>
    <t>6 x 9 x 9</t>
  </si>
  <si>
    <t>5 x 8 x 4</t>
  </si>
  <si>
    <t>29 x 11 x 6</t>
  </si>
  <si>
    <t>Bois tropical</t>
  </si>
  <si>
    <t>23 x 8 x 8</t>
  </si>
  <si>
    <t>Patère / Equerre / Bouton de porte</t>
  </si>
  <si>
    <t>56 x 10 x 5</t>
  </si>
  <si>
    <t>15 x 15 x 20</t>
  </si>
  <si>
    <t>15 x 15 x 12</t>
  </si>
  <si>
    <t>40 x 40 x 35</t>
  </si>
  <si>
    <t>19 x 19 x 17</t>
  </si>
  <si>
    <t>34 x 34 x 10</t>
  </si>
  <si>
    <t>24 x 24 x 3</t>
  </si>
  <si>
    <t>6 x 5 x 10</t>
  </si>
  <si>
    <t>8 x 4 x 14</t>
  </si>
  <si>
    <t>43 x 20 x 5</t>
  </si>
  <si>
    <t>25 x 8 x 8</t>
  </si>
  <si>
    <t>Bougie / Bougeoir / Photophore</t>
  </si>
  <si>
    <t>Marbre / Pierre à savon</t>
  </si>
  <si>
    <t>7 x 7 x 7</t>
  </si>
  <si>
    <t>Fonte</t>
  </si>
  <si>
    <t>10 x 10 x 2</t>
  </si>
  <si>
    <t>6 x 6 x 1,5</t>
  </si>
  <si>
    <t>Résine</t>
  </si>
  <si>
    <t>8 x 5 x 9</t>
  </si>
  <si>
    <t>13 x 6 x 14</t>
  </si>
  <si>
    <t>Bois de rose</t>
  </si>
  <si>
    <t>12 x 8 x 13</t>
  </si>
  <si>
    <t>Corne</t>
  </si>
  <si>
    <t>34 x 9</t>
  </si>
  <si>
    <t>Palissandre</t>
  </si>
  <si>
    <t>33 x 8</t>
  </si>
  <si>
    <t>38 x 8</t>
  </si>
  <si>
    <t>34 x 7</t>
  </si>
  <si>
    <t>6 x 13 x 25</t>
  </si>
  <si>
    <t>73 x 58 x 3,5</t>
  </si>
  <si>
    <t>Porte / Fenêtre / Frise / Colonne</t>
  </si>
  <si>
    <t>97 x 12 x 221</t>
  </si>
  <si>
    <t>Cadre Photo</t>
  </si>
  <si>
    <t>20 x 20 x 2</t>
  </si>
  <si>
    <t>360 x 10 x 90</t>
  </si>
  <si>
    <t>Armoire / Penderie</t>
  </si>
  <si>
    <t>100 x 73 x 190</t>
  </si>
  <si>
    <t>47 x 50 x 86</t>
  </si>
  <si>
    <t>50 x 43 x 90</t>
  </si>
  <si>
    <t>13 x 2 x 5</t>
  </si>
  <si>
    <t>4 x 1,5 x 6</t>
  </si>
  <si>
    <t>Manguier</t>
  </si>
  <si>
    <t>94 X 18 X 7</t>
  </si>
  <si>
    <t>13 x 5 x 14</t>
  </si>
  <si>
    <t>11 x 10 x 22</t>
  </si>
  <si>
    <t>8 x 10 x 17</t>
  </si>
  <si>
    <t>10 X 10</t>
  </si>
  <si>
    <t>13 x 6 x 12</t>
  </si>
  <si>
    <t>23 x 50</t>
  </si>
  <si>
    <t>26 x 42</t>
  </si>
  <si>
    <t>Bambou</t>
  </si>
  <si>
    <t>ASSORTIMENT</t>
  </si>
  <si>
    <t>53 x 79 x 3</t>
  </si>
  <si>
    <t>37 x 37 x 3</t>
  </si>
  <si>
    <t>25 x 25 x 10</t>
  </si>
  <si>
    <t>25 x 25 x 5</t>
  </si>
  <si>
    <t>40 x 8 x 2</t>
  </si>
  <si>
    <t>17 x 7 x 20</t>
  </si>
  <si>
    <t>20 x 14 x 10</t>
  </si>
  <si>
    <t>20 x 5 x 20</t>
  </si>
  <si>
    <t>20 x 22 x 8</t>
  </si>
  <si>
    <t>Temple à offrandes / Objet de culte</t>
  </si>
  <si>
    <t>23 x 13 x 22</t>
  </si>
  <si>
    <t>Tapis / Caillebotis</t>
  </si>
  <si>
    <t>80 x 0,3 x 170</t>
  </si>
  <si>
    <t>100 x 0,3 x  30</t>
  </si>
  <si>
    <t>Textile / Tenture / Coussin</t>
  </si>
  <si>
    <t>Coton</t>
  </si>
  <si>
    <t>140 x 0,3 x 35</t>
  </si>
  <si>
    <t>19 x 19 x 35</t>
  </si>
  <si>
    <t>10 x 12 x 20</t>
  </si>
  <si>
    <t>12 x 12 x 15</t>
  </si>
  <si>
    <t>24 x 24 x 4</t>
  </si>
  <si>
    <t>13 x 13 x 58</t>
  </si>
  <si>
    <t xml:space="preserve">20 x 13 x 12 </t>
  </si>
  <si>
    <t>7 x 7 x 10</t>
  </si>
  <si>
    <t>ASSORTED</t>
  </si>
  <si>
    <t>70 x 70 x 25</t>
  </si>
  <si>
    <t>25 x 11 x 8</t>
  </si>
  <si>
    <t>19 x 15 x 25</t>
  </si>
  <si>
    <t>27 x 9 x 1</t>
  </si>
  <si>
    <t>5 x 5 x 98</t>
  </si>
  <si>
    <t>8 x 8x 10</t>
  </si>
  <si>
    <t>9 x 9x 10</t>
  </si>
  <si>
    <t>14 x 4 x 20</t>
  </si>
  <si>
    <t>23 x 3 x 32</t>
  </si>
  <si>
    <t>30 x 8 x 40</t>
  </si>
  <si>
    <t>18 x 18 x 23</t>
  </si>
  <si>
    <t>Verre</t>
  </si>
  <si>
    <t>24 x 24 x 45</t>
  </si>
  <si>
    <t>4,5 x 7</t>
  </si>
  <si>
    <t>27 x 27 x 50</t>
  </si>
  <si>
    <t>15 x 5 x 23</t>
  </si>
  <si>
    <t>40 x 28 x 10</t>
  </si>
  <si>
    <t>40 x 25 x 270</t>
  </si>
  <si>
    <t>111 x 15 x 268</t>
  </si>
  <si>
    <t>28 x 3 x 39</t>
  </si>
  <si>
    <t>Coffre / Malle / Ecritoire</t>
  </si>
  <si>
    <t>116 x 40 x 45</t>
  </si>
  <si>
    <t>125 x 60 x 76</t>
  </si>
  <si>
    <t>44 x 44 x 90</t>
  </si>
  <si>
    <t>Meuble de chevet / Petit mobilier</t>
  </si>
  <si>
    <t>47 x 28 x 58</t>
  </si>
  <si>
    <t>49 x 27 x 68</t>
  </si>
  <si>
    <t>62 x 28 x 59</t>
  </si>
  <si>
    <t>55 x 28 x 62</t>
  </si>
  <si>
    <t>57 x 28 x 81</t>
  </si>
  <si>
    <t>55 x 27 x 91</t>
  </si>
  <si>
    <t>52 x 29 x 96</t>
  </si>
  <si>
    <t>52 x 25 x 85</t>
  </si>
  <si>
    <t>62 x 26 x 84</t>
  </si>
  <si>
    <t>52 x 27 x 76</t>
  </si>
  <si>
    <t>35 x 35 x 26</t>
  </si>
  <si>
    <t>65 x 39 x 82</t>
  </si>
  <si>
    <t>88 x 36 x 170</t>
  </si>
  <si>
    <t>75 x 41 x 124</t>
  </si>
  <si>
    <t>53 x 30 x 120</t>
  </si>
  <si>
    <t>106 x 46 x 146</t>
  </si>
  <si>
    <t>75 x 38 x 103</t>
  </si>
  <si>
    <t>74 x 34 x 137</t>
  </si>
  <si>
    <t>Commode / Coiffeuse</t>
  </si>
  <si>
    <t>90 x 48 x 110</t>
  </si>
  <si>
    <t>97 x 45 x 76</t>
  </si>
  <si>
    <t>126 x 79 x 46</t>
  </si>
  <si>
    <t>157 x 74 x 56</t>
  </si>
  <si>
    <t>93 x 46 x 90</t>
  </si>
  <si>
    <t>140 x 59 x 158</t>
  </si>
  <si>
    <t>45 x 20 x 173</t>
  </si>
  <si>
    <t>Porte revue / Presse livre</t>
  </si>
  <si>
    <t>92 x 63 x 67</t>
  </si>
  <si>
    <t>90 x 39 x 167</t>
  </si>
  <si>
    <t>188 x 43 x 72</t>
  </si>
  <si>
    <t>182 x 28 x 28</t>
  </si>
  <si>
    <t>153 x 70 x 45</t>
  </si>
  <si>
    <t>92 x 27 x 143</t>
  </si>
  <si>
    <t>58 x 35 x 35</t>
  </si>
  <si>
    <t>103 x 32 x 102</t>
  </si>
  <si>
    <t>137 x 60 x 50</t>
  </si>
  <si>
    <t>150 x 60 x 50</t>
  </si>
  <si>
    <t>135 x 60 x 50</t>
  </si>
  <si>
    <t>59 x 20 x 108</t>
  </si>
  <si>
    <t>72 x 45 x 48</t>
  </si>
  <si>
    <t>75 x 40 x 120</t>
  </si>
  <si>
    <t>93 x 67 x 65</t>
  </si>
  <si>
    <t>29 x 29 x 23</t>
  </si>
  <si>
    <t>34 x 39 x 84</t>
  </si>
  <si>
    <t>40 x 50 x 5</t>
  </si>
  <si>
    <t>57 x 30 x 96</t>
  </si>
  <si>
    <t>30 x 2 x 50</t>
  </si>
  <si>
    <t>30 x 30 x 20</t>
  </si>
  <si>
    <t>Meuble de métier</t>
  </si>
  <si>
    <t>115 x 45 x 154</t>
  </si>
  <si>
    <t>120 x 54 x 90</t>
  </si>
  <si>
    <t>110 x 40 x 120</t>
  </si>
  <si>
    <t>76 x 40 x 130</t>
  </si>
  <si>
    <t>80 x 42 x 163</t>
  </si>
  <si>
    <t>79 x 42 x 105</t>
  </si>
  <si>
    <t>96 x 62 x 165</t>
  </si>
  <si>
    <t>95 x 37 x 170</t>
  </si>
  <si>
    <t>72 x 36 x 145</t>
  </si>
  <si>
    <t>70 x 7 x 96</t>
  </si>
  <si>
    <t>56 x 7 x 80</t>
  </si>
  <si>
    <t>80 x 40 x 104</t>
  </si>
  <si>
    <t>61 x 30 x 112</t>
  </si>
  <si>
    <t>40 x 40 x 53</t>
  </si>
  <si>
    <t>154 x 35 x 100</t>
  </si>
  <si>
    <t>94 x 40 x 124</t>
  </si>
  <si>
    <t>45 x 45 x 20</t>
  </si>
  <si>
    <t>45 x 30 x 25</t>
  </si>
  <si>
    <t>63 x 55 x 49</t>
  </si>
  <si>
    <t>33 x 33 x 47</t>
  </si>
  <si>
    <t>20 x 18 x 24</t>
  </si>
  <si>
    <t>53 x 16 x 118</t>
  </si>
  <si>
    <t>81 x 28 x 102</t>
  </si>
  <si>
    <t>147 x 48 x 94</t>
  </si>
  <si>
    <t>55 x 37 x 135</t>
  </si>
  <si>
    <t>45 x 42 x 98</t>
  </si>
  <si>
    <t>76 x 45 x 137</t>
  </si>
  <si>
    <t>54 x 36 x 136</t>
  </si>
  <si>
    <t>65 x 55 x 40</t>
  </si>
  <si>
    <t>23 x 15 x 8</t>
  </si>
  <si>
    <t>7,5 x 7,5 x 4</t>
  </si>
  <si>
    <t>52 x 12 x 162</t>
  </si>
  <si>
    <t>51 x 9 x 212</t>
  </si>
  <si>
    <t>110 x 14 x 197</t>
  </si>
  <si>
    <t>22 x 7 x 7</t>
  </si>
  <si>
    <t>31 x 3 x 45</t>
  </si>
  <si>
    <t>4 x 7 x 25</t>
  </si>
  <si>
    <t>Diam : 18 / H : 27</t>
  </si>
  <si>
    <t>65 x 30</t>
  </si>
  <si>
    <t>13 x 35</t>
  </si>
  <si>
    <t>Décoration florale</t>
  </si>
  <si>
    <t>65 x 14</t>
  </si>
  <si>
    <t>30 x 18 x 28</t>
  </si>
  <si>
    <t>35 x 35 x 45</t>
  </si>
  <si>
    <t>35 x 2 x 27</t>
  </si>
  <si>
    <t>120 x 36 x 60</t>
  </si>
  <si>
    <t>56 x 56 x 76</t>
  </si>
  <si>
    <t>60 x 35 x 30</t>
  </si>
  <si>
    <t>45 x 20 x 31</t>
  </si>
  <si>
    <t>71 x 40 x 123</t>
  </si>
  <si>
    <t>48 x 28 x 72</t>
  </si>
  <si>
    <t>51 x 41 x 84</t>
  </si>
  <si>
    <t>121 x 40 x 111</t>
  </si>
  <si>
    <t>97 x 50 x 128</t>
  </si>
  <si>
    <t>111 x 60 x 85</t>
  </si>
  <si>
    <t>30 x 30 x 40</t>
  </si>
  <si>
    <t>Meuble d'angle / Encoignure</t>
  </si>
  <si>
    <t>69 x 41 x 120</t>
  </si>
  <si>
    <t>58 x 3 x 82</t>
  </si>
  <si>
    <t>71 x 42 x 72</t>
  </si>
  <si>
    <t>20 x 16 x 34</t>
  </si>
  <si>
    <t>40 x 40 x 43</t>
  </si>
  <si>
    <t>50 x 25 x 60</t>
  </si>
  <si>
    <t>96 x 48 x 140</t>
  </si>
  <si>
    <t>90 x 54 x 44</t>
  </si>
  <si>
    <t>76 x 26 x 97</t>
  </si>
  <si>
    <t>126 x 47 x 77</t>
  </si>
  <si>
    <t>55 x 36 x 94</t>
  </si>
  <si>
    <t>56 x 36 x 80</t>
  </si>
  <si>
    <t>63 x 1 x 63</t>
  </si>
  <si>
    <t>57 x 57 x 86</t>
  </si>
  <si>
    <t>50 x 36 x 72</t>
  </si>
  <si>
    <t>55 x 36 x 92</t>
  </si>
  <si>
    <t>56 x 36 x 92</t>
  </si>
  <si>
    <t>76 x 47 x 153</t>
  </si>
  <si>
    <t>96 x 62 x 35</t>
  </si>
  <si>
    <t>73 x 52 x 54</t>
  </si>
  <si>
    <t>45 x 50 x 96</t>
  </si>
  <si>
    <t>24 x 11 x 47</t>
  </si>
  <si>
    <t>68 x 20 x 102</t>
  </si>
  <si>
    <t>36 x 32 x 65</t>
  </si>
  <si>
    <t>63 x 40 x 122</t>
  </si>
  <si>
    <t>10 x 10 x 12</t>
  </si>
  <si>
    <t>9 x 9 x 16</t>
  </si>
  <si>
    <t>8 x 8 x 11</t>
  </si>
  <si>
    <t>20 x 20 x 16</t>
  </si>
  <si>
    <t>12 x 12 x 25</t>
  </si>
  <si>
    <t>6 x 4 x 6</t>
  </si>
  <si>
    <t>5 x 5 x 3,5</t>
  </si>
  <si>
    <t>3,5 x 3,5 x 3</t>
  </si>
  <si>
    <t>10 x 10 x 5</t>
  </si>
  <si>
    <t>93 x 37 x 123</t>
  </si>
  <si>
    <t>11 x 8 x 1</t>
  </si>
  <si>
    <t>6 x 6 x 16</t>
  </si>
  <si>
    <t>Tableau / Publicité / Photo ancienne</t>
  </si>
  <si>
    <t>Papier</t>
  </si>
  <si>
    <t>104 x 2 x 32</t>
  </si>
  <si>
    <t>60 x 13 x 56</t>
  </si>
  <si>
    <t>206 x 80 x 54</t>
  </si>
  <si>
    <t>53 x 20 x 38</t>
  </si>
  <si>
    <t>135 x 48 x 140</t>
  </si>
  <si>
    <t>70 x 40 x 95</t>
  </si>
  <si>
    <t>75 x 40 x 110</t>
  </si>
  <si>
    <t>75 x 40 x 125</t>
  </si>
  <si>
    <t>76 x 40 x 125</t>
  </si>
  <si>
    <t>77 x 40 x 125</t>
  </si>
  <si>
    <t>78 x 40 x 125</t>
  </si>
  <si>
    <t>79 x 40 x 125</t>
  </si>
  <si>
    <t>60 x 35 x 90</t>
  </si>
  <si>
    <t>61 x 35 x 90</t>
  </si>
  <si>
    <t>62 x 35 x 90</t>
  </si>
  <si>
    <t>63 x 35 x 90</t>
  </si>
  <si>
    <t>64 x 35 x 90</t>
  </si>
  <si>
    <t>91 x 60 x 77</t>
  </si>
  <si>
    <t>44 x 33 x 72</t>
  </si>
  <si>
    <t>94 x 46 x 77</t>
  </si>
  <si>
    <t>85 x 45 x 79</t>
  </si>
  <si>
    <t>76 x 45 x 76</t>
  </si>
  <si>
    <t>58 x 42 x 30</t>
  </si>
  <si>
    <t>93 x 55 x 84</t>
  </si>
  <si>
    <t>124 x 44 x 190</t>
  </si>
  <si>
    <t>102 x 42 x 162</t>
  </si>
  <si>
    <t>75 x 42 x 40</t>
  </si>
  <si>
    <t>124 x 30 x 96</t>
  </si>
  <si>
    <t>70 x 32 x 121</t>
  </si>
  <si>
    <t>110 x 35 x 105</t>
  </si>
  <si>
    <t>53 x 10 x 94</t>
  </si>
  <si>
    <t>46 x 29 x 79</t>
  </si>
  <si>
    <t>50 x 17 x 130</t>
  </si>
  <si>
    <t>90 x 36 x 185</t>
  </si>
  <si>
    <t>137 x 76 x 76</t>
  </si>
  <si>
    <t>62 x 39 x 32</t>
  </si>
  <si>
    <t>64 x 25 x 129</t>
  </si>
  <si>
    <t>56 x 42 x 25</t>
  </si>
  <si>
    <t>87 x 31 x 38</t>
  </si>
  <si>
    <t>82 x 41 x 55</t>
  </si>
  <si>
    <t>102 x 45 x 41</t>
  </si>
  <si>
    <t>108 x 54 x 77</t>
  </si>
  <si>
    <t>76 x 38 x 117</t>
  </si>
  <si>
    <t>84 x 27 x 95</t>
  </si>
  <si>
    <t>169 x 27 x 55</t>
  </si>
  <si>
    <t>78 x 39 x 104</t>
  </si>
  <si>
    <t>121 x 17 x 93</t>
  </si>
  <si>
    <t>47 x 15 x 124</t>
  </si>
  <si>
    <t>38 x 17 x 109</t>
  </si>
  <si>
    <t>45 x 10 x 94</t>
  </si>
  <si>
    <t>67 x 8 x 108</t>
  </si>
  <si>
    <t>94 x 37 x 40</t>
  </si>
  <si>
    <t>84 x 30 x 155</t>
  </si>
  <si>
    <t>70 x 70 x 93</t>
  </si>
  <si>
    <t>122 x 32 x 180</t>
  </si>
  <si>
    <t>127 x 70 x 75</t>
  </si>
  <si>
    <t>122 x 34 x 162</t>
  </si>
  <si>
    <t>110 x 24 x 146</t>
  </si>
  <si>
    <t>158 x 60 x 83</t>
  </si>
  <si>
    <t>137 x 78 x 76</t>
  </si>
  <si>
    <t>93 x 37 x 162</t>
  </si>
  <si>
    <t>117 x 36 x 108</t>
  </si>
  <si>
    <t>102 x 46 x 179</t>
  </si>
  <si>
    <t>103 x 14 x 111</t>
  </si>
  <si>
    <t>98 x 13 x 111</t>
  </si>
  <si>
    <t>127 x 14 x 111</t>
  </si>
  <si>
    <t>98 x 53 x 75</t>
  </si>
  <si>
    <t>115 x 48 x 76</t>
  </si>
  <si>
    <t>55 x 41 x 122</t>
  </si>
  <si>
    <t>120 x 44 x 59</t>
  </si>
  <si>
    <t>51 x 53 x 78</t>
  </si>
  <si>
    <t>75 x 46 x 43</t>
  </si>
  <si>
    <t>60 x 45 x 33</t>
  </si>
  <si>
    <t>93 x 40 x 130</t>
  </si>
  <si>
    <t>97 x 43 x 136</t>
  </si>
  <si>
    <t>67 x 50 x 132</t>
  </si>
  <si>
    <t>139 x 29 x 71</t>
  </si>
  <si>
    <t>70 x 29 x 129</t>
  </si>
  <si>
    <t>97 x 43 x 161</t>
  </si>
  <si>
    <t>114 x 35 x 123</t>
  </si>
  <si>
    <t>106 x 25 x 5</t>
  </si>
  <si>
    <t>55 x 35 x 94</t>
  </si>
  <si>
    <t>76 x 38 x 115</t>
  </si>
  <si>
    <t>100 x 38 x 134</t>
  </si>
  <si>
    <t>96 x 30 x 95</t>
  </si>
  <si>
    <t>65 x 41 x 48</t>
  </si>
  <si>
    <t>60 x 1 x 85</t>
  </si>
  <si>
    <t>90 x 1 x 100</t>
  </si>
  <si>
    <t>30 x 2 x 80</t>
  </si>
  <si>
    <t>34 x 30 x 68</t>
  </si>
  <si>
    <t>87 x 28 x 80</t>
  </si>
  <si>
    <t>130 x 40 x 85</t>
  </si>
  <si>
    <t>83 x 40 x 48</t>
  </si>
  <si>
    <t>107 x 52 x 76</t>
  </si>
  <si>
    <t>100 x 45 x 164</t>
  </si>
  <si>
    <t>88 x 48 x 153</t>
  </si>
  <si>
    <t>125 x 45 x 178</t>
  </si>
  <si>
    <t>Divers</t>
  </si>
  <si>
    <t>90 x 52 x 30</t>
  </si>
  <si>
    <t>100 x 65 x 166</t>
  </si>
  <si>
    <t>95 x 44 x 143</t>
  </si>
  <si>
    <t>145 x 34 x 92</t>
  </si>
  <si>
    <t>60 x 33 x 90</t>
  </si>
  <si>
    <t>61 x 61 x 105</t>
  </si>
  <si>
    <t>122 x 33 x 153</t>
  </si>
  <si>
    <t>95 x 37 x 126</t>
  </si>
  <si>
    <t>40 x 30 x 45</t>
  </si>
  <si>
    <t>107 x 53 x 76</t>
  </si>
  <si>
    <t>70 x 53 x 105</t>
  </si>
  <si>
    <t>132 x 73 x 47</t>
  </si>
  <si>
    <t>92 x 30 x 42</t>
  </si>
  <si>
    <t>119 x 27 x 45</t>
  </si>
  <si>
    <t>149 x 44 x 180</t>
  </si>
  <si>
    <t>124 x 53 x 184</t>
  </si>
  <si>
    <t>64 x 34 x 69</t>
  </si>
  <si>
    <t>98 x 46 x 154</t>
  </si>
  <si>
    <t>97 x 44 x 170</t>
  </si>
  <si>
    <t>94 x 24 x 145</t>
  </si>
  <si>
    <t>89 x 35 x 170</t>
  </si>
  <si>
    <t>49 x 28 x 93</t>
  </si>
  <si>
    <t>130 x 39 x 44</t>
  </si>
  <si>
    <t>91 x 71 x 43</t>
  </si>
  <si>
    <t>91 x 44 x 46</t>
  </si>
  <si>
    <t>53 x 33 x 76</t>
  </si>
  <si>
    <t>104 x 35 x 75</t>
  </si>
  <si>
    <t>42 x 30 x 61</t>
  </si>
  <si>
    <t>115 x 33 x 67</t>
  </si>
  <si>
    <t>65 x 36 x 66</t>
  </si>
  <si>
    <t>190 x 47 x 114</t>
  </si>
  <si>
    <t>61 x 35 x 119</t>
  </si>
  <si>
    <t>72 x 39 x 120</t>
  </si>
  <si>
    <t>230 x 4 x 41</t>
  </si>
  <si>
    <t>26 x 8 x 52</t>
  </si>
  <si>
    <t>120 x 35 x 94</t>
  </si>
  <si>
    <t>72 x 39 x 92</t>
  </si>
  <si>
    <t>59 x 37 x 79</t>
  </si>
  <si>
    <t>112 x 46 x 149</t>
  </si>
  <si>
    <t>78 x 49 x 168</t>
  </si>
  <si>
    <t>78 x 39 x 130</t>
  </si>
  <si>
    <t>106 x 45 x 123</t>
  </si>
  <si>
    <t>65 x 38 x 110</t>
  </si>
  <si>
    <t>77 x 34 x 108</t>
  </si>
  <si>
    <t>76 x 35 x 105</t>
  </si>
  <si>
    <t>107 x 40 x 108</t>
  </si>
  <si>
    <t>138 x 36 x 102</t>
  </si>
  <si>
    <t>183 x 31 x 100</t>
  </si>
  <si>
    <t>90 x 42 x 185</t>
  </si>
  <si>
    <t>89 x 48 x 75</t>
  </si>
  <si>
    <t>92 x 47 x 78</t>
  </si>
  <si>
    <t>154 x 57 x 76</t>
  </si>
  <si>
    <t>92 x 54 x 81</t>
  </si>
  <si>
    <t>87 x 33 x 64</t>
  </si>
  <si>
    <t>104 x 34 x 90</t>
  </si>
  <si>
    <t>130 x 130 x 76</t>
  </si>
  <si>
    <t>130 x 45 x 50</t>
  </si>
  <si>
    <t>220 x 3 x 35</t>
  </si>
  <si>
    <t>27 x 27 x 27</t>
  </si>
  <si>
    <t>206 x 4 x 38</t>
  </si>
  <si>
    <t>75 x 33 x 42</t>
  </si>
  <si>
    <t>4 x 4 x 200</t>
  </si>
  <si>
    <t>165 x 102 x 40</t>
  </si>
  <si>
    <t>15 x 4 x 70</t>
  </si>
  <si>
    <t>10 x 4 x 70</t>
  </si>
  <si>
    <t>68 x 38 x 162</t>
  </si>
  <si>
    <t>60 x 16 x 79</t>
  </si>
  <si>
    <t>60 x 16 x 70</t>
  </si>
  <si>
    <t>112 x 48 x 80</t>
  </si>
  <si>
    <t>45 x 12 x 12</t>
  </si>
  <si>
    <t>90 x 38 x 180</t>
  </si>
  <si>
    <t>90 x 40 x 180</t>
  </si>
  <si>
    <t>38 x 34 x 60</t>
  </si>
  <si>
    <t>40 x 35 x 60</t>
  </si>
  <si>
    <t>120 x 40 x 45</t>
  </si>
  <si>
    <t>140 x 40 x 45</t>
  </si>
  <si>
    <t>180 x 40 x 45</t>
  </si>
  <si>
    <t>90 x 38 x 185</t>
  </si>
  <si>
    <t>33 x 30 x 60</t>
  </si>
  <si>
    <t>39 x 37 x 60</t>
  </si>
  <si>
    <t>45 x 40 x 60</t>
  </si>
  <si>
    <t>50 x 33 x 50</t>
  </si>
  <si>
    <t>68 x 68 x 80</t>
  </si>
  <si>
    <t>43 x 45 x 95</t>
  </si>
  <si>
    <t>30 x 2 x 34</t>
  </si>
  <si>
    <t>75 x 87 x 100</t>
  </si>
  <si>
    <t>100 x 100 x 45</t>
  </si>
  <si>
    <t>140 x 90 x 18</t>
  </si>
  <si>
    <t>160 x 90 x 18</t>
  </si>
  <si>
    <t>180 x 90 x 18</t>
  </si>
  <si>
    <t>148 x 48 x 88</t>
  </si>
  <si>
    <t>68 x 68 x 60</t>
  </si>
  <si>
    <t>130 x 70 x 60</t>
  </si>
  <si>
    <t>25 x 2 x 25</t>
  </si>
  <si>
    <t>20 x 2 x 20</t>
  </si>
  <si>
    <t>60 x 3 x 90</t>
  </si>
  <si>
    <t>165 x 40 x 77</t>
  </si>
  <si>
    <t>42 x 52 x 55</t>
  </si>
  <si>
    <t>100 x 100 x 76</t>
  </si>
  <si>
    <t>140 x 70 x 76</t>
  </si>
  <si>
    <t>160 x 90 x 76</t>
  </si>
  <si>
    <t>200 x 100 x 76</t>
  </si>
  <si>
    <t>153 x 50 x 72</t>
  </si>
  <si>
    <t>50 x 10 x 75</t>
  </si>
  <si>
    <t>92 x 10 x 32</t>
  </si>
  <si>
    <t>Chevet faits à partir d'ancien volets  avec sa patine turquoise d'origine</t>
  </si>
  <si>
    <t>Chevet faits à partir d'ancien volets  avec sa patine écrue d'origine</t>
  </si>
  <si>
    <t>Chevet faits à partir d'ancien volets  avec sa patine verte d'origine</t>
  </si>
  <si>
    <t>Chevet faits à partir d'ancien volets  avec sa patine bleue  d'origine</t>
  </si>
  <si>
    <t>Jordanie</t>
  </si>
  <si>
    <t>Danemark</t>
  </si>
  <si>
    <t>Orlando</t>
  </si>
  <si>
    <t>Lisses</t>
  </si>
  <si>
    <t>Casablanca</t>
  </si>
  <si>
    <t>Nanterre</t>
  </si>
  <si>
    <t>Bagsnot</t>
  </si>
  <si>
    <t>Honiton</t>
  </si>
  <si>
    <t>Principauté de Monaco</t>
  </si>
  <si>
    <t>République Tchèque</t>
  </si>
  <si>
    <t>Doha</t>
  </si>
  <si>
    <t>Qatar</t>
  </si>
  <si>
    <t>ESCH sur ALZETTE</t>
  </si>
  <si>
    <t>Bourg les Valence</t>
  </si>
  <si>
    <t>Etats-Unis</t>
  </si>
  <si>
    <t>Etats-Unis (Virgin Island)</t>
  </si>
  <si>
    <t>NEW YORK</t>
  </si>
  <si>
    <t>SAINT BARTHELEMY</t>
  </si>
  <si>
    <t>Gustavia  Saint Barthélemy</t>
  </si>
  <si>
    <t>LE DIAMANT -Martinique</t>
  </si>
  <si>
    <t>Rivière-Salée - Martinique</t>
  </si>
  <si>
    <t>LA FLOTTE</t>
  </si>
  <si>
    <t>THESSALONIQUE</t>
  </si>
  <si>
    <t>1 rue Gérard</t>
  </si>
  <si>
    <t>Sté Déco Archi 272</t>
  </si>
  <si>
    <t>Sté Déco Archi 273</t>
  </si>
  <si>
    <t>Sté Déco Archi 405</t>
  </si>
  <si>
    <t>Sté Déco Archi 501</t>
  </si>
  <si>
    <t>Sté Déco Archi 909</t>
  </si>
  <si>
    <t>Sté Déco Archi 936</t>
  </si>
  <si>
    <t>Sté Déco Archi 940</t>
  </si>
  <si>
    <t>Sté Déco Archi 964</t>
  </si>
  <si>
    <t>Sté Déco Archi 975</t>
  </si>
  <si>
    <t>Sté Déco Archi 1076</t>
  </si>
  <si>
    <t>Sté Déco Archi 1085</t>
  </si>
  <si>
    <t>Sté Déco Archi 1219</t>
  </si>
  <si>
    <t>Sté Déco Archi 1229</t>
  </si>
  <si>
    <t>Sté Déco Archi 1312</t>
  </si>
  <si>
    <t>Sté Déco Archi 1372</t>
  </si>
  <si>
    <t>Sté Déco Archi 1656</t>
  </si>
  <si>
    <t>Sté Déco Archi 1704</t>
  </si>
  <si>
    <t>Sté Déco Archi 1720</t>
  </si>
  <si>
    <t>Personne 000</t>
  </si>
  <si>
    <t>Personne 001</t>
  </si>
  <si>
    <t>Personne 002</t>
  </si>
  <si>
    <t>Personne 003</t>
  </si>
  <si>
    <t>Personne 004</t>
  </si>
  <si>
    <t>Personne 005</t>
  </si>
  <si>
    <t>Personne 006</t>
  </si>
  <si>
    <t>Personne 007</t>
  </si>
  <si>
    <t>Personne 008</t>
  </si>
  <si>
    <t>Personne 009</t>
  </si>
  <si>
    <t>Personne 010</t>
  </si>
  <si>
    <t>Personne 011</t>
  </si>
  <si>
    <t>Personne 012</t>
  </si>
  <si>
    <t>Personne 013</t>
  </si>
  <si>
    <t>Personne 014</t>
  </si>
  <si>
    <t>Personne 015</t>
  </si>
  <si>
    <t>Personne 016</t>
  </si>
  <si>
    <t>Personne 017</t>
  </si>
  <si>
    <t>Personne 018</t>
  </si>
  <si>
    <t>Personne 019</t>
  </si>
  <si>
    <t>Personne 020</t>
  </si>
  <si>
    <t>Personne 021</t>
  </si>
  <si>
    <t>Personne 022</t>
  </si>
  <si>
    <t>Personne 023</t>
  </si>
  <si>
    <t>Personne 024</t>
  </si>
  <si>
    <t>Personne 025</t>
  </si>
  <si>
    <t>Personne 026</t>
  </si>
  <si>
    <t>Personne 027</t>
  </si>
  <si>
    <t>Personne 028</t>
  </si>
  <si>
    <t>Personne 029</t>
  </si>
  <si>
    <t>Personne 030</t>
  </si>
  <si>
    <t>Personne 031</t>
  </si>
  <si>
    <t>Personne 032</t>
  </si>
  <si>
    <t>Personne 033</t>
  </si>
  <si>
    <t>Personne 034</t>
  </si>
  <si>
    <t>Personne 035</t>
  </si>
  <si>
    <t>Personne 036</t>
  </si>
  <si>
    <t>Personne 037</t>
  </si>
  <si>
    <t>Personne 038</t>
  </si>
  <si>
    <t>Personne 039</t>
  </si>
  <si>
    <t>Personne 040</t>
  </si>
  <si>
    <t>Personne 041</t>
  </si>
  <si>
    <t>Personne 042</t>
  </si>
  <si>
    <t>Personne 043</t>
  </si>
  <si>
    <t>Personne 044</t>
  </si>
  <si>
    <t>Personne 045</t>
  </si>
  <si>
    <t>Personne 046</t>
  </si>
  <si>
    <t>Personne 047</t>
  </si>
  <si>
    <t>Personne 048</t>
  </si>
  <si>
    <t>Personne 049</t>
  </si>
  <si>
    <t>Personne 050</t>
  </si>
  <si>
    <t>Personne 051</t>
  </si>
  <si>
    <t>Personne 052</t>
  </si>
  <si>
    <t>Personne 053</t>
  </si>
  <si>
    <t>Personne 054</t>
  </si>
  <si>
    <t>Personne 055</t>
  </si>
  <si>
    <t>Personne 056</t>
  </si>
  <si>
    <t>Personne 057</t>
  </si>
  <si>
    <t>Personne 058</t>
  </si>
  <si>
    <t>Personne 059</t>
  </si>
  <si>
    <t>Personne 060</t>
  </si>
  <si>
    <t>Personne 061</t>
  </si>
  <si>
    <t>Personne 062</t>
  </si>
  <si>
    <t>Personne 063</t>
  </si>
  <si>
    <t>Personne 064</t>
  </si>
  <si>
    <t>Personne 065</t>
  </si>
  <si>
    <t>Personne 066</t>
  </si>
  <si>
    <t>Personne 067</t>
  </si>
  <si>
    <t>Personne 068</t>
  </si>
  <si>
    <t>Personne 069</t>
  </si>
  <si>
    <t>Personne 070</t>
  </si>
  <si>
    <t>Personne 071</t>
  </si>
  <si>
    <t>Personne 072</t>
  </si>
  <si>
    <t>Personne 073</t>
  </si>
  <si>
    <t>Personne 074</t>
  </si>
  <si>
    <t>Personne 075</t>
  </si>
  <si>
    <t>Personne 076</t>
  </si>
  <si>
    <t>Personne 077</t>
  </si>
  <si>
    <t>Personne 078</t>
  </si>
  <si>
    <t>Personne 079</t>
  </si>
  <si>
    <t>Personne 080</t>
  </si>
  <si>
    <t>Personne 081</t>
  </si>
  <si>
    <t>Personne 082</t>
  </si>
  <si>
    <t>Personne 083</t>
  </si>
  <si>
    <t>Personne 084</t>
  </si>
  <si>
    <t>Personne 085</t>
  </si>
  <si>
    <t>Personne 086</t>
  </si>
  <si>
    <t>Personne 087</t>
  </si>
  <si>
    <t>Personne 088</t>
  </si>
  <si>
    <t>Personne 089</t>
  </si>
  <si>
    <t>Personne 090</t>
  </si>
  <si>
    <t>Personne 091</t>
  </si>
  <si>
    <t>Personne 092</t>
  </si>
  <si>
    <t>Personne 093</t>
  </si>
  <si>
    <t>Personne 094</t>
  </si>
  <si>
    <t>Personne 095</t>
  </si>
  <si>
    <t>Personne 096</t>
  </si>
  <si>
    <t>Personne 097</t>
  </si>
  <si>
    <t>Personne 098</t>
  </si>
  <si>
    <t>Personne 099</t>
  </si>
  <si>
    <t>Personne 100</t>
  </si>
  <si>
    <t>Personne 101</t>
  </si>
  <si>
    <t>Personne 102</t>
  </si>
  <si>
    <t>Personne 103</t>
  </si>
  <si>
    <t>Personne 104</t>
  </si>
  <si>
    <t>Personne 105</t>
  </si>
  <si>
    <t>Personne 106</t>
  </si>
  <si>
    <t>Personne 107</t>
  </si>
  <si>
    <t>Personne 108</t>
  </si>
  <si>
    <t>Personne 109</t>
  </si>
  <si>
    <t>Personne 110</t>
  </si>
  <si>
    <t>Personne 111</t>
  </si>
  <si>
    <t>Personne 112</t>
  </si>
  <si>
    <t>Personne 113</t>
  </si>
  <si>
    <t>Personne 114</t>
  </si>
  <si>
    <t>Personne 115</t>
  </si>
  <si>
    <t>Personne 116</t>
  </si>
  <si>
    <t>Personne 117</t>
  </si>
  <si>
    <t>Personne 118</t>
  </si>
  <si>
    <t>Personne 119</t>
  </si>
  <si>
    <t>Personne 120</t>
  </si>
  <si>
    <t>Personne 121</t>
  </si>
  <si>
    <t>Personne 122</t>
  </si>
  <si>
    <t>Personne 123</t>
  </si>
  <si>
    <t>Personne 124</t>
  </si>
  <si>
    <t>Personne 125</t>
  </si>
  <si>
    <t>Personne 126</t>
  </si>
  <si>
    <t>Personne 127</t>
  </si>
  <si>
    <t>Personne 128</t>
  </si>
  <si>
    <t>Personne 129</t>
  </si>
  <si>
    <t>Personne 130</t>
  </si>
  <si>
    <t>Personne 131</t>
  </si>
  <si>
    <t>Personne 132</t>
  </si>
  <si>
    <t>Personne 133</t>
  </si>
  <si>
    <t>Personne 134</t>
  </si>
  <si>
    <t>Personne 140</t>
  </si>
  <si>
    <t>Personne 142</t>
  </si>
  <si>
    <t>Personne 146</t>
  </si>
  <si>
    <t>Personne 147</t>
  </si>
  <si>
    <t>Personne 148</t>
  </si>
  <si>
    <t>Personne 149</t>
  </si>
  <si>
    <t>Personne 150</t>
  </si>
  <si>
    <t>Personne 151</t>
  </si>
  <si>
    <t>Personne 152</t>
  </si>
  <si>
    <t>Personne 154</t>
  </si>
  <si>
    <t>Personne 155</t>
  </si>
  <si>
    <t>Personne 158</t>
  </si>
  <si>
    <t>Personne 159</t>
  </si>
  <si>
    <t>Personne 160</t>
  </si>
  <si>
    <t>Personne 161</t>
  </si>
  <si>
    <t>Personne 162</t>
  </si>
  <si>
    <t>Personne 163</t>
  </si>
  <si>
    <t>Personne 164</t>
  </si>
  <si>
    <t>Personne 165</t>
  </si>
  <si>
    <t>Personne 166</t>
  </si>
  <si>
    <t>Personne 167</t>
  </si>
  <si>
    <t>Personne 168</t>
  </si>
  <si>
    <t>Personne 169</t>
  </si>
  <si>
    <t>Personne 170</t>
  </si>
  <si>
    <t>Personne 171</t>
  </si>
  <si>
    <t>Personne 172</t>
  </si>
  <si>
    <t>Personne 173</t>
  </si>
  <si>
    <t>Personne 174</t>
  </si>
  <si>
    <t>Personne 175</t>
  </si>
  <si>
    <t>Personne 176</t>
  </si>
  <si>
    <t>Personne 177</t>
  </si>
  <si>
    <t>Personne 178</t>
  </si>
  <si>
    <t>Personne 179</t>
  </si>
  <si>
    <t>Personne 180</t>
  </si>
  <si>
    <t>Personne 181</t>
  </si>
  <si>
    <t>Personne 182</t>
  </si>
  <si>
    <t>Personne 183</t>
  </si>
  <si>
    <t>Personne 184</t>
  </si>
  <si>
    <t>Personne 185</t>
  </si>
  <si>
    <t>Personne 186</t>
  </si>
  <si>
    <t>Personne 187</t>
  </si>
  <si>
    <t>Personne 188</t>
  </si>
  <si>
    <t>Personne 189</t>
  </si>
  <si>
    <t>Personne 190</t>
  </si>
  <si>
    <t>Personne 191</t>
  </si>
  <si>
    <t>Personne 192</t>
  </si>
  <si>
    <t>Personne 193</t>
  </si>
  <si>
    <t>Personne 194</t>
  </si>
  <si>
    <t>Personne 195</t>
  </si>
  <si>
    <t>Personne 196</t>
  </si>
  <si>
    <t>Personne 197</t>
  </si>
  <si>
    <t>Personne 198</t>
  </si>
  <si>
    <t>Personne 199</t>
  </si>
  <si>
    <t>Personne 200</t>
  </si>
  <si>
    <t>Personne 201</t>
  </si>
  <si>
    <t>Personne 202</t>
  </si>
  <si>
    <t>Personne 203</t>
  </si>
  <si>
    <t>Personne 204</t>
  </si>
  <si>
    <t>Personne 205</t>
  </si>
  <si>
    <t>Personne 206</t>
  </si>
  <si>
    <t>Personne 207</t>
  </si>
  <si>
    <t>Personne 208</t>
  </si>
  <si>
    <t>Personne 209</t>
  </si>
  <si>
    <t>Personne 210</t>
  </si>
  <si>
    <t>Personne 211</t>
  </si>
  <si>
    <t>Personne 212</t>
  </si>
  <si>
    <t>Personne 213</t>
  </si>
  <si>
    <t>Personne 214</t>
  </si>
  <si>
    <t>Personne 215</t>
  </si>
  <si>
    <t>Personne 216</t>
  </si>
  <si>
    <t>Personne 217</t>
  </si>
  <si>
    <t>Personne 218</t>
  </si>
  <si>
    <t>Personne 219</t>
  </si>
  <si>
    <t>Personne 220</t>
  </si>
  <si>
    <t>Personne 221</t>
  </si>
  <si>
    <t>Personne 222</t>
  </si>
  <si>
    <t>Personne 223</t>
  </si>
  <si>
    <t>Personne 224</t>
  </si>
  <si>
    <t>Personne 225</t>
  </si>
  <si>
    <t>Personne 226</t>
  </si>
  <si>
    <t>Personne 227</t>
  </si>
  <si>
    <t>Personne 228</t>
  </si>
  <si>
    <t>Personne 229</t>
  </si>
  <si>
    <t>Personne 230</t>
  </si>
  <si>
    <t>Personne 231</t>
  </si>
  <si>
    <t>Personne 232</t>
  </si>
  <si>
    <t>Personne 233</t>
  </si>
  <si>
    <t>Personne 234</t>
  </si>
  <si>
    <t>Personne 235</t>
  </si>
  <si>
    <t>Personne 236</t>
  </si>
  <si>
    <t>Personne 237</t>
  </si>
  <si>
    <t>Personne 238</t>
  </si>
  <si>
    <t>Personne 239</t>
  </si>
  <si>
    <t>Personne 240</t>
  </si>
  <si>
    <t>Personne 241</t>
  </si>
  <si>
    <t>Personne 242</t>
  </si>
  <si>
    <t>Personne 243</t>
  </si>
  <si>
    <t>Personne 244</t>
  </si>
  <si>
    <t>Personne 245</t>
  </si>
  <si>
    <t>Personne 246</t>
  </si>
  <si>
    <t>Personne 247</t>
  </si>
  <si>
    <t>Personne 248</t>
  </si>
  <si>
    <t>Personne 249</t>
  </si>
  <si>
    <t>Personne 250</t>
  </si>
  <si>
    <t>Personne 251</t>
  </si>
  <si>
    <t>Personne 252</t>
  </si>
  <si>
    <t>Personne 253</t>
  </si>
  <si>
    <t>Personne 254</t>
  </si>
  <si>
    <t>Personne 255</t>
  </si>
  <si>
    <t>Personne 256</t>
  </si>
  <si>
    <t>Personne 257</t>
  </si>
  <si>
    <t>Personne 258</t>
  </si>
  <si>
    <t>Personne 259</t>
  </si>
  <si>
    <t>Personne 260</t>
  </si>
  <si>
    <t>Personne 261</t>
  </si>
  <si>
    <t>Personne 262</t>
  </si>
  <si>
    <t>Personne 263</t>
  </si>
  <si>
    <t>Personne 264</t>
  </si>
  <si>
    <t>Personne 265</t>
  </si>
  <si>
    <t>Personne 266</t>
  </si>
  <si>
    <t>Personne 267</t>
  </si>
  <si>
    <t>Personne 268</t>
  </si>
  <si>
    <t>Personne 269</t>
  </si>
  <si>
    <t>Personne 270</t>
  </si>
  <si>
    <t>Personne 271</t>
  </si>
  <si>
    <t>Personne 274</t>
  </si>
  <si>
    <t>Personne 275</t>
  </si>
  <si>
    <t>Personne 276</t>
  </si>
  <si>
    <t>Personne 277</t>
  </si>
  <si>
    <t>Personne 278</t>
  </si>
  <si>
    <t>Personne 279</t>
  </si>
  <si>
    <t>Personne 280</t>
  </si>
  <si>
    <t>Personne 281</t>
  </si>
  <si>
    <t>Personne 284</t>
  </si>
  <si>
    <t>Personne 285</t>
  </si>
  <si>
    <t>Personne 286</t>
  </si>
  <si>
    <t>Personne 288</t>
  </si>
  <si>
    <t>Personne 289</t>
  </si>
  <si>
    <t>Personne 290</t>
  </si>
  <si>
    <t>Personne 291</t>
  </si>
  <si>
    <t>Personne 292</t>
  </si>
  <si>
    <t>Personne 293</t>
  </si>
  <si>
    <t>Personne 294</t>
  </si>
  <si>
    <t>Personne 295</t>
  </si>
  <si>
    <t>Personne 297</t>
  </si>
  <si>
    <t>Personne 298</t>
  </si>
  <si>
    <t>Personne 299</t>
  </si>
  <si>
    <t>Personne 300</t>
  </si>
  <si>
    <t>Personne 301</t>
  </si>
  <si>
    <t>Personne 302</t>
  </si>
  <si>
    <t>Personne 303</t>
  </si>
  <si>
    <t>Personne 304</t>
  </si>
  <si>
    <t>Personne 305</t>
  </si>
  <si>
    <t>Personne 306</t>
  </si>
  <si>
    <t>Personne 307</t>
  </si>
  <si>
    <t>Personne 308</t>
  </si>
  <si>
    <t>Personne 309</t>
  </si>
  <si>
    <t>Personne 310</t>
  </si>
  <si>
    <t>Personne 311</t>
  </si>
  <si>
    <t>Personne 312</t>
  </si>
  <si>
    <t>Personne 313</t>
  </si>
  <si>
    <t>Personne 314</t>
  </si>
  <si>
    <t>Personne 315</t>
  </si>
  <si>
    <t>Personne 316</t>
  </si>
  <si>
    <t>Personne 317</t>
  </si>
  <si>
    <t>Personne 318</t>
  </si>
  <si>
    <t>Personne 319</t>
  </si>
  <si>
    <t>Personne 320</t>
  </si>
  <si>
    <t>Personne 321</t>
  </si>
  <si>
    <t>Personne 322</t>
  </si>
  <si>
    <t>Personne 323</t>
  </si>
  <si>
    <t>Personne 324</t>
  </si>
  <si>
    <t>Personne 325</t>
  </si>
  <si>
    <t>Personne 326</t>
  </si>
  <si>
    <t>Personne 327</t>
  </si>
  <si>
    <t>Personne 328</t>
  </si>
  <si>
    <t>Personne 329</t>
  </si>
  <si>
    <t>Personne 330</t>
  </si>
  <si>
    <t>Personne 331</t>
  </si>
  <si>
    <t>Personne 332</t>
  </si>
  <si>
    <t>Personne 333</t>
  </si>
  <si>
    <t>Personne 334</t>
  </si>
  <si>
    <t>Personne 336</t>
  </si>
  <si>
    <t>Personne 337</t>
  </si>
  <si>
    <t>Personne 338</t>
  </si>
  <si>
    <t>Personne 339</t>
  </si>
  <si>
    <t>Personne 340</t>
  </si>
  <si>
    <t>Personne 341</t>
  </si>
  <si>
    <t>Personne 342</t>
  </si>
  <si>
    <t>Personne 343</t>
  </si>
  <si>
    <t>Personne 344</t>
  </si>
  <si>
    <t>Personne 345</t>
  </si>
  <si>
    <t>Personne 346</t>
  </si>
  <si>
    <t>Personne 347</t>
  </si>
  <si>
    <t>Personne 348</t>
  </si>
  <si>
    <t>Personne 349</t>
  </si>
  <si>
    <t>Personne 350</t>
  </si>
  <si>
    <t>Personne 351</t>
  </si>
  <si>
    <t>Personne 352</t>
  </si>
  <si>
    <t>Personne 353</t>
  </si>
  <si>
    <t>Personne 354</t>
  </si>
  <si>
    <t>Personne 356</t>
  </si>
  <si>
    <t>Personne 357</t>
  </si>
  <si>
    <t>Personne 358</t>
  </si>
  <si>
    <t>Personne 359</t>
  </si>
  <si>
    <t>Personne 360</t>
  </si>
  <si>
    <t>Personne 364</t>
  </si>
  <si>
    <t>Personne 365</t>
  </si>
  <si>
    <t>Personne 366</t>
  </si>
  <si>
    <t>Personne 367</t>
  </si>
  <si>
    <t>Personne 368</t>
  </si>
  <si>
    <t>Personne 369</t>
  </si>
  <si>
    <t>Personne 370</t>
  </si>
  <si>
    <t>Personne 371</t>
  </si>
  <si>
    <t>Personne 372</t>
  </si>
  <si>
    <t>Personne 373</t>
  </si>
  <si>
    <t>Personne 374</t>
  </si>
  <si>
    <t>Personne 375</t>
  </si>
  <si>
    <t>Personne 376</t>
  </si>
  <si>
    <t>Personne 377</t>
  </si>
  <si>
    <t>Personne 378</t>
  </si>
  <si>
    <t>Personne 379</t>
  </si>
  <si>
    <t>Personne 380</t>
  </si>
  <si>
    <t>Personne 381</t>
  </si>
  <si>
    <t>Personne 382</t>
  </si>
  <si>
    <t>Personne 383</t>
  </si>
  <si>
    <t>Personne 384</t>
  </si>
  <si>
    <t>Personne 385</t>
  </si>
  <si>
    <t>Personne 386</t>
  </si>
  <si>
    <t>Personne 387</t>
  </si>
  <si>
    <t>Personne 388</t>
  </si>
  <si>
    <t>Personne 389</t>
  </si>
  <si>
    <t>Personne 390</t>
  </si>
  <si>
    <t>Personne 391</t>
  </si>
  <si>
    <t>Personne 392</t>
  </si>
  <si>
    <t>Personne 393</t>
  </si>
  <si>
    <t>Personne 394</t>
  </si>
  <si>
    <t>Personne 395</t>
  </si>
  <si>
    <t>Personne 396</t>
  </si>
  <si>
    <t>Personne 397</t>
  </si>
  <si>
    <t>Personne 398</t>
  </si>
  <si>
    <t>Personne 399</t>
  </si>
  <si>
    <t>Personne 400</t>
  </si>
  <si>
    <t>Personne 401</t>
  </si>
  <si>
    <t>Personne 402</t>
  </si>
  <si>
    <t>Personne 408</t>
  </si>
  <si>
    <t>Personne 409</t>
  </si>
  <si>
    <t>Personne 410</t>
  </si>
  <si>
    <t>Personne 411</t>
  </si>
  <si>
    <t>Personne 412</t>
  </si>
  <si>
    <t>Personne 413</t>
  </si>
  <si>
    <t>Personne 414</t>
  </si>
  <si>
    <t>Personne 417</t>
  </si>
  <si>
    <t>Personne 419</t>
  </si>
  <si>
    <t>Personne 420</t>
  </si>
  <si>
    <t>Personne 421</t>
  </si>
  <si>
    <t>Personne 422</t>
  </si>
  <si>
    <t>Personne 423</t>
  </si>
  <si>
    <t>Personne 424</t>
  </si>
  <si>
    <t>Personne 425</t>
  </si>
  <si>
    <t>Personne 426</t>
  </si>
  <si>
    <t>Personne 427</t>
  </si>
  <si>
    <t>Personne 429</t>
  </si>
  <si>
    <t>Personne 430</t>
  </si>
  <si>
    <t>Personne 431</t>
  </si>
  <si>
    <t>Personne 432</t>
  </si>
  <si>
    <t>Personne 433</t>
  </si>
  <si>
    <t>Personne 434</t>
  </si>
  <si>
    <t>Personne 435</t>
  </si>
  <si>
    <t>Personne 436</t>
  </si>
  <si>
    <t>Personne 438</t>
  </si>
  <si>
    <t>Personne 462</t>
  </si>
  <si>
    <t>Personne 463</t>
  </si>
  <si>
    <t>Personne 464</t>
  </si>
  <si>
    <t>Personne 465</t>
  </si>
  <si>
    <t>Personne 466</t>
  </si>
  <si>
    <t>Personne 467</t>
  </si>
  <si>
    <t>Personne 469</t>
  </si>
  <si>
    <t>Personne 470</t>
  </si>
  <si>
    <t>Personne 474</t>
  </si>
  <si>
    <t>Personne 478</t>
  </si>
  <si>
    <t>Personne 479</t>
  </si>
  <si>
    <t>Personne 488</t>
  </si>
  <si>
    <t>Personne 490</t>
  </si>
  <si>
    <t>Personne 491</t>
  </si>
  <si>
    <t>Personne 492</t>
  </si>
  <si>
    <t>Personne 493</t>
  </si>
  <si>
    <t>Personne 509</t>
  </si>
  <si>
    <t>Personne 510</t>
  </si>
  <si>
    <t>Personne 514</t>
  </si>
  <si>
    <t>Personne 517</t>
  </si>
  <si>
    <t>Personne 520</t>
  </si>
  <si>
    <t>Personne 521</t>
  </si>
  <si>
    <t>Personne 522</t>
  </si>
  <si>
    <t>Personne 523</t>
  </si>
  <si>
    <t>Personne 524</t>
  </si>
  <si>
    <t>Personne 526</t>
  </si>
  <si>
    <t>Personne 528</t>
  </si>
  <si>
    <t>Personne 531</t>
  </si>
  <si>
    <t>Personne 533</t>
  </si>
  <si>
    <t>Personne 534</t>
  </si>
  <si>
    <t>Personne 535</t>
  </si>
  <si>
    <t>Personne 536</t>
  </si>
  <si>
    <t>Personne 537</t>
  </si>
  <si>
    <t>Personne 539</t>
  </si>
  <si>
    <t>Personne 540</t>
  </si>
  <si>
    <t>Personne 542</t>
  </si>
  <si>
    <t>Personne 543</t>
  </si>
  <si>
    <t>Personne 544</t>
  </si>
  <si>
    <t>Personne 546</t>
  </si>
  <si>
    <t>Personne 547</t>
  </si>
  <si>
    <t>Personne 548</t>
  </si>
  <si>
    <t>Personne 549</t>
  </si>
  <si>
    <t>Personne 550</t>
  </si>
  <si>
    <t>Personne 551</t>
  </si>
  <si>
    <t>Personne 553</t>
  </si>
  <si>
    <t>Personne 554</t>
  </si>
  <si>
    <t>Personne 555</t>
  </si>
  <si>
    <t>Personne 556</t>
  </si>
  <si>
    <t>Personne 557</t>
  </si>
  <si>
    <t>Personne 558</t>
  </si>
  <si>
    <t>Personne 559</t>
  </si>
  <si>
    <t>Personne 560</t>
  </si>
  <si>
    <t>Personne 561</t>
  </si>
  <si>
    <t>Personne 562</t>
  </si>
  <si>
    <t>Personne 563</t>
  </si>
  <si>
    <t>Personne 564</t>
  </si>
  <si>
    <t>Personne 565</t>
  </si>
  <si>
    <t>Personne 568</t>
  </si>
  <si>
    <t>Personne 569</t>
  </si>
  <si>
    <t>Personne 570</t>
  </si>
  <si>
    <t>Personne 571</t>
  </si>
  <si>
    <t>Personne 576</t>
  </si>
  <si>
    <t>Personne 577</t>
  </si>
  <si>
    <t>Personne 578</t>
  </si>
  <si>
    <t>Personne 594</t>
  </si>
  <si>
    <t>Personne 595</t>
  </si>
  <si>
    <t>Personne 620</t>
  </si>
  <si>
    <t>Personne 625</t>
  </si>
  <si>
    <t>Personne 626</t>
  </si>
  <si>
    <t>Personne 629</t>
  </si>
  <si>
    <t>Personne 630</t>
  </si>
  <si>
    <t>Personne 633</t>
  </si>
  <si>
    <t>Personne 636</t>
  </si>
  <si>
    <t>Personne 640</t>
  </si>
  <si>
    <t>Personne 663</t>
  </si>
  <si>
    <t>Personne 664</t>
  </si>
  <si>
    <t>Personne 666</t>
  </si>
  <si>
    <t>Personne 668</t>
  </si>
  <si>
    <t>Personne 669</t>
  </si>
  <si>
    <t>Personne 670</t>
  </si>
  <si>
    <t>Personne 671</t>
  </si>
  <si>
    <t>Personne 672</t>
  </si>
  <si>
    <t>Personne 673</t>
  </si>
  <si>
    <t>Personne 674</t>
  </si>
  <si>
    <t>Personne 675</t>
  </si>
  <si>
    <t>Personne 676</t>
  </si>
  <si>
    <t>Personne 677</t>
  </si>
  <si>
    <t>Personne 678</t>
  </si>
  <si>
    <t>Personne 679</t>
  </si>
  <si>
    <t>Personne 680</t>
  </si>
  <si>
    <t>Personne 681</t>
  </si>
  <si>
    <t>Personne 682</t>
  </si>
  <si>
    <t>Personne 683</t>
  </si>
  <si>
    <t>Personne 684</t>
  </si>
  <si>
    <t>Personne 685</t>
  </si>
  <si>
    <t>Personne 686</t>
  </si>
  <si>
    <t>Personne 687</t>
  </si>
  <si>
    <t>Personne 688</t>
  </si>
  <si>
    <t>Personne 689</t>
  </si>
  <si>
    <t>Personne 690</t>
  </si>
  <si>
    <t>Personne 691</t>
  </si>
  <si>
    <t>Personne 692</t>
  </si>
  <si>
    <t>Personne 693</t>
  </si>
  <si>
    <t>Personne 694</t>
  </si>
  <si>
    <t>Personne 695</t>
  </si>
  <si>
    <t>Personne 696</t>
  </si>
  <si>
    <t>Personne 697</t>
  </si>
  <si>
    <t>Personne 698</t>
  </si>
  <si>
    <t>Personne 699</t>
  </si>
  <si>
    <t>Personne 700</t>
  </si>
  <si>
    <t>Personne 701</t>
  </si>
  <si>
    <t>Personne 702</t>
  </si>
  <si>
    <t>Personne 703</t>
  </si>
  <si>
    <t>Personne 711</t>
  </si>
  <si>
    <t>Personne 718</t>
  </si>
  <si>
    <t>Personne 719</t>
  </si>
  <si>
    <t>Personne 720</t>
  </si>
  <si>
    <t>Personne 721</t>
  </si>
  <si>
    <t>Personne 722</t>
  </si>
  <si>
    <t>Personne 723</t>
  </si>
  <si>
    <t>Personne 724</t>
  </si>
  <si>
    <t>Personne 725</t>
  </si>
  <si>
    <t>Personne 726</t>
  </si>
  <si>
    <t>Personne 727</t>
  </si>
  <si>
    <t>Personne 730</t>
  </si>
  <si>
    <t>Personne 732</t>
  </si>
  <si>
    <t>Personne 734</t>
  </si>
  <si>
    <t>Personne 735</t>
  </si>
  <si>
    <t>Personne 736</t>
  </si>
  <si>
    <t>Personne 737</t>
  </si>
  <si>
    <t>Personne 738</t>
  </si>
  <si>
    <t>Personne 739</t>
  </si>
  <si>
    <t>Personne 740</t>
  </si>
  <si>
    <t>Personne 741</t>
  </si>
  <si>
    <t>Personne 743</t>
  </si>
  <si>
    <t>Personne 744</t>
  </si>
  <si>
    <t>Personne 745</t>
  </si>
  <si>
    <t>Personne 747</t>
  </si>
  <si>
    <t>Personne 748</t>
  </si>
  <si>
    <t>Personne 749</t>
  </si>
  <si>
    <t>Personne 752</t>
  </si>
  <si>
    <t>Personne 753</t>
  </si>
  <si>
    <t>Personne 754</t>
  </si>
  <si>
    <t>Personne 756</t>
  </si>
  <si>
    <t>Personne 757</t>
  </si>
  <si>
    <t>Personne 758</t>
  </si>
  <si>
    <t>Personne 761</t>
  </si>
  <si>
    <t>Personne 762</t>
  </si>
  <si>
    <t>Personne 763</t>
  </si>
  <si>
    <t>Personne 764</t>
  </si>
  <si>
    <t>Personne 766</t>
  </si>
  <si>
    <t>Personne 767</t>
  </si>
  <si>
    <t>Personne 768</t>
  </si>
  <si>
    <t>Personne 769</t>
  </si>
  <si>
    <t>Personne 770</t>
  </si>
  <si>
    <t>Personne 772</t>
  </si>
  <si>
    <t>Personne 773</t>
  </si>
  <si>
    <t>Personne 776</t>
  </si>
  <si>
    <t>Personne 777</t>
  </si>
  <si>
    <t>Personne 778</t>
  </si>
  <si>
    <t>Personne 779</t>
  </si>
  <si>
    <t>Personne 780</t>
  </si>
  <si>
    <t>Personne 781</t>
  </si>
  <si>
    <t>Personne 782</t>
  </si>
  <si>
    <t>Personne 783</t>
  </si>
  <si>
    <t>Personne 784</t>
  </si>
  <si>
    <t>Personne 785</t>
  </si>
  <si>
    <t>Personne 787</t>
  </si>
  <si>
    <t>Personne 788</t>
  </si>
  <si>
    <t>Personne 789</t>
  </si>
  <si>
    <t>Personne 790</t>
  </si>
  <si>
    <t>Personne 791</t>
  </si>
  <si>
    <t>Personne 792</t>
  </si>
  <si>
    <t>Personne 793</t>
  </si>
  <si>
    <t>Personne 794</t>
  </si>
  <si>
    <t>Personne 795</t>
  </si>
  <si>
    <t>Personne 796</t>
  </si>
  <si>
    <t>Personne 797</t>
  </si>
  <si>
    <t>Personne 798</t>
  </si>
  <si>
    <t>Personne 799</t>
  </si>
  <si>
    <t>Personne 800</t>
  </si>
  <si>
    <t>Personne 801</t>
  </si>
  <si>
    <t>Personne 802</t>
  </si>
  <si>
    <t>Personne 803</t>
  </si>
  <si>
    <t>Personne 804</t>
  </si>
  <si>
    <t>Personne 805</t>
  </si>
  <si>
    <t>Personne 806</t>
  </si>
  <si>
    <t>Personne 807</t>
  </si>
  <si>
    <t>Personne 808</t>
  </si>
  <si>
    <t>Personne 809</t>
  </si>
  <si>
    <t>Personne 810</t>
  </si>
  <si>
    <t>Personne 811</t>
  </si>
  <si>
    <t>Personne 812</t>
  </si>
  <si>
    <t>Personne 813</t>
  </si>
  <si>
    <t>Personne 814</t>
  </si>
  <si>
    <t>Personne 815</t>
  </si>
  <si>
    <t>Personne 816</t>
  </si>
  <si>
    <t>Personne 817</t>
  </si>
  <si>
    <t>Personne 820</t>
  </si>
  <si>
    <t>Personne 833</t>
  </si>
  <si>
    <t>Personne 834</t>
  </si>
  <si>
    <t>Personne 859</t>
  </si>
  <si>
    <t>Personne 861</t>
  </si>
  <si>
    <t>Personne 879</t>
  </si>
  <si>
    <t>Personne 885</t>
  </si>
  <si>
    <t>Personne 897</t>
  </si>
  <si>
    <t>Personne 898</t>
  </si>
  <si>
    <t>Personne 911</t>
  </si>
  <si>
    <t>Personne 913</t>
  </si>
  <si>
    <t>Personne 914</t>
  </si>
  <si>
    <t>Personne 930</t>
  </si>
  <si>
    <t>Personne 931</t>
  </si>
  <si>
    <t>Personne 932</t>
  </si>
  <si>
    <t>Personne 933</t>
  </si>
  <si>
    <t>Personne 945</t>
  </si>
  <si>
    <t>Personne 946</t>
  </si>
  <si>
    <t>Personne 962</t>
  </si>
  <si>
    <t>Personne 965</t>
  </si>
  <si>
    <t>Personne 966</t>
  </si>
  <si>
    <t>Personne 968</t>
  </si>
  <si>
    <t>Personne 980</t>
  </si>
  <si>
    <t>Personne 981</t>
  </si>
  <si>
    <t>Personne 982</t>
  </si>
  <si>
    <t>Personne 983</t>
  </si>
  <si>
    <t>Personne 984</t>
  </si>
  <si>
    <t>Personne 985</t>
  </si>
  <si>
    <t>Personne 990</t>
  </si>
  <si>
    <t>Personne 992</t>
  </si>
  <si>
    <t>Personne 994</t>
  </si>
  <si>
    <t>Personne 995</t>
  </si>
  <si>
    <t>Personne 996</t>
  </si>
  <si>
    <t>Personne 997</t>
  </si>
  <si>
    <t>Personne 998</t>
  </si>
  <si>
    <t>Personne 999</t>
  </si>
  <si>
    <t>Personne 1000</t>
  </si>
  <si>
    <t>Personne 1001</t>
  </si>
  <si>
    <t>Personne 1002</t>
  </si>
  <si>
    <t>Personne 1003</t>
  </si>
  <si>
    <t>Personne 1004</t>
  </si>
  <si>
    <t>Personne 1005</t>
  </si>
  <si>
    <t>Personne 1006</t>
  </si>
  <si>
    <t>Personne 1007</t>
  </si>
  <si>
    <t>Personne 1008</t>
  </si>
  <si>
    <t>Personne 1009</t>
  </si>
  <si>
    <t>Personne 1010</t>
  </si>
  <si>
    <t>Personne 1011</t>
  </si>
  <si>
    <t>Personne 1012</t>
  </si>
  <si>
    <t>Personne 1013</t>
  </si>
  <si>
    <t>Personne 1014</t>
  </si>
  <si>
    <t>Personne 1015</t>
  </si>
  <si>
    <t>Personne 1016</t>
  </si>
  <si>
    <t>Personne 1017</t>
  </si>
  <si>
    <t>Personne 1018</t>
  </si>
  <si>
    <t>Personne 1019</t>
  </si>
  <si>
    <t>Personne 1020</t>
  </si>
  <si>
    <t>Personne 1021</t>
  </si>
  <si>
    <t>Personne 1022</t>
  </si>
  <si>
    <t>Personne 1023</t>
  </si>
  <si>
    <t>Personne 1024</t>
  </si>
  <si>
    <t>Personne 1025</t>
  </si>
  <si>
    <t>Personne 1027</t>
  </si>
  <si>
    <t>Personne 1030</t>
  </si>
  <si>
    <t>Personne 1036</t>
  </si>
  <si>
    <t>Personne 1059</t>
  </si>
  <si>
    <t>Personne 1060</t>
  </si>
  <si>
    <t>Personne 1061</t>
  </si>
  <si>
    <t>Personne 1062</t>
  </si>
  <si>
    <t>Personne 1063</t>
  </si>
  <si>
    <t>Personne 1064</t>
  </si>
  <si>
    <t>Personne 1066</t>
  </si>
  <si>
    <t>Personne 1079</t>
  </si>
  <si>
    <t>Personne 1087</t>
  </si>
  <si>
    <t>Personne 1088</t>
  </si>
  <si>
    <t>Personne 1105</t>
  </si>
  <si>
    <t>Personne 1106</t>
  </si>
  <si>
    <t>Personne 1107</t>
  </si>
  <si>
    <t>Personne 1108</t>
  </si>
  <si>
    <t>Personne 1110</t>
  </si>
  <si>
    <t>Personne 1112</t>
  </si>
  <si>
    <t>Personne 1114</t>
  </si>
  <si>
    <t>Personne 1115</t>
  </si>
  <si>
    <t>Personne 1121</t>
  </si>
  <si>
    <t>Personne 1125</t>
  </si>
  <si>
    <t>Personne 1135</t>
  </si>
  <si>
    <t>Personne 1137</t>
  </si>
  <si>
    <t>Personne 1138</t>
  </si>
  <si>
    <t>Personne 1141</t>
  </si>
  <si>
    <t>Personne 1142</t>
  </si>
  <si>
    <t>Personne 1143</t>
  </si>
  <si>
    <t>Personne 1145</t>
  </si>
  <si>
    <t>Personne 1151</t>
  </si>
  <si>
    <t>Personne 1154</t>
  </si>
  <si>
    <t>Personne 1156</t>
  </si>
  <si>
    <t>Personne 1157</t>
  </si>
  <si>
    <t>Personne 1162</t>
  </si>
  <si>
    <t>Personne 1165</t>
  </si>
  <si>
    <t>Personne 1166</t>
  </si>
  <si>
    <t>Personne 1167</t>
  </si>
  <si>
    <t>Personne 1168</t>
  </si>
  <si>
    <t>Personne 1171</t>
  </si>
  <si>
    <t>Personne 1174</t>
  </si>
  <si>
    <t>Personne 1175</t>
  </si>
  <si>
    <t>Personne 1176</t>
  </si>
  <si>
    <t>Personne 1177</t>
  </si>
  <si>
    <t>Personne 1178</t>
  </si>
  <si>
    <t>Personne 1181</t>
  </si>
  <si>
    <t>Personne 1182</t>
  </si>
  <si>
    <t>Personne 1184</t>
  </si>
  <si>
    <t>Personne 1185</t>
  </si>
  <si>
    <t>Personne 1191</t>
  </si>
  <si>
    <t>Personne 1228</t>
  </si>
  <si>
    <t>Personne 1232</t>
  </si>
  <si>
    <t>Personne 1235</t>
  </si>
  <si>
    <t>Personne 1236</t>
  </si>
  <si>
    <t>Personne 1247</t>
  </si>
  <si>
    <t>Personne 1251</t>
  </si>
  <si>
    <t>Personne 1253</t>
  </si>
  <si>
    <t>Personne 1256</t>
  </si>
  <si>
    <t>Personne 1257</t>
  </si>
  <si>
    <t>Personne 1258</t>
  </si>
  <si>
    <t>Personne 1259</t>
  </si>
  <si>
    <t>Personne 1260</t>
  </si>
  <si>
    <t>Personne 1261</t>
  </si>
  <si>
    <t>Personne 1262</t>
  </si>
  <si>
    <t>Personne 1263</t>
  </si>
  <si>
    <t>Personne 1265</t>
  </si>
  <si>
    <t>Personne 1266</t>
  </si>
  <si>
    <t>Personne 1268</t>
  </si>
  <si>
    <t>Personne 1269</t>
  </si>
  <si>
    <t>Personne 1270</t>
  </si>
  <si>
    <t>Personne 1271</t>
  </si>
  <si>
    <t>Personne 1273</t>
  </si>
  <si>
    <t>Personne 1274</t>
  </si>
  <si>
    <t>Personne 1275</t>
  </si>
  <si>
    <t>Personne 1276</t>
  </si>
  <si>
    <t>Personne 1277</t>
  </si>
  <si>
    <t>Personne 1278</t>
  </si>
  <si>
    <t>Personne 1283</t>
  </si>
  <si>
    <t>Personne 1284</t>
  </si>
  <si>
    <t>Personne 1285</t>
  </si>
  <si>
    <t>Personne 1303</t>
  </si>
  <si>
    <t>Personne 1304</t>
  </si>
  <si>
    <t>Personne 1306</t>
  </si>
  <si>
    <t>Personne 1307</t>
  </si>
  <si>
    <t>Personne 1309</t>
  </si>
  <si>
    <t>Personne 1310</t>
  </si>
  <si>
    <t>Personne 1311</t>
  </si>
  <si>
    <t>Personne 1318</t>
  </si>
  <si>
    <t>Personne 1322</t>
  </si>
  <si>
    <t>Personne 1323</t>
  </si>
  <si>
    <t>Personne 1324</t>
  </si>
  <si>
    <t>Personne 1325</t>
  </si>
  <si>
    <t>Personne 1328</t>
  </si>
  <si>
    <t>Personne 1329</t>
  </si>
  <si>
    <t>Personne 1330</t>
  </si>
  <si>
    <t>Personne 1341</t>
  </si>
  <si>
    <t>Personne 1348</t>
  </si>
  <si>
    <t>Personne 1351</t>
  </si>
  <si>
    <t>Personne 1355</t>
  </si>
  <si>
    <t>Personne 1356</t>
  </si>
  <si>
    <t>Personne 1357</t>
  </si>
  <si>
    <t>Personne 1358</t>
  </si>
  <si>
    <t>Personne 1359</t>
  </si>
  <si>
    <t>Personne 1360</t>
  </si>
  <si>
    <t>Personne 1361</t>
  </si>
  <si>
    <t>Personne 1362</t>
  </si>
  <si>
    <t>Personne 1363</t>
  </si>
  <si>
    <t>Personne 1373</t>
  </si>
  <si>
    <t>Personne 1374</t>
  </si>
  <si>
    <t>Personne 1375</t>
  </si>
  <si>
    <t>Personne 1376</t>
  </si>
  <si>
    <t>Personne 1377</t>
  </si>
  <si>
    <t>Personne 1378</t>
  </si>
  <si>
    <t>Personne 1379</t>
  </si>
  <si>
    <t>Personne 1380</t>
  </si>
  <si>
    <t>Personne 1381</t>
  </si>
  <si>
    <t>Personne 1382</t>
  </si>
  <si>
    <t>Personne 1384</t>
  </si>
  <si>
    <t>Personne 1385</t>
  </si>
  <si>
    <t>Personne 1386</t>
  </si>
  <si>
    <t>Personne 1387</t>
  </si>
  <si>
    <t>Personne 1388</t>
  </si>
  <si>
    <t>Personne 1389</t>
  </si>
  <si>
    <t>Personne 1390</t>
  </si>
  <si>
    <t>Personne 1391</t>
  </si>
  <si>
    <t>Personne 1392</t>
  </si>
  <si>
    <t>Personne 1393</t>
  </si>
  <si>
    <t>Personne 1394</t>
  </si>
  <si>
    <t>Personne 1395</t>
  </si>
  <si>
    <t>Personne 1396</t>
  </si>
  <si>
    <t>Personne 1401</t>
  </si>
  <si>
    <t>Personne 1420</t>
  </si>
  <si>
    <t>Personne 1422</t>
  </si>
  <si>
    <t>Personne 1423</t>
  </si>
  <si>
    <t>Personne 1424</t>
  </si>
  <si>
    <t>Personne 1432</t>
  </si>
  <si>
    <t>Personne 1434</t>
  </si>
  <si>
    <t>Personne 1437</t>
  </si>
  <si>
    <t>Personne 1438</t>
  </si>
  <si>
    <t>Personne 1445</t>
  </si>
  <si>
    <t>Personne 1446</t>
  </si>
  <si>
    <t>Personne 1447</t>
  </si>
  <si>
    <t>Personne 1448</t>
  </si>
  <si>
    <t>Personne 1449</t>
  </si>
  <si>
    <t>Personne 1450</t>
  </si>
  <si>
    <t>Personne 1451</t>
  </si>
  <si>
    <t>Personne 1452</t>
  </si>
  <si>
    <t>Personne 1453</t>
  </si>
  <si>
    <t>Personne 1454</t>
  </si>
  <si>
    <t>Personne 1455</t>
  </si>
  <si>
    <t>Personne 1456</t>
  </si>
  <si>
    <t>Personne 1462</t>
  </si>
  <si>
    <t>Personne 1471</t>
  </si>
  <si>
    <t>Personne 1476</t>
  </si>
  <si>
    <t>Personne 1482</t>
  </si>
  <si>
    <t>Personne 1483</t>
  </si>
  <si>
    <t>Personne 1485</t>
  </si>
  <si>
    <t>Personne 1487</t>
  </si>
  <si>
    <t>Personne 1489</t>
  </si>
  <si>
    <t>Personne 1490</t>
  </si>
  <si>
    <t>Personne 1491</t>
  </si>
  <si>
    <t>Personne 1492</t>
  </si>
  <si>
    <t>Personne 1497</t>
  </si>
  <si>
    <t>Personne 1499</t>
  </si>
  <si>
    <t>Personne 1500</t>
  </si>
  <si>
    <t>Personne 1501</t>
  </si>
  <si>
    <t>Personne 1502</t>
  </si>
  <si>
    <t>Personne 1503</t>
  </si>
  <si>
    <t>Personne 1505</t>
  </si>
  <si>
    <t>Personne 1506</t>
  </si>
  <si>
    <t>Personne 1641</t>
  </si>
  <si>
    <t>Personne 1698</t>
  </si>
  <si>
    <t>Personne 1702</t>
  </si>
  <si>
    <t>Personne 1740</t>
  </si>
  <si>
    <t>Personne 1745</t>
  </si>
  <si>
    <t>Personne 1753</t>
  </si>
  <si>
    <t>Personne 1763</t>
  </si>
  <si>
    <t>Personne 1785</t>
  </si>
  <si>
    <t>Personne 1796</t>
  </si>
  <si>
    <t>Personne 1798</t>
  </si>
  <si>
    <t>Personne 1799</t>
  </si>
  <si>
    <t>Personne 1800</t>
  </si>
  <si>
    <t>Personne 1806</t>
  </si>
  <si>
    <t>Personne 1826</t>
  </si>
  <si>
    <t>Personne 1832</t>
  </si>
  <si>
    <t>Personne 1844</t>
  </si>
  <si>
    <t>Personne 2428</t>
  </si>
  <si>
    <t>Personne 2442</t>
  </si>
  <si>
    <t>Personne 2443</t>
  </si>
  <si>
    <t>Personne 2444</t>
  </si>
  <si>
    <t>Personne 2445</t>
  </si>
  <si>
    <t>Personne 2464</t>
  </si>
  <si>
    <t>Personne 2465</t>
  </si>
  <si>
    <t>Personne 2466</t>
  </si>
  <si>
    <t>Personne 2470</t>
  </si>
  <si>
    <t>Personne 2478</t>
  </si>
  <si>
    <t>Personne 2483</t>
  </si>
  <si>
    <t>Personne 2484</t>
  </si>
  <si>
    <t>Personne 2485</t>
  </si>
  <si>
    <t>Personne 2486</t>
  </si>
  <si>
    <t>Personne 2488</t>
  </si>
  <si>
    <t>Personne 2494</t>
  </si>
  <si>
    <t>Personne 2497</t>
  </si>
  <si>
    <t>Personne 2498</t>
  </si>
  <si>
    <t>Transports 538</t>
  </si>
  <si>
    <t>Transports 552</t>
  </si>
  <si>
    <t>Transports 986</t>
  </si>
  <si>
    <t>Transports 1026</t>
  </si>
  <si>
    <t>Transports 1031</t>
  </si>
  <si>
    <t>Transports 1352</t>
  </si>
  <si>
    <t>BOULOGNE-BILLANCOURT</t>
  </si>
  <si>
    <t>BOULOGNE</t>
  </si>
  <si>
    <t>Mettre à jour les dates de factures
en cliquant sur le dessin ci-dessous</t>
  </si>
  <si>
    <t>Famille</t>
  </si>
  <si>
    <t>Accessoires</t>
  </si>
  <si>
    <t>Petit mobilier</t>
  </si>
  <si>
    <t>Hygiène Bains</t>
  </si>
  <si>
    <t>Grand Meubles</t>
  </si>
  <si>
    <t>Mobilier Ancien</t>
  </si>
  <si>
    <t>Bol</t>
  </si>
  <si>
    <t>Saladier</t>
  </si>
  <si>
    <t>Protection Table</t>
  </si>
  <si>
    <t>Couverts et acc</t>
  </si>
  <si>
    <t>Plats</t>
  </si>
  <si>
    <t>plats</t>
  </si>
  <si>
    <t>Prix Revendeur</t>
  </si>
  <si>
    <t>Prix Public</t>
  </si>
  <si>
    <t>Remise Eur</t>
  </si>
  <si>
    <t>FA-2383</t>
  </si>
  <si>
    <t>FA-2384</t>
  </si>
  <si>
    <t>FA-2385</t>
  </si>
  <si>
    <t>FA-2386</t>
  </si>
  <si>
    <t>FA-2387</t>
  </si>
  <si>
    <t>FA-2388</t>
  </si>
  <si>
    <t>FA-2389</t>
  </si>
  <si>
    <t>FA-2390</t>
  </si>
  <si>
    <t>FA-2391</t>
  </si>
  <si>
    <t>FA-2392</t>
  </si>
  <si>
    <t>FA-2393</t>
  </si>
  <si>
    <t>FA-2394</t>
  </si>
  <si>
    <t>FA-2395</t>
  </si>
  <si>
    <t>FA-2396</t>
  </si>
  <si>
    <t>FA-2397</t>
  </si>
  <si>
    <t>FA-2398</t>
  </si>
  <si>
    <t>FA-2399</t>
  </si>
  <si>
    <t>FA-2400</t>
  </si>
  <si>
    <t>FA-2401</t>
  </si>
  <si>
    <t>FA-2402</t>
  </si>
  <si>
    <t>FA-2403</t>
  </si>
  <si>
    <t>FA-2404</t>
  </si>
  <si>
    <t>FA-2405</t>
  </si>
  <si>
    <t>FA-2406</t>
  </si>
  <si>
    <t>FA-2407</t>
  </si>
  <si>
    <t>FA-2408</t>
  </si>
  <si>
    <t>FA-2409</t>
  </si>
  <si>
    <t>FA-2410</t>
  </si>
  <si>
    <t>FA-2411</t>
  </si>
  <si>
    <t>FA-2412</t>
  </si>
  <si>
    <t>FA-2413</t>
  </si>
  <si>
    <t>FA-2414</t>
  </si>
  <si>
    <t>FA-2415</t>
  </si>
  <si>
    <t>FA-2416</t>
  </si>
  <si>
    <t>FA-2417</t>
  </si>
  <si>
    <t>FA-2418</t>
  </si>
  <si>
    <t>FA-2419</t>
  </si>
  <si>
    <t>FA-2420</t>
  </si>
  <si>
    <t>FA-2421</t>
  </si>
  <si>
    <t>FA-2422</t>
  </si>
  <si>
    <t>FA-2423</t>
  </si>
  <si>
    <t>FA-2424</t>
  </si>
  <si>
    <t>FA-2425</t>
  </si>
  <si>
    <t>FA-2426</t>
  </si>
  <si>
    <t>FA-2427</t>
  </si>
  <si>
    <t>FA-2428</t>
  </si>
  <si>
    <t>FA-2429</t>
  </si>
  <si>
    <t>FA-2430</t>
  </si>
  <si>
    <t>FA-2431</t>
  </si>
  <si>
    <t>FA-2432</t>
  </si>
  <si>
    <t>FA-2433</t>
  </si>
  <si>
    <t>FA-2434</t>
  </si>
  <si>
    <t>FA-2435</t>
  </si>
  <si>
    <t>FA-2436</t>
  </si>
  <si>
    <t>FA-2437</t>
  </si>
  <si>
    <t>FA-2438</t>
  </si>
  <si>
    <t>FA-2439</t>
  </si>
  <si>
    <t>FA-2440</t>
  </si>
  <si>
    <t>FA-2441</t>
  </si>
  <si>
    <t>FA-2442</t>
  </si>
  <si>
    <t>FA-2443</t>
  </si>
  <si>
    <t>FA-2444</t>
  </si>
  <si>
    <t>FA-2445</t>
  </si>
  <si>
    <t>FA-2446</t>
  </si>
  <si>
    <t>FA-2447</t>
  </si>
  <si>
    <t>FA-2448</t>
  </si>
  <si>
    <t>FA-2449</t>
  </si>
  <si>
    <t>FA-2450</t>
  </si>
  <si>
    <t>FA-2451</t>
  </si>
  <si>
    <t>FA-2452</t>
  </si>
  <si>
    <t>FA-2453</t>
  </si>
  <si>
    <t>FA-2454</t>
  </si>
  <si>
    <t>FA-2455</t>
  </si>
  <si>
    <t>FA-2456</t>
  </si>
  <si>
    <t>FA-2457</t>
  </si>
  <si>
    <t>FA-2458</t>
  </si>
  <si>
    <t>FA-2459</t>
  </si>
  <si>
    <t>FA-2460</t>
  </si>
  <si>
    <t>FA-2461</t>
  </si>
  <si>
    <t>FA-2462</t>
  </si>
  <si>
    <t>FA-2463</t>
  </si>
  <si>
    <t>FA-2464</t>
  </si>
  <si>
    <t>FA-2465</t>
  </si>
  <si>
    <t>FA-2466</t>
  </si>
  <si>
    <t>FA-2467</t>
  </si>
  <si>
    <t>FA-2468</t>
  </si>
  <si>
    <t>FA-2469</t>
  </si>
  <si>
    <t>FA-2470</t>
  </si>
  <si>
    <t>FA-2471</t>
  </si>
  <si>
    <t>FA-2472</t>
  </si>
  <si>
    <t>FA-2473</t>
  </si>
  <si>
    <t>FA-2474</t>
  </si>
  <si>
    <t>FA-2475</t>
  </si>
  <si>
    <t>FA-2476</t>
  </si>
  <si>
    <t>FA-2477</t>
  </si>
  <si>
    <t>FA-2478</t>
  </si>
  <si>
    <t>FA-2479</t>
  </si>
  <si>
    <t>FA-2480</t>
  </si>
  <si>
    <t>FA-2481</t>
  </si>
  <si>
    <t>FA-2482</t>
  </si>
  <si>
    <t>FA-2483</t>
  </si>
  <si>
    <t>FA-2484</t>
  </si>
  <si>
    <t>FA-2485</t>
  </si>
  <si>
    <t>FA-2486</t>
  </si>
  <si>
    <t>FA-2487</t>
  </si>
  <si>
    <t>FA-2488</t>
  </si>
  <si>
    <t>FA-2489</t>
  </si>
  <si>
    <t>FA-2490</t>
  </si>
  <si>
    <t>FA-2491</t>
  </si>
  <si>
    <t>FA-2492</t>
  </si>
  <si>
    <t>FA-2493</t>
  </si>
  <si>
    <t>FA-2494</t>
  </si>
  <si>
    <t>FA-2495</t>
  </si>
  <si>
    <t>FA-2496</t>
  </si>
  <si>
    <t>FA-2497</t>
  </si>
  <si>
    <t>FA-2498</t>
  </si>
  <si>
    <t>FA-2499</t>
  </si>
  <si>
    <t>FA-2500</t>
  </si>
  <si>
    <t>FA-2501</t>
  </si>
  <si>
    <t>FA-2502</t>
  </si>
  <si>
    <t>FA-2503</t>
  </si>
  <si>
    <t>FA-2504</t>
  </si>
  <si>
    <t>FA-2505</t>
  </si>
  <si>
    <t>FA-2506</t>
  </si>
  <si>
    <t>FA-2507</t>
  </si>
  <si>
    <t>FA-2508</t>
  </si>
  <si>
    <t>FA-2509</t>
  </si>
  <si>
    <t>FA-2510</t>
  </si>
  <si>
    <t>FA-2511</t>
  </si>
  <si>
    <t>FA-2512</t>
  </si>
  <si>
    <t>FA-2513</t>
  </si>
  <si>
    <t>FA-2514</t>
  </si>
  <si>
    <t>FA-2515</t>
  </si>
  <si>
    <t>FA-2516</t>
  </si>
  <si>
    <t>FA-2517</t>
  </si>
  <si>
    <t>FA-2518</t>
  </si>
  <si>
    <t>FA-2519</t>
  </si>
  <si>
    <t>FA-2520</t>
  </si>
  <si>
    <t>FA-2521</t>
  </si>
  <si>
    <t>FA-2522</t>
  </si>
  <si>
    <t>FA-2523</t>
  </si>
  <si>
    <t>FA-2524</t>
  </si>
  <si>
    <t>FA-2525</t>
  </si>
  <si>
    <t>FA-2526</t>
  </si>
  <si>
    <t>FA-2527</t>
  </si>
  <si>
    <t>FA-2528</t>
  </si>
  <si>
    <t>FA-2529</t>
  </si>
  <si>
    <t>FA-2530</t>
  </si>
  <si>
    <t>FA-2531</t>
  </si>
  <si>
    <t>FA-2532</t>
  </si>
  <si>
    <t>FA-2533</t>
  </si>
  <si>
    <t>FA-2534</t>
  </si>
  <si>
    <t>FA-2535</t>
  </si>
  <si>
    <t>FA-2536</t>
  </si>
  <si>
    <t>FA-2537</t>
  </si>
  <si>
    <t>FA-2538</t>
  </si>
  <si>
    <t>FA-2539</t>
  </si>
  <si>
    <t>FA-2540</t>
  </si>
  <si>
    <t>FA-2541</t>
  </si>
  <si>
    <t>FA-2542</t>
  </si>
  <si>
    <t>FA-2543</t>
  </si>
  <si>
    <t>FA-2545</t>
  </si>
  <si>
    <t>FA-2546</t>
  </si>
  <si>
    <t>FA-2547</t>
  </si>
  <si>
    <t>FA-2548</t>
  </si>
  <si>
    <t>FA-2549</t>
  </si>
  <si>
    <t>FA-2550</t>
  </si>
  <si>
    <t>FA-2551</t>
  </si>
  <si>
    <t>FA-2553</t>
  </si>
  <si>
    <t>FA-2554</t>
  </si>
  <si>
    <t>FA-2555</t>
  </si>
  <si>
    <t>FA-2556</t>
  </si>
  <si>
    <t>FA-2557</t>
  </si>
  <si>
    <t>FA-2558</t>
  </si>
  <si>
    <t>FA-2559</t>
  </si>
  <si>
    <t>FA-2560</t>
  </si>
  <si>
    <t>FA-2561</t>
  </si>
  <si>
    <t>FA-2562</t>
  </si>
  <si>
    <t>FA-2563</t>
  </si>
  <si>
    <t>FA-2564</t>
  </si>
  <si>
    <t>FA-2565</t>
  </si>
  <si>
    <t>FA-2566</t>
  </si>
  <si>
    <t>FA-2567</t>
  </si>
  <si>
    <t>FA-2568</t>
  </si>
  <si>
    <t>FA-2569</t>
  </si>
  <si>
    <t>FA-2570</t>
  </si>
  <si>
    <t>FA-2571</t>
  </si>
  <si>
    <t>FA-2572</t>
  </si>
  <si>
    <t>FA-2573</t>
  </si>
  <si>
    <t>FA-2574</t>
  </si>
  <si>
    <t>FA-2575</t>
  </si>
  <si>
    <t>FA-2576</t>
  </si>
  <si>
    <t>FA-2577</t>
  </si>
  <si>
    <t>FA-2578</t>
  </si>
  <si>
    <t>FA-2579</t>
  </si>
  <si>
    <t>FA-2580</t>
  </si>
  <si>
    <t>FA-2581</t>
  </si>
  <si>
    <t>FA-2582</t>
  </si>
  <si>
    <t>FA-2583</t>
  </si>
  <si>
    <t>FA-2584</t>
  </si>
  <si>
    <t>FA-2585</t>
  </si>
  <si>
    <t>FA-2586</t>
  </si>
  <si>
    <t>FA-2587</t>
  </si>
  <si>
    <t>FA-2588</t>
  </si>
  <si>
    <t>FA-2589</t>
  </si>
  <si>
    <t>FA-2590</t>
  </si>
  <si>
    <t>FA-2591</t>
  </si>
  <si>
    <t>FA-2592</t>
  </si>
  <si>
    <t>FA-2593</t>
  </si>
  <si>
    <t>FA-2594</t>
  </si>
  <si>
    <t>FA-2595</t>
  </si>
  <si>
    <t>FA-2596</t>
  </si>
  <si>
    <t>FA-2597</t>
  </si>
  <si>
    <t>FA-2598</t>
  </si>
  <si>
    <t>FA-2601</t>
  </si>
  <si>
    <t>FA-2602</t>
  </si>
  <si>
    <t>FA-2603</t>
  </si>
  <si>
    <t>FA-2604</t>
  </si>
  <si>
    <t>FA-2605</t>
  </si>
  <si>
    <t>FA-2606</t>
  </si>
  <si>
    <t>FA-2607</t>
  </si>
  <si>
    <t>FA-2608</t>
  </si>
  <si>
    <t>FA-2609</t>
  </si>
  <si>
    <t>FA-2610</t>
  </si>
  <si>
    <t>FA-2611</t>
  </si>
  <si>
    <t>FA-2612</t>
  </si>
  <si>
    <t>FA-2613</t>
  </si>
  <si>
    <t>FA-2614</t>
  </si>
  <si>
    <t>FA-2615</t>
  </si>
  <si>
    <t>FA-2616</t>
  </si>
  <si>
    <t>FA-2617</t>
  </si>
  <si>
    <t>FA-2618</t>
  </si>
  <si>
    <t>FA-2619</t>
  </si>
  <si>
    <t>FA-2620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</si>
</sst>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#,##0.00\ &quot;€&quot;;\-#,##0.00\ &quot;€&quot;"/>
    <numFmt numFmtId="164" formatCode="&quot;+&quot;#,##0&quot; jours&quot;"/>
    <numFmt numFmtId="165" formatCode="#,##0&quot; jours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8"/>
      <color rgb="FF9C57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indexed="8"/>
      <name val="Calibri"/>
      <family val="2"/>
    </font>
    <font>
      <b/>
      <i/>
      <sz val="16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i/>
      <sz val="18"/>
      <color theme="5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</cellStyleXfs>
  <cellXfs count="44">
    <xf numFmtId="0" fontId="0" fillId="0" borderId="0" xfId="0"/>
    <xf numFmtId="0" fontId="5" fillId="5" borderId="1" xfId="4" applyFont="1" applyFill="1" applyBorder="1" applyAlignment="1">
      <alignment horizontal="center"/>
    </xf>
    <xf numFmtId="0" fontId="5" fillId="0" borderId="2" xfId="4" applyFont="1" applyBorder="1" applyAlignment="1">
      <alignment horizontal="right" wrapText="1"/>
    </xf>
    <xf numFmtId="14" fontId="5" fillId="0" borderId="2" xfId="4" applyNumberFormat="1" applyFont="1" applyBorder="1" applyAlignment="1">
      <alignment horizontal="right" wrapText="1"/>
    </xf>
    <xf numFmtId="0" fontId="5" fillId="0" borderId="2" xfId="4" applyFont="1" applyBorder="1" applyAlignment="1">
      <alignment wrapText="1"/>
    </xf>
    <xf numFmtId="10" fontId="5" fillId="0" borderId="2" xfId="4" applyNumberFormat="1" applyFont="1" applyBorder="1" applyAlignment="1">
      <alignment horizontal="right" wrapText="1"/>
    </xf>
    <xf numFmtId="7" fontId="5" fillId="0" borderId="2" xfId="4" applyNumberFormat="1" applyFont="1" applyBorder="1" applyAlignment="1">
      <alignment horizontal="right" wrapText="1"/>
    </xf>
    <xf numFmtId="0" fontId="5" fillId="5" borderId="1" xfId="5" applyFont="1" applyFill="1" applyBorder="1" applyAlignment="1">
      <alignment horizontal="center"/>
    </xf>
    <xf numFmtId="0" fontId="5" fillId="0" borderId="2" xfId="5" applyFont="1" applyBorder="1" applyAlignment="1">
      <alignment horizontal="right"/>
    </xf>
    <xf numFmtId="0" fontId="5" fillId="0" borderId="2" xfId="5" applyFont="1" applyBorder="1"/>
    <xf numFmtId="15" fontId="5" fillId="0" borderId="2" xfId="5" applyNumberFormat="1" applyFont="1" applyBorder="1" applyAlignment="1">
      <alignment horizontal="right"/>
    </xf>
    <xf numFmtId="14" fontId="0" fillId="0" borderId="0" xfId="0" applyNumberFormat="1"/>
    <xf numFmtId="0" fontId="8" fillId="2" borderId="0" xfId="1" applyFont="1"/>
    <xf numFmtId="14" fontId="3" fillId="3" borderId="0" xfId="2" applyNumberFormat="1" applyFont="1"/>
    <xf numFmtId="0" fontId="3" fillId="3" borderId="0" xfId="2" applyFont="1" applyAlignment="1">
      <alignment horizontal="center"/>
    </xf>
    <xf numFmtId="14" fontId="9" fillId="3" borderId="0" xfId="2" applyNumberFormat="1" applyFont="1"/>
    <xf numFmtId="0" fontId="10" fillId="5" borderId="3" xfId="4" applyFont="1" applyFill="1" applyBorder="1" applyAlignment="1">
      <alignment horizontal="center"/>
    </xf>
    <xf numFmtId="0" fontId="10" fillId="5" borderId="1" xfId="4" applyFont="1" applyFill="1" applyBorder="1" applyAlignment="1">
      <alignment horizontal="center"/>
    </xf>
    <xf numFmtId="14" fontId="11" fillId="3" borderId="0" xfId="2" applyNumberFormat="1" applyFont="1"/>
    <xf numFmtId="0" fontId="11" fillId="3" borderId="0" xfId="2" applyFont="1" applyAlignment="1">
      <alignment horizontal="center"/>
    </xf>
    <xf numFmtId="14" fontId="12" fillId="3" borderId="0" xfId="2" applyNumberFormat="1" applyFont="1"/>
    <xf numFmtId="0" fontId="12" fillId="3" borderId="0" xfId="2" applyFont="1" applyAlignment="1">
      <alignment horizontal="center"/>
    </xf>
    <xf numFmtId="165" fontId="13" fillId="4" borderId="0" xfId="3" applyNumberFormat="1" applyFont="1" applyAlignment="1">
      <alignment horizontal="center"/>
    </xf>
    <xf numFmtId="0" fontId="13" fillId="4" borderId="0" xfId="3" applyFont="1" applyAlignment="1">
      <alignment horizontal="center"/>
    </xf>
    <xf numFmtId="164" fontId="13" fillId="4" borderId="0" xfId="3" applyNumberFormat="1" applyFont="1" applyAlignment="1">
      <alignment horizontal="center"/>
    </xf>
    <xf numFmtId="49" fontId="5" fillId="0" borderId="2" xfId="5" applyNumberFormat="1" applyFont="1" applyBorder="1"/>
    <xf numFmtId="0" fontId="5" fillId="0" borderId="0" xfId="4" applyFont="1" applyAlignment="1">
      <alignment horizontal="right" wrapText="1"/>
    </xf>
    <xf numFmtId="14" fontId="5" fillId="0" borderId="0" xfId="4" applyNumberFormat="1" applyFont="1" applyAlignment="1">
      <alignment horizontal="right" wrapText="1"/>
    </xf>
    <xf numFmtId="0" fontId="5" fillId="0" borderId="0" xfId="4" applyFont="1" applyAlignment="1">
      <alignment wrapText="1"/>
    </xf>
    <xf numFmtId="10" fontId="5" fillId="0" borderId="0" xfId="4" applyNumberFormat="1" applyFont="1" applyAlignment="1">
      <alignment horizontal="right" wrapText="1"/>
    </xf>
    <xf numFmtId="7" fontId="5" fillId="0" borderId="0" xfId="4" applyNumberFormat="1" applyFont="1" applyAlignment="1">
      <alignment horizontal="right" wrapText="1"/>
    </xf>
    <xf numFmtId="0" fontId="5" fillId="7" borderId="0" xfId="4" applyFont="1" applyFill="1" applyAlignment="1">
      <alignment horizontal="right" wrapText="1"/>
    </xf>
    <xf numFmtId="0" fontId="0" fillId="6" borderId="0" xfId="0" applyFill="1"/>
    <xf numFmtId="0" fontId="3" fillId="8" borderId="4" xfId="0" applyFont="1" applyFill="1" applyBorder="1"/>
    <xf numFmtId="0" fontId="0" fillId="6" borderId="4" xfId="0" applyFill="1" applyBorder="1"/>
    <xf numFmtId="0" fontId="0" fillId="6" borderId="5" xfId="0" applyFill="1" applyBorder="1"/>
    <xf numFmtId="0" fontId="14" fillId="5" borderId="1" xfId="6" applyFont="1" applyFill="1" applyBorder="1" applyAlignment="1">
      <alignment horizontal="center"/>
    </xf>
    <xf numFmtId="0" fontId="14" fillId="0" borderId="2" xfId="6" applyFont="1" applyBorder="1"/>
    <xf numFmtId="0" fontId="14" fillId="0" borderId="2" xfId="6" applyFont="1" applyBorder="1" applyAlignment="1">
      <alignment horizontal="right"/>
    </xf>
    <xf numFmtId="7" fontId="14" fillId="0" borderId="2" xfId="6" applyNumberFormat="1" applyFont="1" applyBorder="1" applyAlignment="1">
      <alignment horizontal="right"/>
    </xf>
    <xf numFmtId="0" fontId="5" fillId="0" borderId="2" xfId="6" applyFont="1" applyBorder="1" applyAlignment="1">
      <alignment horizontal="right"/>
    </xf>
    <xf numFmtId="0" fontId="5" fillId="5" borderId="1" xfId="6" applyFont="1" applyFill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</cellXfs>
  <cellStyles count="7">
    <cellStyle name="60 % - Accent2" xfId="3" builtinId="36"/>
    <cellStyle name="Accent2" xfId="2" builtinId="33"/>
    <cellStyle name="Neutre" xfId="1" builtinId="28"/>
    <cellStyle name="Normal" xfId="0" builtinId="0"/>
    <cellStyle name="Normal_Clients" xfId="5" xr:uid="{2FBC882C-2853-4965-9FEB-414F9A11AAD6}"/>
    <cellStyle name="Normal_DetFactures" xfId="4" xr:uid="{89CD1A05-CA36-4217-A91E-05DC75C38472}"/>
    <cellStyle name="Normal_Feuil1" xfId="6" xr:uid="{9E4B20AF-E56E-4000-8C4B-1D629F359397}"/>
  </cellStyles>
  <dxfs count="0"/>
  <tableStyles count="1" defaultTableStyle="TableStyleMedium2" defaultPivotStyle="PivotStyleLight16">
    <tableStyle name="Invisible" pivot="0" table="0" count="0" xr9:uid="{C5A5182B-4756-4789-95D3-1989F1347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1238249</xdr:colOff>
      <xdr:row>7</xdr:row>
      <xdr:rowOff>533399</xdr:rowOff>
    </xdr:from>
    <xdr:to>
      <xdr:col>3</xdr:col>
      <xdr:colOff>76200</xdr:colOff>
      <xdr:row>18</xdr:row>
      <xdr:rowOff>57149</xdr:rowOff>
    </xdr:to>
    <xdr:pic macro="[0]!CopieValeurFeuilleFacture">
      <xdr:nvPicPr>
        <xdr:cNvPr id="3" name="Graphique 2" descr="Tête avec engrenages">
          <a:extLst>
            <a:ext uri="{FF2B5EF4-FFF2-40B4-BE49-F238E27FC236}">
              <a16:creationId xmlns:a16="http://schemas.microsoft.com/office/drawing/2014/main" id="{ED5D6659-4285-4434-9B5A-9BF1F0C0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1238249" y="2228849"/>
          <a:ext cx="2085976" cy="20288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969B-59A0-49A5-A045-0EA014551A31}">
  <sheetPr codeName="Feuil1"/>
  <dimension ref="A3:D8"/>
  <sheetViews>
    <sheetView showGridLines="0" tabSelected="1" workbookViewId="0">
      <selection activeCell="C5" sqref="C5"/>
    </sheetView>
  </sheetViews>
  <sheetFormatPr baseColWidth="10" defaultRowHeight="15" x14ac:dyDescent="0.25"/>
  <cols>
    <col min="1" max="1" width="21.5703125" customWidth="1"/>
    <col min="2" max="2" width="5" customWidth="1"/>
    <col min="3" max="3" width="22.140625" customWidth="1"/>
    <col min="4" max="4" width="24" customWidth="1"/>
  </cols>
  <sheetData>
    <row r="3" spans="1:4" ht="23.25" x14ac:dyDescent="0.35">
      <c r="A3" s="12" t="s">
        <v>7135</v>
      </c>
      <c r="B3" s="12"/>
      <c r="C3" s="12"/>
      <c r="D3" s="12"/>
    </row>
    <row r="4" spans="1:4" x14ac:dyDescent="0.25">
      <c r="A4" s="13">
        <f>MIN(FacturesCALC!C2:C239)</f>
        <v>39836</v>
      </c>
      <c r="B4" s="14" t="s">
        <v>7136</v>
      </c>
      <c r="C4" s="13">
        <f>MAX(FacturesCALC!C2:C239)</f>
        <v>40862</v>
      </c>
    </row>
    <row r="5" spans="1:4" ht="23.25" x14ac:dyDescent="0.35">
      <c r="A5" s="18">
        <f ca="1">MIN(FacturesCALC!Q2:Q239)</f>
        <v>45029</v>
      </c>
      <c r="B5" s="19" t="s">
        <v>7136</v>
      </c>
      <c r="C5" s="18">
        <f ca="1">MAX(FacturesCALC!Q2:Q239)</f>
        <v>46055</v>
      </c>
      <c r="D5" s="15" t="s">
        <v>7141</v>
      </c>
    </row>
    <row r="6" spans="1:4" ht="23.25" x14ac:dyDescent="0.35">
      <c r="A6" s="20">
        <f ca="1">MIN(FacturesCALC!R2:R239)</f>
        <v>45060</v>
      </c>
      <c r="B6" s="21" t="s">
        <v>7136</v>
      </c>
      <c r="C6" s="20">
        <f ca="1">MAX(FacturesCALC!R2:R239)</f>
        <v>46085</v>
      </c>
      <c r="D6" s="15" t="s">
        <v>7143</v>
      </c>
    </row>
    <row r="7" spans="1:4" ht="18.75" x14ac:dyDescent="0.3">
      <c r="A7" s="22">
        <f ca="1">A6-TODAY()</f>
        <v>-995</v>
      </c>
      <c r="B7" s="23"/>
      <c r="C7" s="24">
        <f ca="1">C6-TODAY()</f>
        <v>30</v>
      </c>
    </row>
    <row r="8" spans="1:4" ht="47.25" customHeight="1" x14ac:dyDescent="0.35">
      <c r="A8" s="42" t="s">
        <v>9306</v>
      </c>
      <c r="B8" s="43"/>
      <c r="C8" s="43"/>
      <c r="D8" s="43"/>
    </row>
  </sheetData>
  <sheetProtection sheet="1" objects="1" scenarios="1" selectLockedCells="1"/>
  <mergeCells count="1">
    <mergeCell ref="A8:D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3D4B-7CEF-43DF-BC6B-11E9A88C21FC}">
  <sheetPr codeName="Feuil2"/>
  <dimension ref="A1:R239"/>
  <sheetViews>
    <sheetView topLeftCell="A208" workbookViewId="0">
      <selection activeCell="F232" sqref="F232"/>
    </sheetView>
  </sheetViews>
  <sheetFormatPr baseColWidth="10" defaultRowHeight="15" x14ac:dyDescent="0.25"/>
  <cols>
    <col min="3" max="3" width="22.85546875" customWidth="1"/>
    <col min="4" max="4" width="7.140625" bestFit="1" customWidth="1"/>
    <col min="5" max="5" width="9" bestFit="1" customWidth="1"/>
    <col min="6" max="6" width="22.28515625" customWidth="1"/>
    <col min="7" max="7" width="12" bestFit="1" customWidth="1"/>
    <col min="8" max="8" width="9.5703125" bestFit="1" customWidth="1"/>
    <col min="9" max="9" width="14.140625" bestFit="1" customWidth="1"/>
    <col min="10" max="10" width="8.7109375" bestFit="1" customWidth="1"/>
    <col min="11" max="11" width="22.28515625" bestFit="1" customWidth="1"/>
    <col min="12" max="12" width="5.7109375" bestFit="1" customWidth="1"/>
    <col min="13" max="13" width="12" bestFit="1" customWidth="1"/>
    <col min="14" max="14" width="13.85546875" bestFit="1" customWidth="1"/>
    <col min="15" max="15" width="17.42578125" customWidth="1"/>
    <col min="16" max="16" width="16.7109375" customWidth="1"/>
    <col min="17" max="17" width="12.140625" bestFit="1" customWidth="1"/>
    <col min="18" max="18" width="18" bestFit="1" customWidth="1"/>
  </cols>
  <sheetData>
    <row r="1" spans="1:18" x14ac:dyDescent="0.25">
      <c r="A1" s="1" t="s">
        <v>124</v>
      </c>
      <c r="B1" s="1" t="s">
        <v>125</v>
      </c>
      <c r="C1" s="17" t="s">
        <v>7137</v>
      </c>
      <c r="D1" s="1" t="s">
        <v>0</v>
      </c>
      <c r="E1" s="1" t="s">
        <v>1</v>
      </c>
      <c r="F1" s="17" t="s">
        <v>7138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6" t="s">
        <v>7139</v>
      </c>
      <c r="P1" s="16" t="s">
        <v>7140</v>
      </c>
      <c r="Q1" s="16" t="s">
        <v>7141</v>
      </c>
      <c r="R1" s="16" t="s">
        <v>7142</v>
      </c>
    </row>
    <row r="2" spans="1:18" x14ac:dyDescent="0.25">
      <c r="A2" s="26">
        <v>2383</v>
      </c>
      <c r="B2" s="2">
        <v>1745</v>
      </c>
      <c r="C2" s="3">
        <v>39836</v>
      </c>
      <c r="D2" s="28" t="s">
        <v>10</v>
      </c>
      <c r="E2" s="26">
        <v>0</v>
      </c>
      <c r="F2" s="27">
        <v>39872</v>
      </c>
      <c r="G2" s="26">
        <v>0</v>
      </c>
      <c r="H2" s="29">
        <v>0</v>
      </c>
      <c r="I2" s="26" t="b">
        <v>1</v>
      </c>
      <c r="J2" s="26">
        <v>1524</v>
      </c>
      <c r="K2" s="26" t="b">
        <v>0</v>
      </c>
      <c r="L2" s="26" t="b">
        <v>0</v>
      </c>
      <c r="M2" s="26">
        <v>0</v>
      </c>
      <c r="N2" s="30">
        <v>6</v>
      </c>
      <c r="O2">
        <f t="shared" ref="O2:O21" si="0">DATEDIF(C2,DateFin,"d")</f>
        <v>1026</v>
      </c>
      <c r="P2">
        <f t="shared" ref="P2:P21" si="1">DATEDIF(F2,DateFin,"d")</f>
        <v>990</v>
      </c>
      <c r="Q2" s="11">
        <f ca="1">TODAY()-O2</f>
        <v>45029</v>
      </c>
      <c r="R2" s="11">
        <f ca="1">TODAY()-P2</f>
        <v>45065</v>
      </c>
    </row>
    <row r="3" spans="1:18" x14ac:dyDescent="0.25">
      <c r="A3" s="2">
        <v>2384</v>
      </c>
      <c r="B3" s="2">
        <v>707</v>
      </c>
      <c r="C3" s="3">
        <v>39837</v>
      </c>
      <c r="D3" s="4" t="s">
        <v>10</v>
      </c>
      <c r="E3" s="2">
        <v>0</v>
      </c>
      <c r="F3" s="3">
        <f>C3+30</f>
        <v>39867</v>
      </c>
      <c r="G3" s="2">
        <v>0</v>
      </c>
      <c r="H3" s="5">
        <v>0</v>
      </c>
      <c r="I3" s="2" t="b">
        <v>1</v>
      </c>
      <c r="J3" s="2">
        <v>1524</v>
      </c>
      <c r="K3" s="2" t="b">
        <v>0</v>
      </c>
      <c r="L3" s="2" t="b">
        <v>0</v>
      </c>
      <c r="M3" s="2">
        <v>0</v>
      </c>
      <c r="N3" s="6">
        <v>6</v>
      </c>
      <c r="O3">
        <f t="shared" si="0"/>
        <v>1025</v>
      </c>
      <c r="P3">
        <f t="shared" si="1"/>
        <v>995</v>
      </c>
      <c r="Q3" s="11">
        <f ca="1">TODAY()-O3</f>
        <v>45030</v>
      </c>
      <c r="R3" s="11">
        <f ca="1">TODAY()-P3</f>
        <v>45060</v>
      </c>
    </row>
    <row r="4" spans="1:18" x14ac:dyDescent="0.25">
      <c r="A4" s="26">
        <v>2385</v>
      </c>
      <c r="B4" s="2">
        <v>2937</v>
      </c>
      <c r="C4" s="3">
        <v>39842</v>
      </c>
      <c r="D4" s="4" t="s">
        <v>10</v>
      </c>
      <c r="E4" s="2">
        <v>0</v>
      </c>
      <c r="F4" s="3">
        <f t="shared" ref="F4:F21" si="2">C4+30</f>
        <v>39872</v>
      </c>
      <c r="G4" s="2">
        <v>0</v>
      </c>
      <c r="H4" s="5">
        <v>0</v>
      </c>
      <c r="I4" s="2" t="b">
        <v>1</v>
      </c>
      <c r="J4" s="2">
        <v>1524</v>
      </c>
      <c r="K4" s="2" t="b">
        <v>0</v>
      </c>
      <c r="L4" s="2" t="b">
        <v>0</v>
      </c>
      <c r="M4" s="2">
        <v>0</v>
      </c>
      <c r="N4" s="6">
        <v>6</v>
      </c>
      <c r="O4">
        <f t="shared" si="0"/>
        <v>1020</v>
      </c>
      <c r="P4">
        <f t="shared" si="1"/>
        <v>990</v>
      </c>
      <c r="Q4" s="11">
        <f t="shared" ref="Q4:Q21" ca="1" si="3">TODAY()-O4</f>
        <v>45035</v>
      </c>
      <c r="R4" s="11">
        <f t="shared" ref="R4:R21" ca="1" si="4">TODAY()-P4</f>
        <v>45065</v>
      </c>
    </row>
    <row r="5" spans="1:18" x14ac:dyDescent="0.25">
      <c r="A5" s="2">
        <v>2386</v>
      </c>
      <c r="B5" s="2">
        <v>3647</v>
      </c>
      <c r="C5" s="3">
        <v>39844</v>
      </c>
      <c r="D5" s="4" t="s">
        <v>10</v>
      </c>
      <c r="E5" s="2">
        <v>0</v>
      </c>
      <c r="F5" s="3">
        <f t="shared" si="2"/>
        <v>39874</v>
      </c>
      <c r="G5" s="2">
        <v>0</v>
      </c>
      <c r="H5" s="5">
        <v>0</v>
      </c>
      <c r="I5" s="2" t="b">
        <v>1</v>
      </c>
      <c r="J5" s="2">
        <v>640</v>
      </c>
      <c r="K5" s="2" t="b">
        <v>1</v>
      </c>
      <c r="L5" s="2" t="b">
        <v>0</v>
      </c>
      <c r="M5" s="2">
        <v>0</v>
      </c>
      <c r="N5" s="6">
        <v>6</v>
      </c>
      <c r="O5">
        <f t="shared" si="0"/>
        <v>1018</v>
      </c>
      <c r="P5">
        <f t="shared" si="1"/>
        <v>988</v>
      </c>
      <c r="Q5" s="11">
        <f t="shared" ca="1" si="3"/>
        <v>45037</v>
      </c>
      <c r="R5" s="11">
        <f t="shared" ca="1" si="4"/>
        <v>45067</v>
      </c>
    </row>
    <row r="6" spans="1:18" x14ac:dyDescent="0.25">
      <c r="A6" s="26">
        <v>2387</v>
      </c>
      <c r="B6" s="2">
        <v>2952</v>
      </c>
      <c r="C6" s="3">
        <v>39844</v>
      </c>
      <c r="D6" s="4" t="s">
        <v>10</v>
      </c>
      <c r="E6" s="2">
        <v>0</v>
      </c>
      <c r="F6" s="3">
        <f t="shared" si="2"/>
        <v>39874</v>
      </c>
      <c r="G6" s="2">
        <v>30</v>
      </c>
      <c r="H6" s="5">
        <v>0.03</v>
      </c>
      <c r="I6" s="2" t="b">
        <v>1</v>
      </c>
      <c r="J6" s="2">
        <v>1524</v>
      </c>
      <c r="K6" s="2" t="b">
        <v>0</v>
      </c>
      <c r="L6" s="2" t="b">
        <v>0</v>
      </c>
      <c r="M6" s="2">
        <v>0</v>
      </c>
      <c r="N6" s="6">
        <v>6</v>
      </c>
      <c r="O6">
        <f t="shared" si="0"/>
        <v>1018</v>
      </c>
      <c r="P6">
        <f t="shared" si="1"/>
        <v>988</v>
      </c>
      <c r="Q6" s="11">
        <f t="shared" ca="1" si="3"/>
        <v>45037</v>
      </c>
      <c r="R6" s="11">
        <f t="shared" ca="1" si="4"/>
        <v>45067</v>
      </c>
    </row>
    <row r="7" spans="1:18" x14ac:dyDescent="0.25">
      <c r="A7" s="2">
        <v>2388</v>
      </c>
      <c r="B7" s="2">
        <v>933</v>
      </c>
      <c r="C7" s="3">
        <v>39848</v>
      </c>
      <c r="D7" s="4" t="s">
        <v>10</v>
      </c>
      <c r="E7" s="2">
        <v>0</v>
      </c>
      <c r="F7" s="3">
        <f t="shared" si="2"/>
        <v>39878</v>
      </c>
      <c r="G7" s="2">
        <v>0</v>
      </c>
      <c r="H7" s="5">
        <v>0</v>
      </c>
      <c r="I7" s="2" t="b">
        <v>1</v>
      </c>
      <c r="J7" s="2">
        <v>1524</v>
      </c>
      <c r="K7" s="2" t="b">
        <v>0</v>
      </c>
      <c r="L7" s="2" t="b">
        <v>0</v>
      </c>
      <c r="M7" s="2">
        <v>0</v>
      </c>
      <c r="N7" s="6">
        <v>6</v>
      </c>
      <c r="O7">
        <f t="shared" si="0"/>
        <v>1014</v>
      </c>
      <c r="P7">
        <f t="shared" si="1"/>
        <v>984</v>
      </c>
      <c r="Q7" s="11">
        <f t="shared" ca="1" si="3"/>
        <v>45041</v>
      </c>
      <c r="R7" s="11">
        <f t="shared" ca="1" si="4"/>
        <v>45071</v>
      </c>
    </row>
    <row r="8" spans="1:18" x14ac:dyDescent="0.25">
      <c r="A8" s="26">
        <v>2389</v>
      </c>
      <c r="B8" s="2">
        <v>3005</v>
      </c>
      <c r="C8" s="3">
        <v>39856</v>
      </c>
      <c r="D8" s="4" t="s">
        <v>10</v>
      </c>
      <c r="E8" s="2">
        <v>0</v>
      </c>
      <c r="F8" s="3">
        <f t="shared" si="2"/>
        <v>39886</v>
      </c>
      <c r="G8" s="2">
        <v>22</v>
      </c>
      <c r="H8" s="5">
        <v>0</v>
      </c>
      <c r="I8" s="2" t="b">
        <v>1</v>
      </c>
      <c r="J8" s="2">
        <v>1524</v>
      </c>
      <c r="K8" s="2" t="b">
        <v>0</v>
      </c>
      <c r="L8" s="2" t="b">
        <v>0</v>
      </c>
      <c r="M8" s="2">
        <v>0</v>
      </c>
      <c r="N8" s="6">
        <v>6</v>
      </c>
      <c r="O8">
        <f t="shared" si="0"/>
        <v>1006</v>
      </c>
      <c r="P8">
        <f t="shared" si="1"/>
        <v>976</v>
      </c>
      <c r="Q8" s="11">
        <f t="shared" ca="1" si="3"/>
        <v>45049</v>
      </c>
      <c r="R8" s="11">
        <f t="shared" ca="1" si="4"/>
        <v>45079</v>
      </c>
    </row>
    <row r="9" spans="1:18" x14ac:dyDescent="0.25">
      <c r="A9" s="2">
        <v>2390</v>
      </c>
      <c r="B9" s="2">
        <v>2937</v>
      </c>
      <c r="C9" s="3">
        <v>39864</v>
      </c>
      <c r="D9" s="4" t="s">
        <v>10</v>
      </c>
      <c r="E9" s="2">
        <v>0</v>
      </c>
      <c r="F9" s="3">
        <f t="shared" si="2"/>
        <v>39894</v>
      </c>
      <c r="G9" s="2">
        <v>19</v>
      </c>
      <c r="H9" s="5">
        <v>0</v>
      </c>
      <c r="I9" s="2" t="b">
        <v>1</v>
      </c>
      <c r="J9" s="2">
        <v>1524</v>
      </c>
      <c r="K9" s="2" t="b">
        <v>1</v>
      </c>
      <c r="L9" s="2" t="b">
        <v>0</v>
      </c>
      <c r="M9" s="2">
        <v>0</v>
      </c>
      <c r="N9" s="6">
        <v>6</v>
      </c>
      <c r="O9">
        <f t="shared" si="0"/>
        <v>998</v>
      </c>
      <c r="P9">
        <f t="shared" si="1"/>
        <v>968</v>
      </c>
      <c r="Q9" s="11">
        <f t="shared" ca="1" si="3"/>
        <v>45057</v>
      </c>
      <c r="R9" s="11">
        <f t="shared" ca="1" si="4"/>
        <v>45087</v>
      </c>
    </row>
    <row r="10" spans="1:18" x14ac:dyDescent="0.25">
      <c r="A10" s="26">
        <v>2391</v>
      </c>
      <c r="B10" s="2">
        <v>2971</v>
      </c>
      <c r="C10" s="3">
        <v>39872</v>
      </c>
      <c r="D10" s="4" t="s">
        <v>10</v>
      </c>
      <c r="E10" s="2">
        <v>0</v>
      </c>
      <c r="F10" s="3">
        <f t="shared" si="2"/>
        <v>39902</v>
      </c>
      <c r="G10" s="2">
        <v>0</v>
      </c>
      <c r="H10" s="5">
        <v>0</v>
      </c>
      <c r="I10" s="2" t="b">
        <v>1</v>
      </c>
      <c r="J10" s="2">
        <v>640</v>
      </c>
      <c r="K10" s="2" t="b">
        <v>1</v>
      </c>
      <c r="L10" s="2" t="b">
        <v>0</v>
      </c>
      <c r="M10" s="2">
        <v>0</v>
      </c>
      <c r="N10" s="6">
        <v>6</v>
      </c>
      <c r="O10">
        <f t="shared" si="0"/>
        <v>990</v>
      </c>
      <c r="P10">
        <f t="shared" si="1"/>
        <v>960</v>
      </c>
      <c r="Q10" s="11">
        <f t="shared" ca="1" si="3"/>
        <v>45065</v>
      </c>
      <c r="R10" s="11">
        <f t="shared" ca="1" si="4"/>
        <v>45095</v>
      </c>
    </row>
    <row r="11" spans="1:18" x14ac:dyDescent="0.25">
      <c r="A11" s="2">
        <v>2392</v>
      </c>
      <c r="B11" s="2">
        <v>3620</v>
      </c>
      <c r="C11" s="3">
        <v>39880</v>
      </c>
      <c r="D11" s="4" t="s">
        <v>10</v>
      </c>
      <c r="E11" s="2">
        <v>0</v>
      </c>
      <c r="F11" s="3">
        <f t="shared" si="2"/>
        <v>39910</v>
      </c>
      <c r="G11" s="2">
        <v>0</v>
      </c>
      <c r="H11" s="5">
        <v>0.03</v>
      </c>
      <c r="I11" s="2" t="b">
        <v>1</v>
      </c>
      <c r="J11" s="2">
        <v>1524</v>
      </c>
      <c r="K11" s="2" t="b">
        <v>0</v>
      </c>
      <c r="L11" s="2" t="b">
        <v>0</v>
      </c>
      <c r="M11" s="2">
        <v>0</v>
      </c>
      <c r="N11" s="6">
        <v>6</v>
      </c>
      <c r="O11">
        <f t="shared" si="0"/>
        <v>982</v>
      </c>
      <c r="P11">
        <f t="shared" si="1"/>
        <v>952</v>
      </c>
      <c r="Q11" s="11">
        <f t="shared" ca="1" si="3"/>
        <v>45073</v>
      </c>
      <c r="R11" s="11">
        <f t="shared" ca="1" si="4"/>
        <v>45103</v>
      </c>
    </row>
    <row r="12" spans="1:18" x14ac:dyDescent="0.25">
      <c r="A12" s="26">
        <v>2393</v>
      </c>
      <c r="B12" s="2">
        <v>2421</v>
      </c>
      <c r="C12" s="3">
        <v>39888</v>
      </c>
      <c r="D12" s="4" t="s">
        <v>10</v>
      </c>
      <c r="E12" s="2">
        <v>0</v>
      </c>
      <c r="F12" s="3">
        <f t="shared" si="2"/>
        <v>39918</v>
      </c>
      <c r="G12" s="2">
        <v>0</v>
      </c>
      <c r="H12" s="5">
        <v>0</v>
      </c>
      <c r="I12" s="2" t="b">
        <v>1</v>
      </c>
      <c r="J12" s="2">
        <v>1524</v>
      </c>
      <c r="K12" s="2" t="b">
        <v>0</v>
      </c>
      <c r="L12" s="2" t="b">
        <v>0</v>
      </c>
      <c r="M12" s="2">
        <v>0</v>
      </c>
      <c r="N12" s="6">
        <v>6</v>
      </c>
      <c r="O12">
        <f t="shared" si="0"/>
        <v>974</v>
      </c>
      <c r="P12">
        <f t="shared" si="1"/>
        <v>944</v>
      </c>
      <c r="Q12" s="11">
        <f t="shared" ca="1" si="3"/>
        <v>45081</v>
      </c>
      <c r="R12" s="11">
        <f t="shared" ca="1" si="4"/>
        <v>45111</v>
      </c>
    </row>
    <row r="13" spans="1:18" x14ac:dyDescent="0.25">
      <c r="A13" s="2">
        <v>2394</v>
      </c>
      <c r="B13" s="2">
        <v>3659</v>
      </c>
      <c r="C13" s="3">
        <v>39896</v>
      </c>
      <c r="D13" s="4" t="s">
        <v>10</v>
      </c>
      <c r="E13" s="2">
        <v>0</v>
      </c>
      <c r="F13" s="3">
        <f t="shared" si="2"/>
        <v>39926</v>
      </c>
      <c r="G13" s="2">
        <v>85</v>
      </c>
      <c r="H13" s="5">
        <v>0</v>
      </c>
      <c r="I13" s="2" t="b">
        <v>1</v>
      </c>
      <c r="J13" s="2">
        <v>1524</v>
      </c>
      <c r="K13" s="2" t="b">
        <v>0</v>
      </c>
      <c r="L13" s="2" t="b">
        <v>0</v>
      </c>
      <c r="M13" s="2">
        <v>0</v>
      </c>
      <c r="N13" s="6">
        <v>6</v>
      </c>
      <c r="O13">
        <f t="shared" si="0"/>
        <v>966</v>
      </c>
      <c r="P13">
        <f t="shared" si="1"/>
        <v>936</v>
      </c>
      <c r="Q13" s="11">
        <f t="shared" ca="1" si="3"/>
        <v>45089</v>
      </c>
      <c r="R13" s="11">
        <f t="shared" ca="1" si="4"/>
        <v>45119</v>
      </c>
    </row>
    <row r="14" spans="1:18" x14ac:dyDescent="0.25">
      <c r="A14" s="26">
        <v>2395</v>
      </c>
      <c r="B14" s="2">
        <v>1277</v>
      </c>
      <c r="C14" s="3">
        <v>39904</v>
      </c>
      <c r="D14" s="4" t="s">
        <v>10</v>
      </c>
      <c r="E14" s="2">
        <v>500</v>
      </c>
      <c r="F14" s="3">
        <f t="shared" si="2"/>
        <v>39934</v>
      </c>
      <c r="G14" s="2">
        <v>69</v>
      </c>
      <c r="H14" s="5">
        <v>0</v>
      </c>
      <c r="I14" s="2" t="b">
        <v>1</v>
      </c>
      <c r="J14" s="2">
        <v>1524</v>
      </c>
      <c r="K14" s="2" t="b">
        <v>0</v>
      </c>
      <c r="L14" s="2" t="b">
        <v>0</v>
      </c>
      <c r="M14" s="2">
        <v>0</v>
      </c>
      <c r="N14" s="6">
        <v>6</v>
      </c>
      <c r="O14">
        <f t="shared" si="0"/>
        <v>958</v>
      </c>
      <c r="P14">
        <f t="shared" si="1"/>
        <v>928</v>
      </c>
      <c r="Q14" s="11">
        <f t="shared" ca="1" si="3"/>
        <v>45097</v>
      </c>
      <c r="R14" s="11">
        <f t="shared" ca="1" si="4"/>
        <v>45127</v>
      </c>
    </row>
    <row r="15" spans="1:18" x14ac:dyDescent="0.25">
      <c r="A15" s="2">
        <v>2396</v>
      </c>
      <c r="B15" s="2">
        <v>3660</v>
      </c>
      <c r="C15" s="3">
        <v>39912</v>
      </c>
      <c r="D15" s="4" t="s">
        <v>10</v>
      </c>
      <c r="E15" s="2">
        <v>0</v>
      </c>
      <c r="F15" s="3">
        <f t="shared" si="2"/>
        <v>39942</v>
      </c>
      <c r="G15" s="2">
        <v>25</v>
      </c>
      <c r="H15" s="5">
        <v>0</v>
      </c>
      <c r="I15" s="2" t="b">
        <v>1</v>
      </c>
      <c r="J15" s="2">
        <v>640</v>
      </c>
      <c r="K15" s="2" t="b">
        <v>1</v>
      </c>
      <c r="L15" s="2" t="b">
        <v>0</v>
      </c>
      <c r="M15" s="2">
        <v>0</v>
      </c>
      <c r="N15" s="6">
        <v>6</v>
      </c>
      <c r="O15">
        <f t="shared" si="0"/>
        <v>950</v>
      </c>
      <c r="P15">
        <f t="shared" si="1"/>
        <v>920</v>
      </c>
      <c r="Q15" s="11">
        <f t="shared" ca="1" si="3"/>
        <v>45105</v>
      </c>
      <c r="R15" s="11">
        <f t="shared" ca="1" si="4"/>
        <v>45135</v>
      </c>
    </row>
    <row r="16" spans="1:18" x14ac:dyDescent="0.25">
      <c r="A16" s="26">
        <v>2397</v>
      </c>
      <c r="B16" s="2">
        <v>2478</v>
      </c>
      <c r="C16" s="3">
        <v>39920</v>
      </c>
      <c r="D16" s="4" t="s">
        <v>10</v>
      </c>
      <c r="E16" s="2">
        <v>0</v>
      </c>
      <c r="F16" s="3">
        <f t="shared" si="2"/>
        <v>39950</v>
      </c>
      <c r="G16" s="2">
        <v>14</v>
      </c>
      <c r="H16" s="5">
        <v>0</v>
      </c>
      <c r="I16" s="2" t="b">
        <v>1</v>
      </c>
      <c r="J16" s="2">
        <v>640</v>
      </c>
      <c r="K16" s="2" t="b">
        <v>1</v>
      </c>
      <c r="L16" s="2" t="b">
        <v>0</v>
      </c>
      <c r="M16" s="2">
        <v>0</v>
      </c>
      <c r="N16" s="6">
        <v>6</v>
      </c>
      <c r="O16">
        <f t="shared" si="0"/>
        <v>942</v>
      </c>
      <c r="P16">
        <f t="shared" si="1"/>
        <v>912</v>
      </c>
      <c r="Q16" s="11">
        <f t="shared" ca="1" si="3"/>
        <v>45113</v>
      </c>
      <c r="R16" s="11">
        <f t="shared" ca="1" si="4"/>
        <v>45143</v>
      </c>
    </row>
    <row r="17" spans="1:18" x14ac:dyDescent="0.25">
      <c r="A17" s="2">
        <v>2398</v>
      </c>
      <c r="B17" s="2">
        <v>1546</v>
      </c>
      <c r="C17" s="3">
        <v>39928</v>
      </c>
      <c r="D17" s="4" t="s">
        <v>10</v>
      </c>
      <c r="E17" s="2">
        <v>0</v>
      </c>
      <c r="F17" s="3">
        <f t="shared" si="2"/>
        <v>39958</v>
      </c>
      <c r="G17" s="2">
        <v>92</v>
      </c>
      <c r="H17" s="5">
        <v>0</v>
      </c>
      <c r="I17" s="2" t="b">
        <v>1</v>
      </c>
      <c r="J17" s="2">
        <v>1524</v>
      </c>
      <c r="K17" s="2" t="b">
        <v>0</v>
      </c>
      <c r="L17" s="2" t="b">
        <v>0</v>
      </c>
      <c r="M17" s="2">
        <v>0</v>
      </c>
      <c r="N17" s="6">
        <v>6</v>
      </c>
      <c r="O17">
        <f t="shared" si="0"/>
        <v>934</v>
      </c>
      <c r="P17">
        <f t="shared" si="1"/>
        <v>904</v>
      </c>
      <c r="Q17" s="11">
        <f t="shared" ca="1" si="3"/>
        <v>45121</v>
      </c>
      <c r="R17" s="11">
        <f t="shared" ca="1" si="4"/>
        <v>45151</v>
      </c>
    </row>
    <row r="18" spans="1:18" x14ac:dyDescent="0.25">
      <c r="A18" s="26">
        <v>2399</v>
      </c>
      <c r="B18" s="2">
        <v>720</v>
      </c>
      <c r="C18" s="3">
        <v>39936</v>
      </c>
      <c r="D18" s="4" t="s">
        <v>10</v>
      </c>
      <c r="E18" s="2">
        <v>0</v>
      </c>
      <c r="F18" s="3">
        <f t="shared" si="2"/>
        <v>39966</v>
      </c>
      <c r="G18" s="2">
        <v>32</v>
      </c>
      <c r="H18" s="5">
        <v>0</v>
      </c>
      <c r="I18" s="2" t="b">
        <v>1</v>
      </c>
      <c r="J18" s="2">
        <v>1524</v>
      </c>
      <c r="K18" s="2" t="b">
        <v>0</v>
      </c>
      <c r="L18" s="2" t="b">
        <v>0</v>
      </c>
      <c r="M18" s="2">
        <v>0</v>
      </c>
      <c r="N18" s="6">
        <v>6</v>
      </c>
      <c r="O18">
        <f t="shared" si="0"/>
        <v>926</v>
      </c>
      <c r="P18">
        <f t="shared" si="1"/>
        <v>896</v>
      </c>
      <c r="Q18" s="11">
        <f t="shared" ca="1" si="3"/>
        <v>45129</v>
      </c>
      <c r="R18" s="11">
        <f t="shared" ca="1" si="4"/>
        <v>45159</v>
      </c>
    </row>
    <row r="19" spans="1:18" x14ac:dyDescent="0.25">
      <c r="A19" s="2">
        <v>2400</v>
      </c>
      <c r="B19" s="2">
        <v>1559</v>
      </c>
      <c r="C19" s="3">
        <v>39947</v>
      </c>
      <c r="D19" s="4" t="s">
        <v>10</v>
      </c>
      <c r="E19" s="2">
        <v>0</v>
      </c>
      <c r="F19" s="3">
        <f t="shared" si="2"/>
        <v>39977</v>
      </c>
      <c r="G19" s="2">
        <v>59</v>
      </c>
      <c r="H19" s="5">
        <v>0</v>
      </c>
      <c r="I19" s="2" t="b">
        <v>1</v>
      </c>
      <c r="J19" s="2">
        <v>1524</v>
      </c>
      <c r="K19" s="2" t="b">
        <v>0</v>
      </c>
      <c r="L19" s="2" t="b">
        <v>0</v>
      </c>
      <c r="M19" s="2">
        <v>0</v>
      </c>
      <c r="N19" s="6">
        <v>6</v>
      </c>
      <c r="O19">
        <f t="shared" si="0"/>
        <v>915</v>
      </c>
      <c r="P19">
        <f t="shared" si="1"/>
        <v>885</v>
      </c>
      <c r="Q19" s="11">
        <f t="shared" ca="1" si="3"/>
        <v>45140</v>
      </c>
      <c r="R19" s="11">
        <f t="shared" ca="1" si="4"/>
        <v>45170</v>
      </c>
    </row>
    <row r="20" spans="1:18" x14ac:dyDescent="0.25">
      <c r="A20" s="26">
        <v>2401</v>
      </c>
      <c r="B20" s="2">
        <v>2359</v>
      </c>
      <c r="C20" s="3">
        <v>39955</v>
      </c>
      <c r="D20" s="4" t="s">
        <v>10</v>
      </c>
      <c r="E20" s="2">
        <v>0</v>
      </c>
      <c r="F20" s="3">
        <f t="shared" si="2"/>
        <v>39985</v>
      </c>
      <c r="G20" s="2">
        <v>59</v>
      </c>
      <c r="H20" s="5">
        <v>0.05</v>
      </c>
      <c r="I20" s="2" t="b">
        <v>1</v>
      </c>
      <c r="J20" s="2">
        <v>1524</v>
      </c>
      <c r="K20" s="2" t="b">
        <v>0</v>
      </c>
      <c r="L20" s="2" t="b">
        <v>0</v>
      </c>
      <c r="M20" s="2">
        <v>0</v>
      </c>
      <c r="N20" s="6">
        <v>6</v>
      </c>
      <c r="O20">
        <f t="shared" si="0"/>
        <v>907</v>
      </c>
      <c r="P20">
        <f t="shared" si="1"/>
        <v>877</v>
      </c>
      <c r="Q20" s="11">
        <f t="shared" ca="1" si="3"/>
        <v>45148</v>
      </c>
      <c r="R20" s="11">
        <f t="shared" ca="1" si="4"/>
        <v>45178</v>
      </c>
    </row>
    <row r="21" spans="1:18" x14ac:dyDescent="0.25">
      <c r="A21" s="2">
        <v>2402</v>
      </c>
      <c r="B21" s="2">
        <v>2937</v>
      </c>
      <c r="C21" s="3">
        <v>39982</v>
      </c>
      <c r="D21" s="4" t="s">
        <v>10</v>
      </c>
      <c r="E21" s="2">
        <v>0</v>
      </c>
      <c r="F21" s="3">
        <f t="shared" si="2"/>
        <v>40012</v>
      </c>
      <c r="G21" s="2">
        <v>0</v>
      </c>
      <c r="H21" s="5">
        <v>0</v>
      </c>
      <c r="I21" s="2" t="b">
        <v>1</v>
      </c>
      <c r="J21" s="2">
        <v>1524</v>
      </c>
      <c r="K21" s="2" t="b">
        <v>0</v>
      </c>
      <c r="L21" s="2" t="b">
        <v>0</v>
      </c>
      <c r="M21" s="2">
        <v>0</v>
      </c>
      <c r="N21" s="6">
        <v>6</v>
      </c>
      <c r="O21">
        <f t="shared" si="0"/>
        <v>880</v>
      </c>
      <c r="P21">
        <f t="shared" si="1"/>
        <v>850</v>
      </c>
      <c r="Q21" s="11">
        <f t="shared" ca="1" si="3"/>
        <v>45175</v>
      </c>
      <c r="R21" s="11">
        <f t="shared" ca="1" si="4"/>
        <v>45205</v>
      </c>
    </row>
    <row r="22" spans="1:18" x14ac:dyDescent="0.25">
      <c r="A22" s="31">
        <v>2403</v>
      </c>
      <c r="B22" s="2">
        <v>1095</v>
      </c>
      <c r="C22" s="27">
        <v>39984</v>
      </c>
      <c r="D22" s="28" t="s">
        <v>10</v>
      </c>
      <c r="E22" s="26">
        <v>0</v>
      </c>
      <c r="F22" s="27">
        <v>40025</v>
      </c>
      <c r="G22" s="26">
        <v>0</v>
      </c>
      <c r="H22" s="29">
        <v>0</v>
      </c>
      <c r="I22" s="26" t="b">
        <v>1</v>
      </c>
      <c r="J22" s="26">
        <v>1524</v>
      </c>
      <c r="K22" s="26" t="b">
        <v>0</v>
      </c>
      <c r="L22" s="26" t="b">
        <v>0</v>
      </c>
      <c r="M22" s="26">
        <v>0</v>
      </c>
      <c r="N22" s="30">
        <v>6</v>
      </c>
      <c r="O22">
        <f t="shared" ref="O22" si="5">DATEDIF(C22,DateFin,"d")</f>
        <v>878</v>
      </c>
      <c r="P22">
        <f t="shared" ref="P22" si="6">DATEDIF(F22,DateFin,"d")</f>
        <v>837</v>
      </c>
      <c r="Q22" s="11">
        <f ca="1">TODAY()-O22</f>
        <v>45177</v>
      </c>
      <c r="R22" s="11">
        <f ca="1">TODAY()-P22</f>
        <v>45218</v>
      </c>
    </row>
    <row r="23" spans="1:18" x14ac:dyDescent="0.25">
      <c r="A23" s="2">
        <v>2404</v>
      </c>
      <c r="B23" s="2">
        <v>2937</v>
      </c>
      <c r="C23" s="3">
        <v>40002</v>
      </c>
      <c r="D23" s="4" t="s">
        <v>10</v>
      </c>
      <c r="E23" s="2">
        <v>0</v>
      </c>
      <c r="F23" s="3">
        <f>C23+30</f>
        <v>40032</v>
      </c>
      <c r="G23" s="2">
        <v>0</v>
      </c>
      <c r="H23" s="5">
        <v>0</v>
      </c>
      <c r="I23" s="2" t="b">
        <v>1</v>
      </c>
      <c r="J23" s="2">
        <v>1524</v>
      </c>
      <c r="K23" s="2" t="b">
        <v>0</v>
      </c>
      <c r="L23" s="2" t="b">
        <v>0</v>
      </c>
      <c r="M23" s="2">
        <v>0</v>
      </c>
      <c r="N23" s="6">
        <v>6</v>
      </c>
      <c r="O23">
        <f t="shared" ref="O23:O86" si="7">DATEDIF(C23,DateFin,"d")</f>
        <v>860</v>
      </c>
      <c r="P23">
        <f t="shared" ref="P23:P86" si="8">DATEDIF(F23,DateFin,"d")</f>
        <v>830</v>
      </c>
      <c r="Q23" s="11">
        <f ca="1">TODAY()-O23</f>
        <v>45195</v>
      </c>
      <c r="R23" s="11">
        <f ca="1">TODAY()-P23</f>
        <v>45225</v>
      </c>
    </row>
    <row r="24" spans="1:18" x14ac:dyDescent="0.25">
      <c r="A24" s="2">
        <v>2405</v>
      </c>
      <c r="B24" s="2">
        <v>798</v>
      </c>
      <c r="C24" s="3">
        <v>40002</v>
      </c>
      <c r="D24" s="4" t="s">
        <v>10</v>
      </c>
      <c r="E24" s="2">
        <v>0</v>
      </c>
      <c r="F24" s="3">
        <f t="shared" ref="F24:F87" si="9">C24+30</f>
        <v>40032</v>
      </c>
      <c r="G24" s="2">
        <v>0</v>
      </c>
      <c r="H24" s="5">
        <v>0</v>
      </c>
      <c r="I24" s="2" t="b">
        <v>1</v>
      </c>
      <c r="J24" s="2">
        <v>1524</v>
      </c>
      <c r="K24" s="2" t="b">
        <v>0</v>
      </c>
      <c r="L24" s="2" t="b">
        <v>0</v>
      </c>
      <c r="M24" s="2">
        <v>0</v>
      </c>
      <c r="N24" s="6">
        <v>6</v>
      </c>
      <c r="O24">
        <f t="shared" si="7"/>
        <v>860</v>
      </c>
      <c r="P24">
        <f t="shared" si="8"/>
        <v>830</v>
      </c>
      <c r="Q24" s="11">
        <f t="shared" ref="Q24:Q87" ca="1" si="10">TODAY()-O24</f>
        <v>45195</v>
      </c>
      <c r="R24" s="11">
        <f t="shared" ref="R24:R87" ca="1" si="11">TODAY()-P24</f>
        <v>45225</v>
      </c>
    </row>
    <row r="25" spans="1:18" x14ac:dyDescent="0.25">
      <c r="A25" s="2">
        <v>2406</v>
      </c>
      <c r="B25" s="2">
        <v>1472</v>
      </c>
      <c r="C25" s="3">
        <v>40011</v>
      </c>
      <c r="D25" s="4" t="s">
        <v>10</v>
      </c>
      <c r="E25" s="2">
        <v>0</v>
      </c>
      <c r="F25" s="3">
        <f t="shared" si="9"/>
        <v>40041</v>
      </c>
      <c r="G25" s="2">
        <v>0</v>
      </c>
      <c r="H25" s="5">
        <v>0</v>
      </c>
      <c r="I25" s="2" t="b">
        <v>1</v>
      </c>
      <c r="J25" s="2">
        <v>640</v>
      </c>
      <c r="K25" s="2" t="b">
        <v>1</v>
      </c>
      <c r="L25" s="2" t="b">
        <v>0</v>
      </c>
      <c r="M25" s="2">
        <v>0</v>
      </c>
      <c r="N25" s="6">
        <v>6</v>
      </c>
      <c r="O25">
        <f t="shared" si="7"/>
        <v>851</v>
      </c>
      <c r="P25">
        <f t="shared" si="8"/>
        <v>821</v>
      </c>
      <c r="Q25" s="11">
        <f t="shared" ca="1" si="10"/>
        <v>45204</v>
      </c>
      <c r="R25" s="11">
        <f t="shared" ca="1" si="11"/>
        <v>45234</v>
      </c>
    </row>
    <row r="26" spans="1:18" x14ac:dyDescent="0.25">
      <c r="A26" s="2">
        <v>2407</v>
      </c>
      <c r="B26" s="2">
        <v>1277</v>
      </c>
      <c r="C26" s="3">
        <v>40015</v>
      </c>
      <c r="D26" s="4" t="s">
        <v>10</v>
      </c>
      <c r="E26" s="2">
        <v>0</v>
      </c>
      <c r="F26" s="3">
        <f t="shared" si="9"/>
        <v>40045</v>
      </c>
      <c r="G26" s="2">
        <v>30</v>
      </c>
      <c r="H26" s="5">
        <v>0.03</v>
      </c>
      <c r="I26" s="2" t="b">
        <v>1</v>
      </c>
      <c r="J26" s="2">
        <v>1524</v>
      </c>
      <c r="K26" s="2" t="b">
        <v>0</v>
      </c>
      <c r="L26" s="2" t="b">
        <v>0</v>
      </c>
      <c r="M26" s="2">
        <v>0</v>
      </c>
      <c r="N26" s="6">
        <v>6</v>
      </c>
      <c r="O26">
        <f t="shared" si="7"/>
        <v>847</v>
      </c>
      <c r="P26">
        <f t="shared" si="8"/>
        <v>817</v>
      </c>
      <c r="Q26" s="11">
        <f t="shared" ca="1" si="10"/>
        <v>45208</v>
      </c>
      <c r="R26" s="11">
        <f t="shared" ca="1" si="11"/>
        <v>45238</v>
      </c>
    </row>
    <row r="27" spans="1:18" x14ac:dyDescent="0.25">
      <c r="A27" s="2">
        <v>2408</v>
      </c>
      <c r="B27" s="2">
        <v>3624</v>
      </c>
      <c r="C27" s="3">
        <v>40016</v>
      </c>
      <c r="D27" s="4" t="s">
        <v>10</v>
      </c>
      <c r="E27" s="2">
        <v>0</v>
      </c>
      <c r="F27" s="3">
        <f t="shared" si="9"/>
        <v>40046</v>
      </c>
      <c r="G27" s="2">
        <v>0</v>
      </c>
      <c r="H27" s="5">
        <v>0</v>
      </c>
      <c r="I27" s="2" t="b">
        <v>1</v>
      </c>
      <c r="J27" s="2">
        <v>1524</v>
      </c>
      <c r="K27" s="2" t="b">
        <v>0</v>
      </c>
      <c r="L27" s="2" t="b">
        <v>0</v>
      </c>
      <c r="M27" s="2">
        <v>0</v>
      </c>
      <c r="N27" s="6">
        <v>6</v>
      </c>
      <c r="O27">
        <f t="shared" si="7"/>
        <v>846</v>
      </c>
      <c r="P27">
        <f t="shared" si="8"/>
        <v>816</v>
      </c>
      <c r="Q27" s="11">
        <f t="shared" ca="1" si="10"/>
        <v>45209</v>
      </c>
      <c r="R27" s="11">
        <f t="shared" ca="1" si="11"/>
        <v>45239</v>
      </c>
    </row>
    <row r="28" spans="1:18" x14ac:dyDescent="0.25">
      <c r="A28" s="2">
        <v>2409</v>
      </c>
      <c r="B28" s="2">
        <v>3638</v>
      </c>
      <c r="C28" s="3">
        <v>40022</v>
      </c>
      <c r="D28" s="4" t="s">
        <v>10</v>
      </c>
      <c r="E28" s="2">
        <v>0</v>
      </c>
      <c r="F28" s="3">
        <f t="shared" si="9"/>
        <v>40052</v>
      </c>
      <c r="G28" s="2">
        <v>22</v>
      </c>
      <c r="H28" s="5">
        <v>0</v>
      </c>
      <c r="I28" s="2" t="b">
        <v>1</v>
      </c>
      <c r="J28" s="2">
        <v>1524</v>
      </c>
      <c r="K28" s="2" t="b">
        <v>0</v>
      </c>
      <c r="L28" s="2" t="b">
        <v>0</v>
      </c>
      <c r="M28" s="2">
        <v>0</v>
      </c>
      <c r="N28" s="6">
        <v>6</v>
      </c>
      <c r="O28">
        <f t="shared" si="7"/>
        <v>840</v>
      </c>
      <c r="P28">
        <f t="shared" si="8"/>
        <v>810</v>
      </c>
      <c r="Q28" s="11">
        <f t="shared" ca="1" si="10"/>
        <v>45215</v>
      </c>
      <c r="R28" s="11">
        <f t="shared" ca="1" si="11"/>
        <v>45245</v>
      </c>
    </row>
    <row r="29" spans="1:18" x14ac:dyDescent="0.25">
      <c r="A29" s="2">
        <v>2410</v>
      </c>
      <c r="B29" s="2">
        <v>1559</v>
      </c>
      <c r="C29" s="3">
        <v>40022</v>
      </c>
      <c r="D29" s="4" t="s">
        <v>10</v>
      </c>
      <c r="E29" s="2">
        <v>0</v>
      </c>
      <c r="F29" s="3">
        <f t="shared" si="9"/>
        <v>40052</v>
      </c>
      <c r="G29" s="2">
        <v>19</v>
      </c>
      <c r="H29" s="5">
        <v>0</v>
      </c>
      <c r="I29" s="2" t="b">
        <v>1</v>
      </c>
      <c r="J29" s="2">
        <v>1524</v>
      </c>
      <c r="K29" s="2" t="b">
        <v>1</v>
      </c>
      <c r="L29" s="2" t="b">
        <v>0</v>
      </c>
      <c r="M29" s="2">
        <v>0</v>
      </c>
      <c r="N29" s="6">
        <v>6</v>
      </c>
      <c r="O29">
        <f t="shared" si="7"/>
        <v>840</v>
      </c>
      <c r="P29">
        <f t="shared" si="8"/>
        <v>810</v>
      </c>
      <c r="Q29" s="11">
        <f t="shared" ca="1" si="10"/>
        <v>45215</v>
      </c>
      <c r="R29" s="11">
        <f t="shared" ca="1" si="11"/>
        <v>45245</v>
      </c>
    </row>
    <row r="30" spans="1:18" x14ac:dyDescent="0.25">
      <c r="A30" s="2">
        <v>2411</v>
      </c>
      <c r="B30" s="2">
        <v>2971</v>
      </c>
      <c r="C30" s="3">
        <v>40025</v>
      </c>
      <c r="D30" s="4" t="s">
        <v>10</v>
      </c>
      <c r="E30" s="2">
        <v>0</v>
      </c>
      <c r="F30" s="3">
        <f t="shared" si="9"/>
        <v>40055</v>
      </c>
      <c r="G30" s="2">
        <v>0</v>
      </c>
      <c r="H30" s="5">
        <v>0</v>
      </c>
      <c r="I30" s="2" t="b">
        <v>1</v>
      </c>
      <c r="J30" s="2">
        <v>640</v>
      </c>
      <c r="K30" s="2" t="b">
        <v>1</v>
      </c>
      <c r="L30" s="2" t="b">
        <v>0</v>
      </c>
      <c r="M30" s="2">
        <v>0</v>
      </c>
      <c r="N30" s="6">
        <v>6</v>
      </c>
      <c r="O30">
        <f t="shared" si="7"/>
        <v>837</v>
      </c>
      <c r="P30">
        <f t="shared" si="8"/>
        <v>807</v>
      </c>
      <c r="Q30" s="11">
        <f t="shared" ca="1" si="10"/>
        <v>45218</v>
      </c>
      <c r="R30" s="11">
        <f t="shared" ca="1" si="11"/>
        <v>45248</v>
      </c>
    </row>
    <row r="31" spans="1:18" x14ac:dyDescent="0.25">
      <c r="A31" s="2">
        <v>2412</v>
      </c>
      <c r="B31" s="2">
        <v>3620</v>
      </c>
      <c r="C31" s="3">
        <v>40060</v>
      </c>
      <c r="D31" s="4" t="s">
        <v>10</v>
      </c>
      <c r="E31" s="2">
        <v>0</v>
      </c>
      <c r="F31" s="3">
        <f t="shared" si="9"/>
        <v>40090</v>
      </c>
      <c r="G31" s="2">
        <v>0</v>
      </c>
      <c r="H31" s="5">
        <v>0.03</v>
      </c>
      <c r="I31" s="2" t="b">
        <v>1</v>
      </c>
      <c r="J31" s="2">
        <v>1524</v>
      </c>
      <c r="K31" s="2" t="b">
        <v>0</v>
      </c>
      <c r="L31" s="2" t="b">
        <v>0</v>
      </c>
      <c r="M31" s="2">
        <v>0</v>
      </c>
      <c r="N31" s="6">
        <v>6</v>
      </c>
      <c r="O31">
        <f t="shared" si="7"/>
        <v>802</v>
      </c>
      <c r="P31">
        <f t="shared" si="8"/>
        <v>772</v>
      </c>
      <c r="Q31" s="11">
        <f t="shared" ca="1" si="10"/>
        <v>45253</v>
      </c>
      <c r="R31" s="11">
        <f t="shared" ca="1" si="11"/>
        <v>45283</v>
      </c>
    </row>
    <row r="32" spans="1:18" x14ac:dyDescent="0.25">
      <c r="A32" s="2">
        <v>2413</v>
      </c>
      <c r="B32" s="2">
        <v>2421</v>
      </c>
      <c r="C32" s="3">
        <v>40078</v>
      </c>
      <c r="D32" s="4" t="s">
        <v>10</v>
      </c>
      <c r="E32" s="2">
        <v>0</v>
      </c>
      <c r="F32" s="3">
        <f t="shared" si="9"/>
        <v>40108</v>
      </c>
      <c r="G32" s="2">
        <v>0</v>
      </c>
      <c r="H32" s="5">
        <v>0</v>
      </c>
      <c r="I32" s="2" t="b">
        <v>1</v>
      </c>
      <c r="J32" s="2">
        <v>1524</v>
      </c>
      <c r="K32" s="2" t="b">
        <v>0</v>
      </c>
      <c r="L32" s="2" t="b">
        <v>0</v>
      </c>
      <c r="M32" s="2">
        <v>0</v>
      </c>
      <c r="N32" s="6">
        <v>6</v>
      </c>
      <c r="O32">
        <f t="shared" si="7"/>
        <v>784</v>
      </c>
      <c r="P32">
        <f t="shared" si="8"/>
        <v>754</v>
      </c>
      <c r="Q32" s="11">
        <f t="shared" ca="1" si="10"/>
        <v>45271</v>
      </c>
      <c r="R32" s="11">
        <f t="shared" ca="1" si="11"/>
        <v>45301</v>
      </c>
    </row>
    <row r="33" spans="1:18" x14ac:dyDescent="0.25">
      <c r="A33" s="2">
        <v>2414</v>
      </c>
      <c r="B33" s="2">
        <v>3659</v>
      </c>
      <c r="C33" s="3">
        <v>40074</v>
      </c>
      <c r="D33" s="4" t="s">
        <v>10</v>
      </c>
      <c r="E33" s="2">
        <v>0</v>
      </c>
      <c r="F33" s="3">
        <f t="shared" si="9"/>
        <v>40104</v>
      </c>
      <c r="G33" s="2">
        <v>85</v>
      </c>
      <c r="H33" s="5">
        <v>0</v>
      </c>
      <c r="I33" s="2" t="b">
        <v>1</v>
      </c>
      <c r="J33" s="2">
        <v>1524</v>
      </c>
      <c r="K33" s="2" t="b">
        <v>0</v>
      </c>
      <c r="L33" s="2" t="b">
        <v>0</v>
      </c>
      <c r="M33" s="2">
        <v>0</v>
      </c>
      <c r="N33" s="6">
        <v>6</v>
      </c>
      <c r="O33">
        <f t="shared" si="7"/>
        <v>788</v>
      </c>
      <c r="P33">
        <f t="shared" si="8"/>
        <v>758</v>
      </c>
      <c r="Q33" s="11">
        <f t="shared" ca="1" si="10"/>
        <v>45267</v>
      </c>
      <c r="R33" s="11">
        <f t="shared" ca="1" si="11"/>
        <v>45297</v>
      </c>
    </row>
    <row r="34" spans="1:18" x14ac:dyDescent="0.25">
      <c r="A34" s="2">
        <v>2415</v>
      </c>
      <c r="B34" s="2">
        <v>2829</v>
      </c>
      <c r="C34" s="3">
        <v>40088</v>
      </c>
      <c r="D34" s="4" t="s">
        <v>10</v>
      </c>
      <c r="E34" s="2">
        <v>500</v>
      </c>
      <c r="F34" s="3">
        <f t="shared" si="9"/>
        <v>40118</v>
      </c>
      <c r="G34" s="2">
        <v>69</v>
      </c>
      <c r="H34" s="5">
        <v>0</v>
      </c>
      <c r="I34" s="2" t="b">
        <v>1</v>
      </c>
      <c r="J34" s="2">
        <v>1524</v>
      </c>
      <c r="K34" s="2" t="b">
        <v>0</v>
      </c>
      <c r="L34" s="2" t="b">
        <v>0</v>
      </c>
      <c r="M34" s="2">
        <v>0</v>
      </c>
      <c r="N34" s="6">
        <v>6</v>
      </c>
      <c r="O34">
        <f t="shared" si="7"/>
        <v>774</v>
      </c>
      <c r="P34">
        <f t="shared" si="8"/>
        <v>744</v>
      </c>
      <c r="Q34" s="11">
        <f t="shared" ca="1" si="10"/>
        <v>45281</v>
      </c>
      <c r="R34" s="11">
        <f t="shared" ca="1" si="11"/>
        <v>45311</v>
      </c>
    </row>
    <row r="35" spans="1:18" x14ac:dyDescent="0.25">
      <c r="A35" s="2">
        <v>2416</v>
      </c>
      <c r="B35" s="2">
        <v>3660</v>
      </c>
      <c r="C35" s="3">
        <v>40074</v>
      </c>
      <c r="D35" s="4" t="s">
        <v>10</v>
      </c>
      <c r="E35" s="2">
        <v>0</v>
      </c>
      <c r="F35" s="3">
        <f t="shared" si="9"/>
        <v>40104</v>
      </c>
      <c r="G35" s="2">
        <v>25</v>
      </c>
      <c r="H35" s="5">
        <v>0</v>
      </c>
      <c r="I35" s="2" t="b">
        <v>1</v>
      </c>
      <c r="J35" s="2">
        <v>640</v>
      </c>
      <c r="K35" s="2" t="b">
        <v>1</v>
      </c>
      <c r="L35" s="2" t="b">
        <v>0</v>
      </c>
      <c r="M35" s="2">
        <v>0</v>
      </c>
      <c r="N35" s="6">
        <v>6</v>
      </c>
      <c r="O35">
        <f t="shared" si="7"/>
        <v>788</v>
      </c>
      <c r="P35">
        <f t="shared" si="8"/>
        <v>758</v>
      </c>
      <c r="Q35" s="11">
        <f t="shared" ca="1" si="10"/>
        <v>45267</v>
      </c>
      <c r="R35" s="11">
        <f t="shared" ca="1" si="11"/>
        <v>45297</v>
      </c>
    </row>
    <row r="36" spans="1:18" x14ac:dyDescent="0.25">
      <c r="A36" s="2">
        <v>2417</v>
      </c>
      <c r="B36" s="2">
        <v>2478</v>
      </c>
      <c r="C36" s="3">
        <v>40081</v>
      </c>
      <c r="D36" s="4" t="s">
        <v>10</v>
      </c>
      <c r="E36" s="2">
        <v>0</v>
      </c>
      <c r="F36" s="3">
        <f t="shared" si="9"/>
        <v>40111</v>
      </c>
      <c r="G36" s="2">
        <v>14</v>
      </c>
      <c r="H36" s="5">
        <v>0</v>
      </c>
      <c r="I36" s="2" t="b">
        <v>1</v>
      </c>
      <c r="J36" s="2">
        <v>640</v>
      </c>
      <c r="K36" s="2" t="b">
        <v>1</v>
      </c>
      <c r="L36" s="2" t="b">
        <v>0</v>
      </c>
      <c r="M36" s="2">
        <v>0</v>
      </c>
      <c r="N36" s="6">
        <v>6</v>
      </c>
      <c r="O36">
        <f t="shared" si="7"/>
        <v>781</v>
      </c>
      <c r="P36">
        <f t="shared" si="8"/>
        <v>751</v>
      </c>
      <c r="Q36" s="11">
        <f t="shared" ca="1" si="10"/>
        <v>45274</v>
      </c>
      <c r="R36" s="11">
        <f t="shared" ca="1" si="11"/>
        <v>45304</v>
      </c>
    </row>
    <row r="37" spans="1:18" x14ac:dyDescent="0.25">
      <c r="A37" s="2">
        <v>2418</v>
      </c>
      <c r="B37" s="2">
        <v>1546</v>
      </c>
      <c r="C37" s="3">
        <v>40065</v>
      </c>
      <c r="D37" s="4" t="s">
        <v>10</v>
      </c>
      <c r="E37" s="2">
        <v>0</v>
      </c>
      <c r="F37" s="3">
        <f t="shared" si="9"/>
        <v>40095</v>
      </c>
      <c r="G37" s="2">
        <v>92</v>
      </c>
      <c r="H37" s="5">
        <v>0</v>
      </c>
      <c r="I37" s="2" t="b">
        <v>1</v>
      </c>
      <c r="J37" s="2">
        <v>1524</v>
      </c>
      <c r="K37" s="2" t="b">
        <v>0</v>
      </c>
      <c r="L37" s="2" t="b">
        <v>0</v>
      </c>
      <c r="M37" s="2">
        <v>0</v>
      </c>
      <c r="N37" s="6">
        <v>6</v>
      </c>
      <c r="O37">
        <f t="shared" si="7"/>
        <v>797</v>
      </c>
      <c r="P37">
        <f t="shared" si="8"/>
        <v>767</v>
      </c>
      <c r="Q37" s="11">
        <f t="shared" ca="1" si="10"/>
        <v>45258</v>
      </c>
      <c r="R37" s="11">
        <f t="shared" ca="1" si="11"/>
        <v>45288</v>
      </c>
    </row>
    <row r="38" spans="1:18" x14ac:dyDescent="0.25">
      <c r="A38" s="2">
        <v>2419</v>
      </c>
      <c r="B38" s="2">
        <v>720</v>
      </c>
      <c r="C38" s="3">
        <v>40080</v>
      </c>
      <c r="D38" s="4" t="s">
        <v>10</v>
      </c>
      <c r="E38" s="2">
        <v>0</v>
      </c>
      <c r="F38" s="3">
        <f t="shared" si="9"/>
        <v>40110</v>
      </c>
      <c r="G38" s="2">
        <v>32</v>
      </c>
      <c r="H38" s="5">
        <v>0</v>
      </c>
      <c r="I38" s="2" t="b">
        <v>1</v>
      </c>
      <c r="J38" s="2">
        <v>1524</v>
      </c>
      <c r="K38" s="2" t="b">
        <v>0</v>
      </c>
      <c r="L38" s="2" t="b">
        <v>0</v>
      </c>
      <c r="M38" s="2">
        <v>0</v>
      </c>
      <c r="N38" s="6">
        <v>6</v>
      </c>
      <c r="O38">
        <f t="shared" si="7"/>
        <v>782</v>
      </c>
      <c r="P38">
        <f t="shared" si="8"/>
        <v>752</v>
      </c>
      <c r="Q38" s="11">
        <f t="shared" ca="1" si="10"/>
        <v>45273</v>
      </c>
      <c r="R38" s="11">
        <f t="shared" ca="1" si="11"/>
        <v>45303</v>
      </c>
    </row>
    <row r="39" spans="1:18" x14ac:dyDescent="0.25">
      <c r="A39" s="2">
        <v>2420</v>
      </c>
      <c r="B39" s="2">
        <v>1559</v>
      </c>
      <c r="C39" s="3">
        <v>40080</v>
      </c>
      <c r="D39" s="4" t="s">
        <v>10</v>
      </c>
      <c r="E39" s="2">
        <v>0</v>
      </c>
      <c r="F39" s="3">
        <f t="shared" si="9"/>
        <v>40110</v>
      </c>
      <c r="G39" s="2">
        <v>59</v>
      </c>
      <c r="H39" s="5">
        <v>0</v>
      </c>
      <c r="I39" s="2" t="b">
        <v>1</v>
      </c>
      <c r="J39" s="2">
        <v>1524</v>
      </c>
      <c r="K39" s="2" t="b">
        <v>0</v>
      </c>
      <c r="L39" s="2" t="b">
        <v>0</v>
      </c>
      <c r="M39" s="2">
        <v>0</v>
      </c>
      <c r="N39" s="6">
        <v>6</v>
      </c>
      <c r="O39">
        <f t="shared" si="7"/>
        <v>782</v>
      </c>
      <c r="P39">
        <f t="shared" si="8"/>
        <v>752</v>
      </c>
      <c r="Q39" s="11">
        <f t="shared" ca="1" si="10"/>
        <v>45273</v>
      </c>
      <c r="R39" s="11">
        <f t="shared" ca="1" si="11"/>
        <v>45303</v>
      </c>
    </row>
    <row r="40" spans="1:18" x14ac:dyDescent="0.25">
      <c r="A40" s="2">
        <v>2421</v>
      </c>
      <c r="B40" s="2">
        <v>2359</v>
      </c>
      <c r="C40" s="3">
        <v>40078</v>
      </c>
      <c r="D40" s="4" t="s">
        <v>10</v>
      </c>
      <c r="E40" s="2">
        <v>0</v>
      </c>
      <c r="F40" s="3">
        <f t="shared" si="9"/>
        <v>40108</v>
      </c>
      <c r="G40" s="2">
        <v>59</v>
      </c>
      <c r="H40" s="5">
        <v>0.05</v>
      </c>
      <c r="I40" s="2" t="b">
        <v>1</v>
      </c>
      <c r="J40" s="2">
        <v>1524</v>
      </c>
      <c r="K40" s="2" t="b">
        <v>0</v>
      </c>
      <c r="L40" s="2" t="b">
        <v>0</v>
      </c>
      <c r="M40" s="2">
        <v>0</v>
      </c>
      <c r="N40" s="6">
        <v>6</v>
      </c>
      <c r="O40">
        <f t="shared" si="7"/>
        <v>784</v>
      </c>
      <c r="P40">
        <f t="shared" si="8"/>
        <v>754</v>
      </c>
      <c r="Q40" s="11">
        <f t="shared" ca="1" si="10"/>
        <v>45271</v>
      </c>
      <c r="R40" s="11">
        <f t="shared" ca="1" si="11"/>
        <v>45301</v>
      </c>
    </row>
    <row r="41" spans="1:18" x14ac:dyDescent="0.25">
      <c r="A41" s="2">
        <v>2422</v>
      </c>
      <c r="B41" s="2">
        <v>2937</v>
      </c>
      <c r="C41" s="3">
        <v>40074</v>
      </c>
      <c r="D41" s="4" t="s">
        <v>10</v>
      </c>
      <c r="E41" s="2">
        <v>0</v>
      </c>
      <c r="F41" s="3">
        <f t="shared" si="9"/>
        <v>40104</v>
      </c>
      <c r="G41" s="2">
        <v>0</v>
      </c>
      <c r="H41" s="5">
        <v>0</v>
      </c>
      <c r="I41" s="2" t="b">
        <v>1</v>
      </c>
      <c r="J41" s="2">
        <v>1524</v>
      </c>
      <c r="K41" s="2" t="b">
        <v>0</v>
      </c>
      <c r="L41" s="2" t="b">
        <v>0</v>
      </c>
      <c r="M41" s="2">
        <v>0</v>
      </c>
      <c r="N41" s="6">
        <v>6</v>
      </c>
      <c r="O41">
        <f t="shared" si="7"/>
        <v>788</v>
      </c>
      <c r="P41">
        <f t="shared" si="8"/>
        <v>758</v>
      </c>
      <c r="Q41" s="11">
        <f t="shared" ca="1" si="10"/>
        <v>45267</v>
      </c>
      <c r="R41" s="11">
        <f t="shared" ca="1" si="11"/>
        <v>45297</v>
      </c>
    </row>
    <row r="42" spans="1:18" x14ac:dyDescent="0.25">
      <c r="A42" s="2">
        <v>2423</v>
      </c>
      <c r="B42" s="2">
        <v>3661</v>
      </c>
      <c r="C42" s="3">
        <v>40065</v>
      </c>
      <c r="D42" s="4" t="s">
        <v>10</v>
      </c>
      <c r="E42" s="2">
        <v>0</v>
      </c>
      <c r="F42" s="3">
        <f t="shared" si="9"/>
        <v>40095</v>
      </c>
      <c r="G42" s="2">
        <v>95</v>
      </c>
      <c r="H42" s="5">
        <v>0</v>
      </c>
      <c r="I42" s="2" t="b">
        <v>1</v>
      </c>
      <c r="J42" s="2">
        <v>1524</v>
      </c>
      <c r="K42" s="2" t="b">
        <v>0</v>
      </c>
      <c r="L42" s="2" t="b">
        <v>0</v>
      </c>
      <c r="M42" s="2">
        <v>0</v>
      </c>
      <c r="N42" s="6">
        <v>6</v>
      </c>
      <c r="O42">
        <f t="shared" si="7"/>
        <v>797</v>
      </c>
      <c r="P42">
        <f t="shared" si="8"/>
        <v>767</v>
      </c>
      <c r="Q42" s="11">
        <f t="shared" ca="1" si="10"/>
        <v>45258</v>
      </c>
      <c r="R42" s="11">
        <f t="shared" ca="1" si="11"/>
        <v>45288</v>
      </c>
    </row>
    <row r="43" spans="1:18" x14ac:dyDescent="0.25">
      <c r="A43" s="2">
        <v>2424</v>
      </c>
      <c r="B43" s="2">
        <v>3085</v>
      </c>
      <c r="C43" s="3">
        <v>40078</v>
      </c>
      <c r="D43" s="4" t="s">
        <v>10</v>
      </c>
      <c r="E43" s="2">
        <v>393.74</v>
      </c>
      <c r="F43" s="3">
        <f t="shared" si="9"/>
        <v>40108</v>
      </c>
      <c r="G43" s="2">
        <v>35</v>
      </c>
      <c r="H43" s="5">
        <v>0</v>
      </c>
      <c r="I43" s="2" t="b">
        <v>1</v>
      </c>
      <c r="J43" s="2">
        <v>640</v>
      </c>
      <c r="K43" s="2" t="b">
        <v>1</v>
      </c>
      <c r="L43" s="2" t="b">
        <v>0</v>
      </c>
      <c r="M43" s="2">
        <v>0</v>
      </c>
      <c r="N43" s="6">
        <v>6</v>
      </c>
      <c r="O43">
        <f t="shared" si="7"/>
        <v>784</v>
      </c>
      <c r="P43">
        <f t="shared" si="8"/>
        <v>754</v>
      </c>
      <c r="Q43" s="11">
        <f t="shared" ca="1" si="10"/>
        <v>45271</v>
      </c>
      <c r="R43" s="11">
        <f t="shared" ca="1" si="11"/>
        <v>45301</v>
      </c>
    </row>
    <row r="44" spans="1:18" x14ac:dyDescent="0.25">
      <c r="A44" s="2">
        <v>2425</v>
      </c>
      <c r="B44" s="2">
        <v>2974</v>
      </c>
      <c r="C44" s="3">
        <v>40074</v>
      </c>
      <c r="D44" s="4" t="s">
        <v>10</v>
      </c>
      <c r="E44" s="2">
        <v>0</v>
      </c>
      <c r="F44" s="3">
        <f t="shared" si="9"/>
        <v>40104</v>
      </c>
      <c r="G44" s="2">
        <v>15</v>
      </c>
      <c r="H44" s="5">
        <v>0</v>
      </c>
      <c r="I44" s="2" t="b">
        <v>1</v>
      </c>
      <c r="J44" s="2">
        <v>640</v>
      </c>
      <c r="K44" s="2" t="b">
        <v>1</v>
      </c>
      <c r="L44" s="2" t="b">
        <v>0</v>
      </c>
      <c r="M44" s="2">
        <v>0</v>
      </c>
      <c r="N44" s="6">
        <v>6</v>
      </c>
      <c r="O44">
        <f t="shared" si="7"/>
        <v>788</v>
      </c>
      <c r="P44">
        <f t="shared" si="8"/>
        <v>758</v>
      </c>
      <c r="Q44" s="11">
        <f t="shared" ca="1" si="10"/>
        <v>45267</v>
      </c>
      <c r="R44" s="11">
        <f t="shared" ca="1" si="11"/>
        <v>45297</v>
      </c>
    </row>
    <row r="45" spans="1:18" x14ac:dyDescent="0.25">
      <c r="A45" s="2">
        <v>2426</v>
      </c>
      <c r="B45" s="2">
        <v>2997</v>
      </c>
      <c r="C45" s="3">
        <v>40080</v>
      </c>
      <c r="D45" s="4" t="s">
        <v>10</v>
      </c>
      <c r="E45" s="2">
        <v>0</v>
      </c>
      <c r="F45" s="3">
        <f t="shared" si="9"/>
        <v>40110</v>
      </c>
      <c r="G45" s="2">
        <v>49</v>
      </c>
      <c r="H45" s="5">
        <v>0</v>
      </c>
      <c r="I45" s="2" t="b">
        <v>1</v>
      </c>
      <c r="J45" s="2">
        <v>1524</v>
      </c>
      <c r="K45" s="2" t="b">
        <v>0</v>
      </c>
      <c r="L45" s="2" t="b">
        <v>0</v>
      </c>
      <c r="M45" s="2">
        <v>0</v>
      </c>
      <c r="N45" s="6">
        <v>6</v>
      </c>
      <c r="O45">
        <f t="shared" si="7"/>
        <v>782</v>
      </c>
      <c r="P45">
        <f t="shared" si="8"/>
        <v>752</v>
      </c>
      <c r="Q45" s="11">
        <f t="shared" ca="1" si="10"/>
        <v>45273</v>
      </c>
      <c r="R45" s="11">
        <f t="shared" ca="1" si="11"/>
        <v>45303</v>
      </c>
    </row>
    <row r="46" spans="1:18" x14ac:dyDescent="0.25">
      <c r="A46" s="2">
        <v>2427</v>
      </c>
      <c r="B46" s="2">
        <v>861</v>
      </c>
      <c r="C46" s="3">
        <v>40066</v>
      </c>
      <c r="D46" s="4" t="s">
        <v>10</v>
      </c>
      <c r="E46" s="2">
        <v>0</v>
      </c>
      <c r="F46" s="3">
        <f t="shared" si="9"/>
        <v>40096</v>
      </c>
      <c r="G46" s="2">
        <v>0</v>
      </c>
      <c r="H46" s="5">
        <v>0.20330000000000001</v>
      </c>
      <c r="I46" s="2" t="b">
        <v>1</v>
      </c>
      <c r="J46" s="2">
        <v>1524</v>
      </c>
      <c r="K46" s="2" t="b">
        <v>1</v>
      </c>
      <c r="L46" s="2" t="b">
        <v>0</v>
      </c>
      <c r="M46" s="2">
        <v>0</v>
      </c>
      <c r="N46" s="6">
        <v>6</v>
      </c>
      <c r="O46">
        <f t="shared" si="7"/>
        <v>796</v>
      </c>
      <c r="P46">
        <f t="shared" si="8"/>
        <v>766</v>
      </c>
      <c r="Q46" s="11">
        <f t="shared" ca="1" si="10"/>
        <v>45259</v>
      </c>
      <c r="R46" s="11">
        <f t="shared" ca="1" si="11"/>
        <v>45289</v>
      </c>
    </row>
    <row r="47" spans="1:18" x14ac:dyDescent="0.25">
      <c r="A47" s="2">
        <v>2428</v>
      </c>
      <c r="B47" s="2">
        <v>2836</v>
      </c>
      <c r="C47" s="3">
        <v>40066</v>
      </c>
      <c r="D47" s="4" t="s">
        <v>10</v>
      </c>
      <c r="E47" s="2">
        <v>0</v>
      </c>
      <c r="F47" s="3">
        <f t="shared" si="9"/>
        <v>40096</v>
      </c>
      <c r="G47" s="2">
        <v>0</v>
      </c>
      <c r="H47" s="5">
        <v>0</v>
      </c>
      <c r="I47" s="2" t="b">
        <v>1</v>
      </c>
      <c r="J47" s="2">
        <v>640</v>
      </c>
      <c r="K47" s="2" t="b">
        <v>1</v>
      </c>
      <c r="L47" s="2" t="b">
        <v>0</v>
      </c>
      <c r="M47" s="2">
        <v>0</v>
      </c>
      <c r="N47" s="6">
        <v>6</v>
      </c>
      <c r="O47">
        <f t="shared" si="7"/>
        <v>796</v>
      </c>
      <c r="P47">
        <f t="shared" si="8"/>
        <v>766</v>
      </c>
      <c r="Q47" s="11">
        <f t="shared" ca="1" si="10"/>
        <v>45259</v>
      </c>
      <c r="R47" s="11">
        <f t="shared" ca="1" si="11"/>
        <v>45289</v>
      </c>
    </row>
    <row r="48" spans="1:18" x14ac:dyDescent="0.25">
      <c r="A48" s="2">
        <v>2429</v>
      </c>
      <c r="B48" s="2">
        <v>1548</v>
      </c>
      <c r="C48" s="3">
        <v>40071</v>
      </c>
      <c r="D48" s="4" t="s">
        <v>10</v>
      </c>
      <c r="E48" s="2">
        <v>0</v>
      </c>
      <c r="F48" s="3">
        <f t="shared" si="9"/>
        <v>40101</v>
      </c>
      <c r="G48" s="2">
        <v>0</v>
      </c>
      <c r="H48" s="5">
        <v>0.05</v>
      </c>
      <c r="I48" s="2" t="b">
        <v>1</v>
      </c>
      <c r="J48" s="2">
        <v>1524</v>
      </c>
      <c r="K48" s="2" t="b">
        <v>0</v>
      </c>
      <c r="L48" s="2" t="b">
        <v>0</v>
      </c>
      <c r="M48" s="2">
        <v>0</v>
      </c>
      <c r="N48" s="6">
        <v>6</v>
      </c>
      <c r="O48">
        <f t="shared" si="7"/>
        <v>791</v>
      </c>
      <c r="P48">
        <f t="shared" si="8"/>
        <v>761</v>
      </c>
      <c r="Q48" s="11">
        <f t="shared" ca="1" si="10"/>
        <v>45264</v>
      </c>
      <c r="R48" s="11">
        <f t="shared" ca="1" si="11"/>
        <v>45294</v>
      </c>
    </row>
    <row r="49" spans="1:18" x14ac:dyDescent="0.25">
      <c r="A49" s="2">
        <v>2430</v>
      </c>
      <c r="B49" s="2">
        <v>2913</v>
      </c>
      <c r="C49" s="3">
        <v>40071</v>
      </c>
      <c r="D49" s="4" t="s">
        <v>10</v>
      </c>
      <c r="E49" s="2">
        <v>0</v>
      </c>
      <c r="F49" s="3">
        <f t="shared" si="9"/>
        <v>40101</v>
      </c>
      <c r="G49" s="2">
        <v>0</v>
      </c>
      <c r="H49" s="5">
        <v>0.05</v>
      </c>
      <c r="I49" s="2" t="b">
        <v>1</v>
      </c>
      <c r="J49" s="2">
        <v>1524</v>
      </c>
      <c r="K49" s="2" t="b">
        <v>0</v>
      </c>
      <c r="L49" s="2" t="b">
        <v>0</v>
      </c>
      <c r="M49" s="2">
        <v>0</v>
      </c>
      <c r="N49" s="6">
        <v>6</v>
      </c>
      <c r="O49">
        <f t="shared" si="7"/>
        <v>791</v>
      </c>
      <c r="P49">
        <f t="shared" si="8"/>
        <v>761</v>
      </c>
      <c r="Q49" s="11">
        <f t="shared" ca="1" si="10"/>
        <v>45264</v>
      </c>
      <c r="R49" s="11">
        <f t="shared" ca="1" si="11"/>
        <v>45294</v>
      </c>
    </row>
    <row r="50" spans="1:18" x14ac:dyDescent="0.25">
      <c r="A50" s="2">
        <v>2431</v>
      </c>
      <c r="B50" s="2">
        <v>2869</v>
      </c>
      <c r="C50" s="3">
        <v>40071</v>
      </c>
      <c r="D50" s="4" t="s">
        <v>10</v>
      </c>
      <c r="E50" s="2">
        <v>0</v>
      </c>
      <c r="F50" s="3">
        <f t="shared" si="9"/>
        <v>40101</v>
      </c>
      <c r="G50" s="2">
        <v>39</v>
      </c>
      <c r="H50" s="5">
        <v>0.1</v>
      </c>
      <c r="I50" s="2" t="b">
        <v>1</v>
      </c>
      <c r="J50" s="2">
        <v>1524</v>
      </c>
      <c r="K50" s="2" t="b">
        <v>0</v>
      </c>
      <c r="L50" s="2" t="b">
        <v>0</v>
      </c>
      <c r="M50" s="2">
        <v>0</v>
      </c>
      <c r="N50" s="6">
        <v>6</v>
      </c>
      <c r="O50">
        <f t="shared" si="7"/>
        <v>791</v>
      </c>
      <c r="P50">
        <f t="shared" si="8"/>
        <v>761</v>
      </c>
      <c r="Q50" s="11">
        <f t="shared" ca="1" si="10"/>
        <v>45264</v>
      </c>
      <c r="R50" s="11">
        <f t="shared" ca="1" si="11"/>
        <v>45294</v>
      </c>
    </row>
    <row r="51" spans="1:18" x14ac:dyDescent="0.25">
      <c r="A51" s="2">
        <v>2432</v>
      </c>
      <c r="B51" s="2">
        <v>1486</v>
      </c>
      <c r="C51" s="3">
        <v>40071</v>
      </c>
      <c r="D51" s="4" t="s">
        <v>10</v>
      </c>
      <c r="E51" s="2">
        <v>0</v>
      </c>
      <c r="F51" s="3">
        <f t="shared" si="9"/>
        <v>40101</v>
      </c>
      <c r="G51" s="2">
        <v>14</v>
      </c>
      <c r="H51" s="5">
        <v>0</v>
      </c>
      <c r="I51" s="2" t="b">
        <v>1</v>
      </c>
      <c r="J51" s="2">
        <v>640</v>
      </c>
      <c r="K51" s="2" t="b">
        <v>1</v>
      </c>
      <c r="L51" s="2" t="b">
        <v>0</v>
      </c>
      <c r="M51" s="2">
        <v>0</v>
      </c>
      <c r="N51" s="6">
        <v>6</v>
      </c>
      <c r="O51">
        <f t="shared" si="7"/>
        <v>791</v>
      </c>
      <c r="P51">
        <f t="shared" si="8"/>
        <v>761</v>
      </c>
      <c r="Q51" s="11">
        <f t="shared" ca="1" si="10"/>
        <v>45264</v>
      </c>
      <c r="R51" s="11">
        <f t="shared" ca="1" si="11"/>
        <v>45294</v>
      </c>
    </row>
    <row r="52" spans="1:18" x14ac:dyDescent="0.25">
      <c r="A52" s="2">
        <v>2433</v>
      </c>
      <c r="B52" s="2">
        <v>1095</v>
      </c>
      <c r="C52" s="3">
        <v>40080</v>
      </c>
      <c r="D52" s="4" t="s">
        <v>10</v>
      </c>
      <c r="E52" s="2">
        <v>0</v>
      </c>
      <c r="F52" s="3">
        <f t="shared" si="9"/>
        <v>40110</v>
      </c>
      <c r="G52" s="2">
        <v>420</v>
      </c>
      <c r="H52" s="5">
        <v>0</v>
      </c>
      <c r="I52" s="2" t="b">
        <v>1</v>
      </c>
      <c r="J52" s="2">
        <v>1524</v>
      </c>
      <c r="K52" s="2" t="b">
        <v>0</v>
      </c>
      <c r="L52" s="2" t="b">
        <v>0</v>
      </c>
      <c r="M52" s="2">
        <v>0</v>
      </c>
      <c r="N52" s="6">
        <v>6</v>
      </c>
      <c r="O52">
        <f t="shared" si="7"/>
        <v>782</v>
      </c>
      <c r="P52">
        <f t="shared" si="8"/>
        <v>752</v>
      </c>
      <c r="Q52" s="11">
        <f t="shared" ca="1" si="10"/>
        <v>45273</v>
      </c>
      <c r="R52" s="11">
        <f t="shared" ca="1" si="11"/>
        <v>45303</v>
      </c>
    </row>
    <row r="53" spans="1:18" x14ac:dyDescent="0.25">
      <c r="A53" s="2">
        <v>2434</v>
      </c>
      <c r="B53" s="2">
        <v>720</v>
      </c>
      <c r="C53" s="3">
        <v>40074</v>
      </c>
      <c r="D53" s="4" t="s">
        <v>10</v>
      </c>
      <c r="E53" s="2">
        <v>0</v>
      </c>
      <c r="F53" s="3">
        <f t="shared" si="9"/>
        <v>40104</v>
      </c>
      <c r="G53" s="2">
        <v>0</v>
      </c>
      <c r="H53" s="5">
        <v>0</v>
      </c>
      <c r="I53" s="2" t="b">
        <v>1</v>
      </c>
      <c r="J53" s="2">
        <v>640</v>
      </c>
      <c r="K53" s="2" t="b">
        <v>1</v>
      </c>
      <c r="L53" s="2" t="b">
        <v>0</v>
      </c>
      <c r="M53" s="2">
        <v>0</v>
      </c>
      <c r="N53" s="6">
        <v>6</v>
      </c>
      <c r="O53">
        <f t="shared" si="7"/>
        <v>788</v>
      </c>
      <c r="P53">
        <f t="shared" si="8"/>
        <v>758</v>
      </c>
      <c r="Q53" s="11">
        <f t="shared" ca="1" si="10"/>
        <v>45267</v>
      </c>
      <c r="R53" s="11">
        <f t="shared" ca="1" si="11"/>
        <v>45297</v>
      </c>
    </row>
    <row r="54" spans="1:18" x14ac:dyDescent="0.25">
      <c r="A54" s="2">
        <v>2435</v>
      </c>
      <c r="B54" s="2">
        <v>707</v>
      </c>
      <c r="C54" s="3">
        <v>40081</v>
      </c>
      <c r="D54" s="4" t="s">
        <v>10</v>
      </c>
      <c r="E54" s="2">
        <v>0</v>
      </c>
      <c r="F54" s="3">
        <f t="shared" si="9"/>
        <v>40111</v>
      </c>
      <c r="G54" s="2">
        <v>0</v>
      </c>
      <c r="H54" s="5">
        <v>0.05</v>
      </c>
      <c r="I54" s="2" t="b">
        <v>1</v>
      </c>
      <c r="J54" s="2">
        <v>1524</v>
      </c>
      <c r="K54" s="2" t="b">
        <v>0</v>
      </c>
      <c r="L54" s="2" t="b">
        <v>0</v>
      </c>
      <c r="M54" s="2">
        <v>0</v>
      </c>
      <c r="N54" s="6">
        <v>6</v>
      </c>
      <c r="O54">
        <f t="shared" si="7"/>
        <v>781</v>
      </c>
      <c r="P54">
        <f t="shared" si="8"/>
        <v>751</v>
      </c>
      <c r="Q54" s="11">
        <f t="shared" ca="1" si="10"/>
        <v>45274</v>
      </c>
      <c r="R54" s="11">
        <f t="shared" ca="1" si="11"/>
        <v>45304</v>
      </c>
    </row>
    <row r="55" spans="1:18" x14ac:dyDescent="0.25">
      <c r="A55" s="2">
        <v>2436</v>
      </c>
      <c r="B55" s="2">
        <v>1548</v>
      </c>
      <c r="C55" s="3">
        <v>40127</v>
      </c>
      <c r="D55" s="4" t="s">
        <v>10</v>
      </c>
      <c r="E55" s="2">
        <v>0</v>
      </c>
      <c r="F55" s="3">
        <f t="shared" si="9"/>
        <v>40157</v>
      </c>
      <c r="G55" s="2">
        <v>29</v>
      </c>
      <c r="H55" s="5">
        <v>0.03</v>
      </c>
      <c r="I55" s="2" t="b">
        <v>1</v>
      </c>
      <c r="J55" s="2">
        <v>1524</v>
      </c>
      <c r="K55" s="2" t="b">
        <v>0</v>
      </c>
      <c r="L55" s="2" t="b">
        <v>0</v>
      </c>
      <c r="M55" s="2">
        <v>0</v>
      </c>
      <c r="N55" s="6">
        <v>6</v>
      </c>
      <c r="O55">
        <f t="shared" si="7"/>
        <v>735</v>
      </c>
      <c r="P55">
        <f t="shared" si="8"/>
        <v>705</v>
      </c>
      <c r="Q55" s="11">
        <f t="shared" ca="1" si="10"/>
        <v>45320</v>
      </c>
      <c r="R55" s="11">
        <f t="shared" ca="1" si="11"/>
        <v>45350</v>
      </c>
    </row>
    <row r="56" spans="1:18" x14ac:dyDescent="0.25">
      <c r="A56" s="2">
        <v>2437</v>
      </c>
      <c r="B56" s="2">
        <v>1095</v>
      </c>
      <c r="C56" s="3">
        <v>40094</v>
      </c>
      <c r="D56" s="4" t="s">
        <v>10</v>
      </c>
      <c r="E56" s="2">
        <v>0</v>
      </c>
      <c r="F56" s="3">
        <f t="shared" si="9"/>
        <v>40124</v>
      </c>
      <c r="G56" s="2">
        <v>0</v>
      </c>
      <c r="H56" s="5">
        <v>0</v>
      </c>
      <c r="I56" s="2" t="b">
        <v>1</v>
      </c>
      <c r="J56" s="2">
        <v>1524</v>
      </c>
      <c r="K56" s="2" t="b">
        <v>0</v>
      </c>
      <c r="L56" s="2" t="b">
        <v>1</v>
      </c>
      <c r="M56" s="2">
        <v>0</v>
      </c>
      <c r="N56" s="6">
        <v>6</v>
      </c>
      <c r="O56">
        <f t="shared" si="7"/>
        <v>768</v>
      </c>
      <c r="P56">
        <f t="shared" si="8"/>
        <v>738</v>
      </c>
      <c r="Q56" s="11">
        <f t="shared" ca="1" si="10"/>
        <v>45287</v>
      </c>
      <c r="R56" s="11">
        <f t="shared" ca="1" si="11"/>
        <v>45317</v>
      </c>
    </row>
    <row r="57" spans="1:18" x14ac:dyDescent="0.25">
      <c r="A57" s="2">
        <v>2438</v>
      </c>
      <c r="B57" s="2">
        <v>2841</v>
      </c>
      <c r="C57" s="3">
        <v>40107</v>
      </c>
      <c r="D57" s="4" t="s">
        <v>10</v>
      </c>
      <c r="E57" s="2">
        <v>0</v>
      </c>
      <c r="F57" s="3">
        <f t="shared" si="9"/>
        <v>40137</v>
      </c>
      <c r="G57" s="2">
        <v>19</v>
      </c>
      <c r="H57" s="5">
        <v>0</v>
      </c>
      <c r="I57" s="2" t="b">
        <v>1</v>
      </c>
      <c r="J57" s="2">
        <v>640</v>
      </c>
      <c r="K57" s="2" t="b">
        <v>1</v>
      </c>
      <c r="L57" s="2" t="b">
        <v>0</v>
      </c>
      <c r="M57" s="2">
        <v>0</v>
      </c>
      <c r="N57" s="6">
        <v>6</v>
      </c>
      <c r="O57">
        <f t="shared" si="7"/>
        <v>755</v>
      </c>
      <c r="P57">
        <f t="shared" si="8"/>
        <v>725</v>
      </c>
      <c r="Q57" s="11">
        <f t="shared" ca="1" si="10"/>
        <v>45300</v>
      </c>
      <c r="R57" s="11">
        <f t="shared" ca="1" si="11"/>
        <v>45330</v>
      </c>
    </row>
    <row r="58" spans="1:18" x14ac:dyDescent="0.25">
      <c r="A58" s="2">
        <v>2439</v>
      </c>
      <c r="B58" s="2">
        <v>3651</v>
      </c>
      <c r="C58" s="3">
        <v>40106</v>
      </c>
      <c r="D58" s="4" t="s">
        <v>10</v>
      </c>
      <c r="E58" s="2">
        <v>0</v>
      </c>
      <c r="F58" s="3">
        <f t="shared" si="9"/>
        <v>40136</v>
      </c>
      <c r="G58" s="2">
        <v>14</v>
      </c>
      <c r="H58" s="5">
        <v>0</v>
      </c>
      <c r="I58" s="2" t="b">
        <v>1</v>
      </c>
      <c r="J58" s="2">
        <v>640</v>
      </c>
      <c r="K58" s="2" t="b">
        <v>1</v>
      </c>
      <c r="L58" s="2" t="b">
        <v>0</v>
      </c>
      <c r="M58" s="2">
        <v>0</v>
      </c>
      <c r="N58" s="6">
        <v>6</v>
      </c>
      <c r="O58">
        <f t="shared" si="7"/>
        <v>756</v>
      </c>
      <c r="P58">
        <f t="shared" si="8"/>
        <v>726</v>
      </c>
      <c r="Q58" s="11">
        <f t="shared" ca="1" si="10"/>
        <v>45299</v>
      </c>
      <c r="R58" s="11">
        <f t="shared" ca="1" si="11"/>
        <v>45329</v>
      </c>
    </row>
    <row r="59" spans="1:18" x14ac:dyDescent="0.25">
      <c r="A59" s="2">
        <v>2440</v>
      </c>
      <c r="B59" s="2">
        <v>978</v>
      </c>
      <c r="C59" s="3">
        <v>40134</v>
      </c>
      <c r="D59" s="4" t="s">
        <v>10</v>
      </c>
      <c r="E59" s="2">
        <v>0</v>
      </c>
      <c r="F59" s="3">
        <f t="shared" si="9"/>
        <v>40164</v>
      </c>
      <c r="G59" s="2">
        <v>14</v>
      </c>
      <c r="H59" s="5">
        <v>0</v>
      </c>
      <c r="I59" s="2" t="b">
        <v>1</v>
      </c>
      <c r="J59" s="2">
        <v>640</v>
      </c>
      <c r="K59" s="2" t="b">
        <v>1</v>
      </c>
      <c r="L59" s="2" t="b">
        <v>0</v>
      </c>
      <c r="M59" s="2">
        <v>0</v>
      </c>
      <c r="N59" s="6">
        <v>6</v>
      </c>
      <c r="O59">
        <f t="shared" si="7"/>
        <v>728</v>
      </c>
      <c r="P59">
        <f t="shared" si="8"/>
        <v>698</v>
      </c>
      <c r="Q59" s="11">
        <f t="shared" ca="1" si="10"/>
        <v>45327</v>
      </c>
      <c r="R59" s="11">
        <f t="shared" ca="1" si="11"/>
        <v>45357</v>
      </c>
    </row>
    <row r="60" spans="1:18" x14ac:dyDescent="0.25">
      <c r="A60" s="2">
        <v>2441</v>
      </c>
      <c r="B60" s="2">
        <v>3664</v>
      </c>
      <c r="C60" s="3">
        <v>40107</v>
      </c>
      <c r="D60" s="4" t="s">
        <v>10</v>
      </c>
      <c r="E60" s="2">
        <v>0</v>
      </c>
      <c r="F60" s="3">
        <f t="shared" si="9"/>
        <v>40137</v>
      </c>
      <c r="G60" s="2">
        <v>25</v>
      </c>
      <c r="H60" s="5">
        <v>0</v>
      </c>
      <c r="I60" s="2" t="b">
        <v>1</v>
      </c>
      <c r="J60" s="2">
        <v>640</v>
      </c>
      <c r="K60" s="2" t="b">
        <v>1</v>
      </c>
      <c r="L60" s="2" t="b">
        <v>0</v>
      </c>
      <c r="M60" s="2">
        <v>0</v>
      </c>
      <c r="N60" s="6">
        <v>6</v>
      </c>
      <c r="O60">
        <f t="shared" si="7"/>
        <v>755</v>
      </c>
      <c r="P60">
        <f t="shared" si="8"/>
        <v>725</v>
      </c>
      <c r="Q60" s="11">
        <f t="shared" ca="1" si="10"/>
        <v>45300</v>
      </c>
      <c r="R60" s="11">
        <f t="shared" ca="1" si="11"/>
        <v>45330</v>
      </c>
    </row>
    <row r="61" spans="1:18" x14ac:dyDescent="0.25">
      <c r="A61" s="2">
        <v>2442</v>
      </c>
      <c r="B61" s="2">
        <v>3665</v>
      </c>
      <c r="C61" s="3">
        <v>40127</v>
      </c>
      <c r="D61" s="4" t="s">
        <v>10</v>
      </c>
      <c r="E61" s="2">
        <v>0</v>
      </c>
      <c r="F61" s="3">
        <f t="shared" si="9"/>
        <v>40157</v>
      </c>
      <c r="G61" s="2">
        <v>60.25</v>
      </c>
      <c r="H61" s="5">
        <v>0</v>
      </c>
      <c r="I61" s="2" t="b">
        <v>1</v>
      </c>
      <c r="J61" s="2">
        <v>1524</v>
      </c>
      <c r="K61" s="2" t="b">
        <v>0</v>
      </c>
      <c r="L61" s="2" t="b">
        <v>0</v>
      </c>
      <c r="M61" s="2">
        <v>0</v>
      </c>
      <c r="N61" s="6">
        <v>6</v>
      </c>
      <c r="O61">
        <f t="shared" si="7"/>
        <v>735</v>
      </c>
      <c r="P61">
        <f t="shared" si="8"/>
        <v>705</v>
      </c>
      <c r="Q61" s="11">
        <f t="shared" ca="1" si="10"/>
        <v>45320</v>
      </c>
      <c r="R61" s="11">
        <f t="shared" ca="1" si="11"/>
        <v>45350</v>
      </c>
    </row>
    <row r="62" spans="1:18" x14ac:dyDescent="0.25">
      <c r="A62" s="2">
        <v>2443</v>
      </c>
      <c r="B62" s="2">
        <v>1559</v>
      </c>
      <c r="C62" s="3">
        <v>40102</v>
      </c>
      <c r="D62" s="4" t="s">
        <v>10</v>
      </c>
      <c r="E62" s="2">
        <v>0</v>
      </c>
      <c r="F62" s="3">
        <f t="shared" si="9"/>
        <v>40132</v>
      </c>
      <c r="G62" s="2">
        <v>0</v>
      </c>
      <c r="H62" s="5">
        <v>0</v>
      </c>
      <c r="I62" s="2" t="b">
        <v>1</v>
      </c>
      <c r="J62" s="2">
        <v>1524</v>
      </c>
      <c r="K62" s="2" t="b">
        <v>0</v>
      </c>
      <c r="L62" s="2" t="b">
        <v>1</v>
      </c>
      <c r="M62" s="2">
        <v>0</v>
      </c>
      <c r="N62" s="6">
        <v>6</v>
      </c>
      <c r="O62">
        <f t="shared" si="7"/>
        <v>760</v>
      </c>
      <c r="P62">
        <f t="shared" si="8"/>
        <v>730</v>
      </c>
      <c r="Q62" s="11">
        <f t="shared" ca="1" si="10"/>
        <v>45295</v>
      </c>
      <c r="R62" s="11">
        <f t="shared" ca="1" si="11"/>
        <v>45325</v>
      </c>
    </row>
    <row r="63" spans="1:18" x14ac:dyDescent="0.25">
      <c r="A63" s="2">
        <v>2444</v>
      </c>
      <c r="B63" s="2">
        <v>2765</v>
      </c>
      <c r="C63" s="3">
        <v>40107</v>
      </c>
      <c r="D63" s="4" t="s">
        <v>10</v>
      </c>
      <c r="E63" s="2">
        <v>0</v>
      </c>
      <c r="F63" s="3">
        <f t="shared" si="9"/>
        <v>40137</v>
      </c>
      <c r="G63" s="2">
        <v>19</v>
      </c>
      <c r="H63" s="5">
        <v>0</v>
      </c>
      <c r="I63" s="2" t="b">
        <v>1</v>
      </c>
      <c r="J63" s="2">
        <v>1524</v>
      </c>
      <c r="K63" s="2" t="b">
        <v>1</v>
      </c>
      <c r="L63" s="2" t="b">
        <v>0</v>
      </c>
      <c r="M63" s="2">
        <v>0</v>
      </c>
      <c r="N63" s="6">
        <v>6</v>
      </c>
      <c r="O63">
        <f t="shared" si="7"/>
        <v>755</v>
      </c>
      <c r="P63">
        <f t="shared" si="8"/>
        <v>725</v>
      </c>
      <c r="Q63" s="11">
        <f t="shared" ca="1" si="10"/>
        <v>45300</v>
      </c>
      <c r="R63" s="11">
        <f t="shared" ca="1" si="11"/>
        <v>45330</v>
      </c>
    </row>
    <row r="64" spans="1:18" x14ac:dyDescent="0.25">
      <c r="A64" s="2">
        <v>2445</v>
      </c>
      <c r="B64" s="2">
        <v>2857</v>
      </c>
      <c r="C64" s="3">
        <v>40132</v>
      </c>
      <c r="D64" s="4" t="s">
        <v>10</v>
      </c>
      <c r="E64" s="2">
        <v>0</v>
      </c>
      <c r="F64" s="3">
        <f t="shared" si="9"/>
        <v>40162</v>
      </c>
      <c r="G64" s="2">
        <v>14</v>
      </c>
      <c r="H64" s="5">
        <v>0</v>
      </c>
      <c r="I64" s="2" t="b">
        <v>1</v>
      </c>
      <c r="J64" s="2">
        <v>640</v>
      </c>
      <c r="K64" s="2" t="b">
        <v>1</v>
      </c>
      <c r="L64" s="2" t="b">
        <v>0</v>
      </c>
      <c r="M64" s="2">
        <v>0</v>
      </c>
      <c r="N64" s="6">
        <v>6</v>
      </c>
      <c r="O64">
        <f t="shared" si="7"/>
        <v>730</v>
      </c>
      <c r="P64">
        <f t="shared" si="8"/>
        <v>700</v>
      </c>
      <c r="Q64" s="11">
        <f t="shared" ca="1" si="10"/>
        <v>45325</v>
      </c>
      <c r="R64" s="11">
        <f t="shared" ca="1" si="11"/>
        <v>45355</v>
      </c>
    </row>
    <row r="65" spans="1:18" x14ac:dyDescent="0.25">
      <c r="A65" s="2">
        <v>2446</v>
      </c>
      <c r="B65" s="2">
        <v>2912</v>
      </c>
      <c r="C65" s="3">
        <v>40127</v>
      </c>
      <c r="D65" s="4" t="s">
        <v>10</v>
      </c>
      <c r="E65" s="2">
        <v>0</v>
      </c>
      <c r="F65" s="3">
        <f t="shared" si="9"/>
        <v>40157</v>
      </c>
      <c r="G65" s="2">
        <v>80</v>
      </c>
      <c r="H65" s="5">
        <v>0</v>
      </c>
      <c r="I65" s="2" t="b">
        <v>1</v>
      </c>
      <c r="J65" s="2">
        <v>1524</v>
      </c>
      <c r="K65" s="2" t="b">
        <v>0</v>
      </c>
      <c r="L65" s="2" t="b">
        <v>0</v>
      </c>
      <c r="M65" s="2">
        <v>0</v>
      </c>
      <c r="N65" s="6">
        <v>6</v>
      </c>
      <c r="O65">
        <f t="shared" si="7"/>
        <v>735</v>
      </c>
      <c r="P65">
        <f t="shared" si="8"/>
        <v>705</v>
      </c>
      <c r="Q65" s="11">
        <f t="shared" ca="1" si="10"/>
        <v>45320</v>
      </c>
      <c r="R65" s="11">
        <f t="shared" ca="1" si="11"/>
        <v>45350</v>
      </c>
    </row>
    <row r="66" spans="1:18" x14ac:dyDescent="0.25">
      <c r="A66" s="2">
        <v>2447</v>
      </c>
      <c r="B66" s="2">
        <v>2858</v>
      </c>
      <c r="C66" s="3">
        <v>40106</v>
      </c>
      <c r="D66" s="4" t="s">
        <v>10</v>
      </c>
      <c r="E66" s="2">
        <v>0</v>
      </c>
      <c r="F66" s="3">
        <f t="shared" si="9"/>
        <v>40136</v>
      </c>
      <c r="G66" s="2">
        <v>14</v>
      </c>
      <c r="H66" s="5">
        <v>0</v>
      </c>
      <c r="I66" s="2" t="b">
        <v>1</v>
      </c>
      <c r="J66" s="2">
        <v>640</v>
      </c>
      <c r="K66" s="2" t="b">
        <v>1</v>
      </c>
      <c r="L66" s="2" t="b">
        <v>0</v>
      </c>
      <c r="M66" s="2">
        <v>0</v>
      </c>
      <c r="N66" s="6">
        <v>6</v>
      </c>
      <c r="O66">
        <f t="shared" si="7"/>
        <v>756</v>
      </c>
      <c r="P66">
        <f t="shared" si="8"/>
        <v>726</v>
      </c>
      <c r="Q66" s="11">
        <f t="shared" ca="1" si="10"/>
        <v>45299</v>
      </c>
      <c r="R66" s="11">
        <f t="shared" ca="1" si="11"/>
        <v>45329</v>
      </c>
    </row>
    <row r="67" spans="1:18" x14ac:dyDescent="0.25">
      <c r="A67" s="2">
        <v>2448</v>
      </c>
      <c r="B67" s="2">
        <v>3608</v>
      </c>
      <c r="C67" s="3">
        <v>40107</v>
      </c>
      <c r="D67" s="4" t="s">
        <v>10</v>
      </c>
      <c r="E67" s="2">
        <v>0</v>
      </c>
      <c r="F67" s="3">
        <f t="shared" si="9"/>
        <v>40137</v>
      </c>
      <c r="G67" s="2">
        <v>24</v>
      </c>
      <c r="H67" s="5">
        <v>0</v>
      </c>
      <c r="I67" s="2" t="b">
        <v>1</v>
      </c>
      <c r="J67" s="2">
        <v>640</v>
      </c>
      <c r="K67" s="2" t="b">
        <v>1</v>
      </c>
      <c r="L67" s="2" t="b">
        <v>0</v>
      </c>
      <c r="M67" s="2">
        <v>0</v>
      </c>
      <c r="N67" s="6">
        <v>6</v>
      </c>
      <c r="O67">
        <f t="shared" si="7"/>
        <v>755</v>
      </c>
      <c r="P67">
        <f t="shared" si="8"/>
        <v>725</v>
      </c>
      <c r="Q67" s="11">
        <f t="shared" ca="1" si="10"/>
        <v>45300</v>
      </c>
      <c r="R67" s="11">
        <f t="shared" ca="1" si="11"/>
        <v>45330</v>
      </c>
    </row>
    <row r="68" spans="1:18" x14ac:dyDescent="0.25">
      <c r="A68" s="2">
        <v>2449</v>
      </c>
      <c r="B68" s="2">
        <v>2818</v>
      </c>
      <c r="C68" s="3">
        <v>40107</v>
      </c>
      <c r="D68" s="4" t="s">
        <v>10</v>
      </c>
      <c r="E68" s="2">
        <v>0</v>
      </c>
      <c r="F68" s="3">
        <f t="shared" si="9"/>
        <v>40137</v>
      </c>
      <c r="G68" s="2">
        <v>20</v>
      </c>
      <c r="H68" s="5">
        <v>0</v>
      </c>
      <c r="I68" s="2" t="b">
        <v>1</v>
      </c>
      <c r="J68" s="2">
        <v>640</v>
      </c>
      <c r="K68" s="2" t="b">
        <v>1</v>
      </c>
      <c r="L68" s="2" t="b">
        <v>0</v>
      </c>
      <c r="M68" s="2">
        <v>0</v>
      </c>
      <c r="N68" s="6">
        <v>6</v>
      </c>
      <c r="O68">
        <f t="shared" si="7"/>
        <v>755</v>
      </c>
      <c r="P68">
        <f t="shared" si="8"/>
        <v>725</v>
      </c>
      <c r="Q68" s="11">
        <f t="shared" ca="1" si="10"/>
        <v>45300</v>
      </c>
      <c r="R68" s="11">
        <f t="shared" ca="1" si="11"/>
        <v>45330</v>
      </c>
    </row>
    <row r="69" spans="1:18" x14ac:dyDescent="0.25">
      <c r="A69" s="2">
        <v>2450</v>
      </c>
      <c r="B69" s="2">
        <v>1271</v>
      </c>
      <c r="C69" s="3">
        <v>40107</v>
      </c>
      <c r="D69" s="4" t="s">
        <v>10</v>
      </c>
      <c r="E69" s="2">
        <v>0</v>
      </c>
      <c r="F69" s="3">
        <f t="shared" si="9"/>
        <v>40137</v>
      </c>
      <c r="G69" s="2">
        <v>0</v>
      </c>
      <c r="H69" s="5">
        <v>0</v>
      </c>
      <c r="I69" s="2" t="b">
        <v>1</v>
      </c>
      <c r="J69" s="2">
        <v>640</v>
      </c>
      <c r="K69" s="2" t="b">
        <v>1</v>
      </c>
      <c r="L69" s="2" t="b">
        <v>0</v>
      </c>
      <c r="M69" s="2">
        <v>0</v>
      </c>
      <c r="N69" s="6">
        <v>6</v>
      </c>
      <c r="O69">
        <f t="shared" si="7"/>
        <v>755</v>
      </c>
      <c r="P69">
        <f t="shared" si="8"/>
        <v>725</v>
      </c>
      <c r="Q69" s="11">
        <f t="shared" ca="1" si="10"/>
        <v>45300</v>
      </c>
      <c r="R69" s="11">
        <f t="shared" ca="1" si="11"/>
        <v>45330</v>
      </c>
    </row>
    <row r="70" spans="1:18" x14ac:dyDescent="0.25">
      <c r="A70" s="2">
        <v>2451</v>
      </c>
      <c r="B70" s="2">
        <v>3667</v>
      </c>
      <c r="C70" s="3">
        <v>40110</v>
      </c>
      <c r="D70" s="4" t="s">
        <v>10</v>
      </c>
      <c r="E70" s="2">
        <v>0</v>
      </c>
      <c r="F70" s="3">
        <f t="shared" si="9"/>
        <v>40140</v>
      </c>
      <c r="G70" s="2">
        <v>0</v>
      </c>
      <c r="H70" s="5">
        <v>0.2</v>
      </c>
      <c r="I70" s="2" t="b">
        <v>1</v>
      </c>
      <c r="J70" s="2">
        <v>1524</v>
      </c>
      <c r="K70" s="2" t="b">
        <v>0</v>
      </c>
      <c r="L70" s="2" t="b">
        <v>0</v>
      </c>
      <c r="M70" s="2">
        <v>0</v>
      </c>
      <c r="N70" s="6">
        <v>6</v>
      </c>
      <c r="O70">
        <f t="shared" si="7"/>
        <v>752</v>
      </c>
      <c r="P70">
        <f t="shared" si="8"/>
        <v>722</v>
      </c>
      <c r="Q70" s="11">
        <f t="shared" ca="1" si="10"/>
        <v>45303</v>
      </c>
      <c r="R70" s="11">
        <f t="shared" ca="1" si="11"/>
        <v>45333</v>
      </c>
    </row>
    <row r="71" spans="1:18" x14ac:dyDescent="0.25">
      <c r="A71" s="2">
        <v>2452</v>
      </c>
      <c r="B71" s="2">
        <v>3668</v>
      </c>
      <c r="C71" s="3">
        <v>40110</v>
      </c>
      <c r="D71" s="4" t="s">
        <v>10</v>
      </c>
      <c r="E71" s="2">
        <v>0</v>
      </c>
      <c r="F71" s="3">
        <f t="shared" si="9"/>
        <v>40140</v>
      </c>
      <c r="G71" s="2">
        <v>0</v>
      </c>
      <c r="H71" s="5">
        <v>0.2</v>
      </c>
      <c r="I71" s="2" t="b">
        <v>1</v>
      </c>
      <c r="J71" s="2">
        <v>1524</v>
      </c>
      <c r="K71" s="2" t="b">
        <v>0</v>
      </c>
      <c r="L71" s="2" t="b">
        <v>0</v>
      </c>
      <c r="M71" s="2">
        <v>0</v>
      </c>
      <c r="N71" s="6">
        <v>6</v>
      </c>
      <c r="O71">
        <f t="shared" si="7"/>
        <v>752</v>
      </c>
      <c r="P71">
        <f t="shared" si="8"/>
        <v>722</v>
      </c>
      <c r="Q71" s="11">
        <f t="shared" ca="1" si="10"/>
        <v>45303</v>
      </c>
      <c r="R71" s="11">
        <f t="shared" ca="1" si="11"/>
        <v>45333</v>
      </c>
    </row>
    <row r="72" spans="1:18" x14ac:dyDescent="0.25">
      <c r="A72" s="2">
        <v>2453</v>
      </c>
      <c r="B72" s="2">
        <v>3669</v>
      </c>
      <c r="C72" s="3">
        <v>40110</v>
      </c>
      <c r="D72" s="4" t="s">
        <v>10</v>
      </c>
      <c r="E72" s="2">
        <v>0</v>
      </c>
      <c r="F72" s="3">
        <f t="shared" si="9"/>
        <v>40140</v>
      </c>
      <c r="G72" s="2">
        <v>0</v>
      </c>
      <c r="H72" s="5">
        <v>0.1</v>
      </c>
      <c r="I72" s="2" t="b">
        <v>1</v>
      </c>
      <c r="J72" s="2">
        <v>1524</v>
      </c>
      <c r="K72" s="2" t="b">
        <v>0</v>
      </c>
      <c r="L72" s="2" t="b">
        <v>0</v>
      </c>
      <c r="M72" s="2">
        <v>0</v>
      </c>
      <c r="N72" s="6">
        <v>6</v>
      </c>
      <c r="O72">
        <f t="shared" si="7"/>
        <v>752</v>
      </c>
      <c r="P72">
        <f t="shared" si="8"/>
        <v>722</v>
      </c>
      <c r="Q72" s="11">
        <f t="shared" ca="1" si="10"/>
        <v>45303</v>
      </c>
      <c r="R72" s="11">
        <f t="shared" ca="1" si="11"/>
        <v>45333</v>
      </c>
    </row>
    <row r="73" spans="1:18" x14ac:dyDescent="0.25">
      <c r="A73" s="2">
        <v>2454</v>
      </c>
      <c r="B73" s="2">
        <v>1745</v>
      </c>
      <c r="C73" s="3">
        <v>40112</v>
      </c>
      <c r="D73" s="4" t="s">
        <v>10</v>
      </c>
      <c r="E73" s="2">
        <v>4000</v>
      </c>
      <c r="F73" s="3">
        <f t="shared" si="9"/>
        <v>40142</v>
      </c>
      <c r="G73" s="2">
        <v>0</v>
      </c>
      <c r="H73" s="5">
        <v>0.2</v>
      </c>
      <c r="I73" s="2" t="b">
        <v>1</v>
      </c>
      <c r="J73" s="2">
        <v>1524</v>
      </c>
      <c r="K73" s="2" t="b">
        <v>0</v>
      </c>
      <c r="L73" s="2" t="b">
        <v>0</v>
      </c>
      <c r="M73" s="2">
        <v>0</v>
      </c>
      <c r="N73" s="6">
        <v>6</v>
      </c>
      <c r="O73">
        <f t="shared" si="7"/>
        <v>750</v>
      </c>
      <c r="P73">
        <f t="shared" si="8"/>
        <v>720</v>
      </c>
      <c r="Q73" s="11">
        <f t="shared" ca="1" si="10"/>
        <v>45305</v>
      </c>
      <c r="R73" s="11">
        <f t="shared" ca="1" si="11"/>
        <v>45335</v>
      </c>
    </row>
    <row r="74" spans="1:18" x14ac:dyDescent="0.25">
      <c r="A74" s="2">
        <v>2455</v>
      </c>
      <c r="B74" s="2">
        <v>2833</v>
      </c>
      <c r="C74" s="3">
        <v>40127</v>
      </c>
      <c r="D74" s="4" t="s">
        <v>10</v>
      </c>
      <c r="E74" s="2">
        <v>0</v>
      </c>
      <c r="F74" s="3">
        <f t="shared" si="9"/>
        <v>40157</v>
      </c>
      <c r="G74" s="2">
        <v>14</v>
      </c>
      <c r="H74" s="5">
        <v>0</v>
      </c>
      <c r="I74" s="2" t="b">
        <v>1</v>
      </c>
      <c r="J74" s="2">
        <v>640</v>
      </c>
      <c r="K74" s="2" t="b">
        <v>1</v>
      </c>
      <c r="L74" s="2" t="b">
        <v>0</v>
      </c>
      <c r="M74" s="2">
        <v>0</v>
      </c>
      <c r="N74" s="6">
        <v>6</v>
      </c>
      <c r="O74">
        <f t="shared" si="7"/>
        <v>735</v>
      </c>
      <c r="P74">
        <f t="shared" si="8"/>
        <v>705</v>
      </c>
      <c r="Q74" s="11">
        <f t="shared" ca="1" si="10"/>
        <v>45320</v>
      </c>
      <c r="R74" s="11">
        <f t="shared" ca="1" si="11"/>
        <v>45350</v>
      </c>
    </row>
    <row r="75" spans="1:18" x14ac:dyDescent="0.25">
      <c r="A75" s="2">
        <v>2456</v>
      </c>
      <c r="B75" s="2">
        <v>2866</v>
      </c>
      <c r="C75" s="3">
        <v>40127</v>
      </c>
      <c r="D75" s="4" t="s">
        <v>10</v>
      </c>
      <c r="E75" s="2">
        <v>0</v>
      </c>
      <c r="F75" s="3">
        <f t="shared" si="9"/>
        <v>40157</v>
      </c>
      <c r="G75" s="2">
        <v>14</v>
      </c>
      <c r="H75" s="5">
        <v>0</v>
      </c>
      <c r="I75" s="2" t="b">
        <v>1</v>
      </c>
      <c r="J75" s="2">
        <v>640</v>
      </c>
      <c r="K75" s="2" t="b">
        <v>1</v>
      </c>
      <c r="L75" s="2" t="b">
        <v>0</v>
      </c>
      <c r="M75" s="2">
        <v>0</v>
      </c>
      <c r="N75" s="6">
        <v>6</v>
      </c>
      <c r="O75">
        <f t="shared" si="7"/>
        <v>735</v>
      </c>
      <c r="P75">
        <f t="shared" si="8"/>
        <v>705</v>
      </c>
      <c r="Q75" s="11">
        <f t="shared" ca="1" si="10"/>
        <v>45320</v>
      </c>
      <c r="R75" s="11">
        <f t="shared" ca="1" si="11"/>
        <v>45350</v>
      </c>
    </row>
    <row r="76" spans="1:18" x14ac:dyDescent="0.25">
      <c r="A76" s="2">
        <v>2457</v>
      </c>
      <c r="B76" s="2">
        <v>1493</v>
      </c>
      <c r="C76" s="3">
        <v>40127</v>
      </c>
      <c r="D76" s="4" t="s">
        <v>10</v>
      </c>
      <c r="E76" s="2">
        <v>0</v>
      </c>
      <c r="F76" s="3">
        <f t="shared" si="9"/>
        <v>40157</v>
      </c>
      <c r="G76" s="2">
        <v>8</v>
      </c>
      <c r="H76" s="5">
        <v>0</v>
      </c>
      <c r="I76" s="2" t="b">
        <v>1</v>
      </c>
      <c r="J76" s="2">
        <v>640</v>
      </c>
      <c r="K76" s="2" t="b">
        <v>1</v>
      </c>
      <c r="L76" s="2" t="b">
        <v>0</v>
      </c>
      <c r="M76" s="2">
        <v>0</v>
      </c>
      <c r="N76" s="6">
        <v>6</v>
      </c>
      <c r="O76">
        <f t="shared" si="7"/>
        <v>735</v>
      </c>
      <c r="P76">
        <f t="shared" si="8"/>
        <v>705</v>
      </c>
      <c r="Q76" s="11">
        <f t="shared" ca="1" si="10"/>
        <v>45320</v>
      </c>
      <c r="R76" s="11">
        <f t="shared" ca="1" si="11"/>
        <v>45350</v>
      </c>
    </row>
    <row r="77" spans="1:18" x14ac:dyDescent="0.25">
      <c r="A77" s="2">
        <v>2458</v>
      </c>
      <c r="B77" s="2">
        <v>1484</v>
      </c>
      <c r="C77" s="3">
        <v>40162</v>
      </c>
      <c r="D77" s="4" t="s">
        <v>10</v>
      </c>
      <c r="E77" s="2">
        <v>0</v>
      </c>
      <c r="F77" s="3">
        <f t="shared" si="9"/>
        <v>40192</v>
      </c>
      <c r="G77" s="2">
        <v>28</v>
      </c>
      <c r="H77" s="5">
        <v>0</v>
      </c>
      <c r="I77" s="2" t="b">
        <v>1</v>
      </c>
      <c r="J77" s="2">
        <v>640</v>
      </c>
      <c r="K77" s="2" t="b">
        <v>1</v>
      </c>
      <c r="L77" s="2" t="b">
        <v>0</v>
      </c>
      <c r="M77" s="2">
        <v>0</v>
      </c>
      <c r="N77" s="6">
        <v>6</v>
      </c>
      <c r="O77">
        <f t="shared" si="7"/>
        <v>700</v>
      </c>
      <c r="P77">
        <f t="shared" si="8"/>
        <v>670</v>
      </c>
      <c r="Q77" s="11">
        <f t="shared" ca="1" si="10"/>
        <v>45355</v>
      </c>
      <c r="R77" s="11">
        <f t="shared" ca="1" si="11"/>
        <v>45385</v>
      </c>
    </row>
    <row r="78" spans="1:18" x14ac:dyDescent="0.25">
      <c r="A78" s="2">
        <v>2459</v>
      </c>
      <c r="B78" s="2">
        <v>2503</v>
      </c>
      <c r="C78" s="3">
        <v>40162</v>
      </c>
      <c r="D78" s="4" t="s">
        <v>10</v>
      </c>
      <c r="E78" s="2">
        <v>0</v>
      </c>
      <c r="F78" s="3">
        <f t="shared" si="9"/>
        <v>40192</v>
      </c>
      <c r="G78" s="2">
        <v>20</v>
      </c>
      <c r="H78" s="5">
        <v>0</v>
      </c>
      <c r="I78" s="2" t="b">
        <v>1</v>
      </c>
      <c r="J78" s="2">
        <v>640</v>
      </c>
      <c r="K78" s="2" t="b">
        <v>1</v>
      </c>
      <c r="L78" s="2" t="b">
        <v>0</v>
      </c>
      <c r="M78" s="2">
        <v>0</v>
      </c>
      <c r="N78" s="6">
        <v>6</v>
      </c>
      <c r="O78">
        <f t="shared" si="7"/>
        <v>700</v>
      </c>
      <c r="P78">
        <f t="shared" si="8"/>
        <v>670</v>
      </c>
      <c r="Q78" s="11">
        <f t="shared" ca="1" si="10"/>
        <v>45355</v>
      </c>
      <c r="R78" s="11">
        <f t="shared" ca="1" si="11"/>
        <v>45385</v>
      </c>
    </row>
    <row r="79" spans="1:18" x14ac:dyDescent="0.25">
      <c r="A79" s="2">
        <v>2460</v>
      </c>
      <c r="B79" s="2">
        <v>2852</v>
      </c>
      <c r="C79" s="3">
        <v>40130</v>
      </c>
      <c r="D79" s="4" t="s">
        <v>10</v>
      </c>
      <c r="E79" s="2">
        <v>0</v>
      </c>
      <c r="F79" s="3">
        <f t="shared" si="9"/>
        <v>40160</v>
      </c>
      <c r="G79" s="2">
        <v>14</v>
      </c>
      <c r="H79" s="5">
        <v>0</v>
      </c>
      <c r="I79" s="2" t="b">
        <v>1</v>
      </c>
      <c r="J79" s="2">
        <v>640</v>
      </c>
      <c r="K79" s="2" t="b">
        <v>1</v>
      </c>
      <c r="L79" s="2" t="b">
        <v>0</v>
      </c>
      <c r="M79" s="2">
        <v>0</v>
      </c>
      <c r="N79" s="6">
        <v>6</v>
      </c>
      <c r="O79">
        <f t="shared" si="7"/>
        <v>732</v>
      </c>
      <c r="P79">
        <f t="shared" si="8"/>
        <v>702</v>
      </c>
      <c r="Q79" s="11">
        <f t="shared" ca="1" si="10"/>
        <v>45323</v>
      </c>
      <c r="R79" s="11">
        <f t="shared" ca="1" si="11"/>
        <v>45353</v>
      </c>
    </row>
    <row r="80" spans="1:18" x14ac:dyDescent="0.25">
      <c r="A80" s="2">
        <v>2461</v>
      </c>
      <c r="B80" s="2">
        <v>2407</v>
      </c>
      <c r="C80" s="3">
        <v>40130</v>
      </c>
      <c r="D80" s="4" t="s">
        <v>10</v>
      </c>
      <c r="E80" s="2">
        <v>0</v>
      </c>
      <c r="F80" s="3">
        <f t="shared" si="9"/>
        <v>40160</v>
      </c>
      <c r="G80" s="2">
        <v>12</v>
      </c>
      <c r="H80" s="5">
        <v>0</v>
      </c>
      <c r="I80" s="2" t="b">
        <v>1</v>
      </c>
      <c r="J80" s="2">
        <v>640</v>
      </c>
      <c r="K80" s="2" t="b">
        <v>1</v>
      </c>
      <c r="L80" s="2" t="b">
        <v>0</v>
      </c>
      <c r="M80" s="2">
        <v>0</v>
      </c>
      <c r="N80" s="6">
        <v>6</v>
      </c>
      <c r="O80">
        <f t="shared" si="7"/>
        <v>732</v>
      </c>
      <c r="P80">
        <f t="shared" si="8"/>
        <v>702</v>
      </c>
      <c r="Q80" s="11">
        <f t="shared" ca="1" si="10"/>
        <v>45323</v>
      </c>
      <c r="R80" s="11">
        <f t="shared" ca="1" si="11"/>
        <v>45353</v>
      </c>
    </row>
    <row r="81" spans="1:18" x14ac:dyDescent="0.25">
      <c r="A81" s="2">
        <v>2462</v>
      </c>
      <c r="B81" s="2">
        <v>2259</v>
      </c>
      <c r="C81" s="3">
        <v>40133</v>
      </c>
      <c r="D81" s="4" t="s">
        <v>10</v>
      </c>
      <c r="E81" s="2">
        <v>0</v>
      </c>
      <c r="F81" s="3">
        <f t="shared" si="9"/>
        <v>40163</v>
      </c>
      <c r="G81" s="2">
        <v>0</v>
      </c>
      <c r="H81" s="5">
        <v>0.03</v>
      </c>
      <c r="I81" s="2" t="b">
        <v>1</v>
      </c>
      <c r="J81" s="2">
        <v>1524</v>
      </c>
      <c r="K81" s="2" t="b">
        <v>0</v>
      </c>
      <c r="L81" s="2" t="b">
        <v>0</v>
      </c>
      <c r="M81" s="2">
        <v>0</v>
      </c>
      <c r="N81" s="6">
        <v>6</v>
      </c>
      <c r="O81">
        <f t="shared" si="7"/>
        <v>729</v>
      </c>
      <c r="P81">
        <f t="shared" si="8"/>
        <v>699</v>
      </c>
      <c r="Q81" s="11">
        <f t="shared" ca="1" si="10"/>
        <v>45326</v>
      </c>
      <c r="R81" s="11">
        <f t="shared" ca="1" si="11"/>
        <v>45356</v>
      </c>
    </row>
    <row r="82" spans="1:18" x14ac:dyDescent="0.25">
      <c r="A82" s="2">
        <v>2463</v>
      </c>
      <c r="B82" s="2">
        <v>1108</v>
      </c>
      <c r="C82" s="3">
        <v>40133</v>
      </c>
      <c r="D82" s="4" t="s">
        <v>10</v>
      </c>
      <c r="E82" s="2">
        <v>0</v>
      </c>
      <c r="F82" s="3">
        <f t="shared" si="9"/>
        <v>40163</v>
      </c>
      <c r="G82" s="2">
        <v>0</v>
      </c>
      <c r="H82" s="5">
        <v>0.1</v>
      </c>
      <c r="I82" s="2" t="b">
        <v>1</v>
      </c>
      <c r="J82" s="2">
        <v>1524</v>
      </c>
      <c r="K82" s="2" t="b">
        <v>0</v>
      </c>
      <c r="L82" s="2" t="b">
        <v>0</v>
      </c>
      <c r="M82" s="2">
        <v>0</v>
      </c>
      <c r="N82" s="6">
        <v>6</v>
      </c>
      <c r="O82">
        <f t="shared" si="7"/>
        <v>729</v>
      </c>
      <c r="P82">
        <f t="shared" si="8"/>
        <v>699</v>
      </c>
      <c r="Q82" s="11">
        <f t="shared" ca="1" si="10"/>
        <v>45326</v>
      </c>
      <c r="R82" s="11">
        <f t="shared" ca="1" si="11"/>
        <v>45356</v>
      </c>
    </row>
    <row r="83" spans="1:18" x14ac:dyDescent="0.25">
      <c r="A83" s="2">
        <v>2464</v>
      </c>
      <c r="B83" s="2">
        <v>3623</v>
      </c>
      <c r="C83" s="3">
        <v>40148</v>
      </c>
      <c r="D83" s="4" t="s">
        <v>10</v>
      </c>
      <c r="E83" s="2">
        <v>0</v>
      </c>
      <c r="F83" s="3">
        <f t="shared" si="9"/>
        <v>40178</v>
      </c>
      <c r="G83" s="2">
        <v>14</v>
      </c>
      <c r="H83" s="5">
        <v>0</v>
      </c>
      <c r="I83" s="2" t="b">
        <v>1</v>
      </c>
      <c r="J83" s="2">
        <v>640</v>
      </c>
      <c r="K83" s="2" t="b">
        <v>1</v>
      </c>
      <c r="L83" s="2" t="b">
        <v>0</v>
      </c>
      <c r="M83" s="2">
        <v>0</v>
      </c>
      <c r="N83" s="6">
        <v>6</v>
      </c>
      <c r="O83">
        <f t="shared" si="7"/>
        <v>714</v>
      </c>
      <c r="P83">
        <f t="shared" si="8"/>
        <v>684</v>
      </c>
      <c r="Q83" s="11">
        <f t="shared" ca="1" si="10"/>
        <v>45341</v>
      </c>
      <c r="R83" s="11">
        <f t="shared" ca="1" si="11"/>
        <v>45371</v>
      </c>
    </row>
    <row r="84" spans="1:18" x14ac:dyDescent="0.25">
      <c r="A84" s="2">
        <v>2465</v>
      </c>
      <c r="B84" s="2">
        <v>3638</v>
      </c>
      <c r="C84" s="3">
        <v>40135</v>
      </c>
      <c r="D84" s="4" t="s">
        <v>10</v>
      </c>
      <c r="E84" s="2">
        <v>0</v>
      </c>
      <c r="F84" s="3">
        <f t="shared" si="9"/>
        <v>40165</v>
      </c>
      <c r="G84" s="2">
        <v>40</v>
      </c>
      <c r="H84" s="5">
        <v>0</v>
      </c>
      <c r="I84" s="2" t="b">
        <v>1</v>
      </c>
      <c r="J84" s="2">
        <v>1524</v>
      </c>
      <c r="K84" s="2" t="b">
        <v>0</v>
      </c>
      <c r="L84" s="2" t="b">
        <v>0</v>
      </c>
      <c r="M84" s="2">
        <v>0</v>
      </c>
      <c r="N84" s="6">
        <v>6</v>
      </c>
      <c r="O84">
        <f t="shared" si="7"/>
        <v>727</v>
      </c>
      <c r="P84">
        <f t="shared" si="8"/>
        <v>697</v>
      </c>
      <c r="Q84" s="11">
        <f t="shared" ca="1" si="10"/>
        <v>45328</v>
      </c>
      <c r="R84" s="11">
        <f t="shared" ca="1" si="11"/>
        <v>45358</v>
      </c>
    </row>
    <row r="85" spans="1:18" x14ac:dyDescent="0.25">
      <c r="A85" s="2">
        <v>2466</v>
      </c>
      <c r="B85" s="2">
        <v>2822</v>
      </c>
      <c r="C85" s="3">
        <v>40142</v>
      </c>
      <c r="D85" s="4" t="s">
        <v>10</v>
      </c>
      <c r="E85" s="2">
        <v>0</v>
      </c>
      <c r="F85" s="3">
        <f t="shared" si="9"/>
        <v>40172</v>
      </c>
      <c r="G85" s="2">
        <v>20</v>
      </c>
      <c r="H85" s="5">
        <v>0</v>
      </c>
      <c r="I85" s="2" t="b">
        <v>1</v>
      </c>
      <c r="J85" s="2">
        <v>640</v>
      </c>
      <c r="K85" s="2" t="b">
        <v>1</v>
      </c>
      <c r="L85" s="2" t="b">
        <v>0</v>
      </c>
      <c r="M85" s="2">
        <v>0</v>
      </c>
      <c r="N85" s="6">
        <v>6</v>
      </c>
      <c r="O85">
        <f t="shared" si="7"/>
        <v>720</v>
      </c>
      <c r="P85">
        <f t="shared" si="8"/>
        <v>690</v>
      </c>
      <c r="Q85" s="11">
        <f t="shared" ca="1" si="10"/>
        <v>45335</v>
      </c>
      <c r="R85" s="11">
        <f t="shared" ca="1" si="11"/>
        <v>45365</v>
      </c>
    </row>
    <row r="86" spans="1:18" x14ac:dyDescent="0.25">
      <c r="A86" s="2">
        <v>2467</v>
      </c>
      <c r="B86" s="2">
        <v>3671</v>
      </c>
      <c r="C86" s="3">
        <v>40138</v>
      </c>
      <c r="D86" s="4" t="s">
        <v>10</v>
      </c>
      <c r="E86" s="2">
        <v>0</v>
      </c>
      <c r="F86" s="3">
        <f t="shared" si="9"/>
        <v>40168</v>
      </c>
      <c r="G86" s="2">
        <v>14</v>
      </c>
      <c r="H86" s="5">
        <v>0</v>
      </c>
      <c r="I86" s="2" t="b">
        <v>1</v>
      </c>
      <c r="J86" s="2">
        <v>640</v>
      </c>
      <c r="K86" s="2" t="b">
        <v>1</v>
      </c>
      <c r="L86" s="2" t="b">
        <v>0</v>
      </c>
      <c r="M86" s="2">
        <v>0</v>
      </c>
      <c r="N86" s="6">
        <v>6</v>
      </c>
      <c r="O86">
        <f t="shared" si="7"/>
        <v>724</v>
      </c>
      <c r="P86">
        <f t="shared" si="8"/>
        <v>694</v>
      </c>
      <c r="Q86" s="11">
        <f t="shared" ca="1" si="10"/>
        <v>45331</v>
      </c>
      <c r="R86" s="11">
        <f t="shared" ca="1" si="11"/>
        <v>45361</v>
      </c>
    </row>
    <row r="87" spans="1:18" x14ac:dyDescent="0.25">
      <c r="A87" s="2">
        <v>2468</v>
      </c>
      <c r="B87" s="2">
        <v>2962</v>
      </c>
      <c r="C87" s="3">
        <v>40140</v>
      </c>
      <c r="D87" s="4" t="s">
        <v>10</v>
      </c>
      <c r="E87" s="2">
        <v>0</v>
      </c>
      <c r="F87" s="3">
        <f t="shared" si="9"/>
        <v>40170</v>
      </c>
      <c r="G87" s="2">
        <v>60</v>
      </c>
      <c r="H87" s="5">
        <v>0</v>
      </c>
      <c r="I87" s="2" t="b">
        <v>1</v>
      </c>
      <c r="J87" s="2">
        <v>1524</v>
      </c>
      <c r="K87" s="2" t="b">
        <v>0</v>
      </c>
      <c r="L87" s="2" t="b">
        <v>0</v>
      </c>
      <c r="M87" s="2">
        <v>0</v>
      </c>
      <c r="N87" s="6">
        <v>6</v>
      </c>
      <c r="O87">
        <f t="shared" ref="O87:O150" si="12">DATEDIF(C87,DateFin,"d")</f>
        <v>722</v>
      </c>
      <c r="P87">
        <f t="shared" ref="P87:P150" si="13">DATEDIF(F87,DateFin,"d")</f>
        <v>692</v>
      </c>
      <c r="Q87" s="11">
        <f t="shared" ca="1" si="10"/>
        <v>45333</v>
      </c>
      <c r="R87" s="11">
        <f t="shared" ca="1" si="11"/>
        <v>45363</v>
      </c>
    </row>
    <row r="88" spans="1:18" x14ac:dyDescent="0.25">
      <c r="A88" s="2">
        <v>2469</v>
      </c>
      <c r="B88" s="2">
        <v>887</v>
      </c>
      <c r="C88" s="3">
        <v>40140</v>
      </c>
      <c r="D88" s="4" t="s">
        <v>10</v>
      </c>
      <c r="E88" s="2">
        <v>0</v>
      </c>
      <c r="F88" s="3">
        <f t="shared" ref="F88:F151" si="14">C88+30</f>
        <v>40170</v>
      </c>
      <c r="G88" s="2">
        <v>0</v>
      </c>
      <c r="H88" s="5">
        <v>0</v>
      </c>
      <c r="I88" s="2" t="b">
        <v>1</v>
      </c>
      <c r="J88" s="2">
        <v>1524</v>
      </c>
      <c r="K88" s="2" t="b">
        <v>0</v>
      </c>
      <c r="L88" s="2" t="b">
        <v>0</v>
      </c>
      <c r="M88" s="2">
        <v>0</v>
      </c>
      <c r="N88" s="6">
        <v>6</v>
      </c>
      <c r="O88">
        <f t="shared" si="12"/>
        <v>722</v>
      </c>
      <c r="P88">
        <f t="shared" si="13"/>
        <v>692</v>
      </c>
      <c r="Q88" s="11">
        <f t="shared" ref="Q88:Q151" ca="1" si="15">TODAY()-O88</f>
        <v>45333</v>
      </c>
      <c r="R88" s="11">
        <f t="shared" ref="R88:R151" ca="1" si="16">TODAY()-P88</f>
        <v>45363</v>
      </c>
    </row>
    <row r="89" spans="1:18" x14ac:dyDescent="0.25">
      <c r="A89" s="2">
        <v>2470</v>
      </c>
      <c r="B89" s="2">
        <v>1548</v>
      </c>
      <c r="C89" s="3">
        <v>40141</v>
      </c>
      <c r="D89" s="4" t="s">
        <v>10</v>
      </c>
      <c r="E89" s="2">
        <v>0</v>
      </c>
      <c r="F89" s="3">
        <f t="shared" si="14"/>
        <v>40171</v>
      </c>
      <c r="G89" s="2">
        <v>0</v>
      </c>
      <c r="H89" s="5">
        <v>0.1</v>
      </c>
      <c r="I89" s="2" t="b">
        <v>1</v>
      </c>
      <c r="J89" s="2">
        <v>1524</v>
      </c>
      <c r="K89" s="2" t="b">
        <v>0</v>
      </c>
      <c r="L89" s="2" t="b">
        <v>0</v>
      </c>
      <c r="M89" s="2">
        <v>0</v>
      </c>
      <c r="N89" s="6">
        <v>6</v>
      </c>
      <c r="O89">
        <f t="shared" si="12"/>
        <v>721</v>
      </c>
      <c r="P89">
        <f t="shared" si="13"/>
        <v>691</v>
      </c>
      <c r="Q89" s="11">
        <f t="shared" ca="1" si="15"/>
        <v>45334</v>
      </c>
      <c r="R89" s="11">
        <f t="shared" ca="1" si="16"/>
        <v>45364</v>
      </c>
    </row>
    <row r="90" spans="1:18" x14ac:dyDescent="0.25">
      <c r="A90" s="2">
        <v>2471</v>
      </c>
      <c r="B90" s="2">
        <v>3620</v>
      </c>
      <c r="C90" s="3">
        <v>40141</v>
      </c>
      <c r="D90" s="4" t="s">
        <v>10</v>
      </c>
      <c r="E90" s="2">
        <v>0</v>
      </c>
      <c r="F90" s="3">
        <f t="shared" si="14"/>
        <v>40171</v>
      </c>
      <c r="G90" s="2">
        <v>0</v>
      </c>
      <c r="H90" s="5">
        <v>0.03</v>
      </c>
      <c r="I90" s="2" t="b">
        <v>1</v>
      </c>
      <c r="J90" s="2">
        <v>1524</v>
      </c>
      <c r="K90" s="2" t="b">
        <v>0</v>
      </c>
      <c r="L90" s="2" t="b">
        <v>0</v>
      </c>
      <c r="M90" s="2">
        <v>0</v>
      </c>
      <c r="N90" s="6">
        <v>6</v>
      </c>
      <c r="O90">
        <f t="shared" si="12"/>
        <v>721</v>
      </c>
      <c r="P90">
        <f t="shared" si="13"/>
        <v>691</v>
      </c>
      <c r="Q90" s="11">
        <f t="shared" ca="1" si="15"/>
        <v>45334</v>
      </c>
      <c r="R90" s="11">
        <f t="shared" ca="1" si="16"/>
        <v>45364</v>
      </c>
    </row>
    <row r="91" spans="1:18" x14ac:dyDescent="0.25">
      <c r="A91" s="2">
        <v>2472</v>
      </c>
      <c r="B91" s="2">
        <v>2399</v>
      </c>
      <c r="C91" s="3">
        <v>40144</v>
      </c>
      <c r="D91" s="4" t="s">
        <v>10</v>
      </c>
      <c r="E91" s="2">
        <v>0</v>
      </c>
      <c r="F91" s="3">
        <f t="shared" si="14"/>
        <v>40174</v>
      </c>
      <c r="G91" s="2">
        <v>0</v>
      </c>
      <c r="H91" s="5">
        <v>0</v>
      </c>
      <c r="I91" s="2" t="b">
        <v>1</v>
      </c>
      <c r="J91" s="2">
        <v>1524</v>
      </c>
      <c r="K91" s="2" t="b">
        <v>0</v>
      </c>
      <c r="L91" s="2" t="b">
        <v>0</v>
      </c>
      <c r="M91" s="2">
        <v>0</v>
      </c>
      <c r="N91" s="6">
        <v>6</v>
      </c>
      <c r="O91">
        <f t="shared" si="12"/>
        <v>718</v>
      </c>
      <c r="P91">
        <f t="shared" si="13"/>
        <v>688</v>
      </c>
      <c r="Q91" s="11">
        <f t="shared" ca="1" si="15"/>
        <v>45337</v>
      </c>
      <c r="R91" s="11">
        <f t="shared" ca="1" si="16"/>
        <v>45367</v>
      </c>
    </row>
    <row r="92" spans="1:18" x14ac:dyDescent="0.25">
      <c r="A92" s="2">
        <v>2473</v>
      </c>
      <c r="B92" s="2">
        <v>2913</v>
      </c>
      <c r="C92" s="3">
        <v>40147</v>
      </c>
      <c r="D92" s="4" t="s">
        <v>10</v>
      </c>
      <c r="E92" s="2">
        <v>1777.25</v>
      </c>
      <c r="F92" s="3">
        <f t="shared" si="14"/>
        <v>40177</v>
      </c>
      <c r="G92" s="2">
        <v>0</v>
      </c>
      <c r="H92" s="5">
        <v>0</v>
      </c>
      <c r="I92" s="2" t="b">
        <v>1</v>
      </c>
      <c r="J92" s="2">
        <v>1524</v>
      </c>
      <c r="K92" s="2" t="b">
        <v>0</v>
      </c>
      <c r="L92" s="2" t="b">
        <v>0</v>
      </c>
      <c r="M92" s="2">
        <v>0</v>
      </c>
      <c r="N92" s="6">
        <v>6</v>
      </c>
      <c r="O92">
        <f t="shared" si="12"/>
        <v>715</v>
      </c>
      <c r="P92">
        <f t="shared" si="13"/>
        <v>685</v>
      </c>
      <c r="Q92" s="11">
        <f t="shared" ca="1" si="15"/>
        <v>45340</v>
      </c>
      <c r="R92" s="11">
        <f t="shared" ca="1" si="16"/>
        <v>45370</v>
      </c>
    </row>
    <row r="93" spans="1:18" x14ac:dyDescent="0.25">
      <c r="A93" s="2">
        <v>2474</v>
      </c>
      <c r="B93" s="2">
        <v>1745</v>
      </c>
      <c r="C93" s="3">
        <v>40147</v>
      </c>
      <c r="D93" s="4" t="s">
        <v>10</v>
      </c>
      <c r="E93" s="2">
        <v>0</v>
      </c>
      <c r="F93" s="3">
        <f t="shared" si="14"/>
        <v>40177</v>
      </c>
      <c r="G93" s="2">
        <v>0</v>
      </c>
      <c r="H93" s="5">
        <v>0</v>
      </c>
      <c r="I93" s="2" t="b">
        <v>1</v>
      </c>
      <c r="J93" s="2">
        <v>1524</v>
      </c>
      <c r="K93" s="2" t="b">
        <v>0</v>
      </c>
      <c r="L93" s="2" t="b">
        <v>0</v>
      </c>
      <c r="M93" s="2">
        <v>0</v>
      </c>
      <c r="N93" s="6">
        <v>6</v>
      </c>
      <c r="O93">
        <f t="shared" si="12"/>
        <v>715</v>
      </c>
      <c r="P93">
        <f t="shared" si="13"/>
        <v>685</v>
      </c>
      <c r="Q93" s="11">
        <f t="shared" ca="1" si="15"/>
        <v>45340</v>
      </c>
      <c r="R93" s="11">
        <f t="shared" ca="1" si="16"/>
        <v>45370</v>
      </c>
    </row>
    <row r="94" spans="1:18" x14ac:dyDescent="0.25">
      <c r="A94" s="2">
        <v>2475</v>
      </c>
      <c r="B94" s="2">
        <v>2319</v>
      </c>
      <c r="C94" s="3">
        <v>40149</v>
      </c>
      <c r="D94" s="4" t="s">
        <v>10</v>
      </c>
      <c r="E94" s="2">
        <v>2000</v>
      </c>
      <c r="F94" s="3">
        <f t="shared" si="14"/>
        <v>40179</v>
      </c>
      <c r="G94" s="2">
        <v>0</v>
      </c>
      <c r="H94" s="5">
        <v>0.1</v>
      </c>
      <c r="I94" s="2" t="b">
        <v>1</v>
      </c>
      <c r="J94" s="2">
        <v>1524</v>
      </c>
      <c r="K94" s="2" t="b">
        <v>0</v>
      </c>
      <c r="L94" s="2" t="b">
        <v>0</v>
      </c>
      <c r="M94" s="2">
        <v>0</v>
      </c>
      <c r="N94" s="6">
        <v>6</v>
      </c>
      <c r="O94">
        <f t="shared" si="12"/>
        <v>713</v>
      </c>
      <c r="P94">
        <f t="shared" si="13"/>
        <v>683</v>
      </c>
      <c r="Q94" s="11">
        <f t="shared" ca="1" si="15"/>
        <v>45342</v>
      </c>
      <c r="R94" s="11">
        <f t="shared" ca="1" si="16"/>
        <v>45372</v>
      </c>
    </row>
    <row r="95" spans="1:18" x14ac:dyDescent="0.25">
      <c r="A95" s="2">
        <v>2476</v>
      </c>
      <c r="B95" s="2">
        <v>2765</v>
      </c>
      <c r="C95" s="3">
        <v>40149</v>
      </c>
      <c r="D95" s="4" t="s">
        <v>10</v>
      </c>
      <c r="E95" s="2">
        <v>0</v>
      </c>
      <c r="F95" s="3">
        <f t="shared" si="14"/>
        <v>40179</v>
      </c>
      <c r="G95" s="2">
        <v>0</v>
      </c>
      <c r="H95" s="5">
        <v>0</v>
      </c>
      <c r="I95" s="2" t="b">
        <v>1</v>
      </c>
      <c r="J95" s="2">
        <v>1524</v>
      </c>
      <c r="K95" s="2" t="b">
        <v>0</v>
      </c>
      <c r="L95" s="2" t="b">
        <v>0</v>
      </c>
      <c r="M95" s="2">
        <v>0</v>
      </c>
      <c r="N95" s="6">
        <v>6</v>
      </c>
      <c r="O95">
        <f t="shared" si="12"/>
        <v>713</v>
      </c>
      <c r="P95">
        <f t="shared" si="13"/>
        <v>683</v>
      </c>
      <c r="Q95" s="11">
        <f t="shared" ca="1" si="15"/>
        <v>45342</v>
      </c>
      <c r="R95" s="11">
        <f t="shared" ca="1" si="16"/>
        <v>45372</v>
      </c>
    </row>
    <row r="96" spans="1:18" x14ac:dyDescent="0.25">
      <c r="A96" s="2">
        <v>2477</v>
      </c>
      <c r="B96" s="2">
        <v>2928</v>
      </c>
      <c r="C96" s="3">
        <v>40153</v>
      </c>
      <c r="D96" s="4" t="s">
        <v>10</v>
      </c>
      <c r="E96" s="2">
        <v>0</v>
      </c>
      <c r="F96" s="3">
        <f t="shared" si="14"/>
        <v>40183</v>
      </c>
      <c r="G96" s="2">
        <v>0</v>
      </c>
      <c r="H96" s="5">
        <v>0.1</v>
      </c>
      <c r="I96" s="2" t="b">
        <v>1</v>
      </c>
      <c r="J96" s="2">
        <v>1524</v>
      </c>
      <c r="K96" s="2" t="b">
        <v>0</v>
      </c>
      <c r="L96" s="2" t="b">
        <v>0</v>
      </c>
      <c r="M96" s="2">
        <v>0</v>
      </c>
      <c r="N96" s="6">
        <v>6</v>
      </c>
      <c r="O96">
        <f t="shared" si="12"/>
        <v>709</v>
      </c>
      <c r="P96">
        <f t="shared" si="13"/>
        <v>679</v>
      </c>
      <c r="Q96" s="11">
        <f t="shared" ca="1" si="15"/>
        <v>45346</v>
      </c>
      <c r="R96" s="11">
        <f t="shared" ca="1" si="16"/>
        <v>45376</v>
      </c>
    </row>
    <row r="97" spans="1:18" x14ac:dyDescent="0.25">
      <c r="A97" s="2">
        <v>2478</v>
      </c>
      <c r="B97" s="2">
        <v>3677</v>
      </c>
      <c r="C97" s="3">
        <v>40155</v>
      </c>
      <c r="D97" s="4" t="s">
        <v>10</v>
      </c>
      <c r="E97" s="2">
        <v>0</v>
      </c>
      <c r="F97" s="3">
        <f t="shared" si="14"/>
        <v>40185</v>
      </c>
      <c r="G97" s="2">
        <v>45</v>
      </c>
      <c r="H97" s="5">
        <v>0</v>
      </c>
      <c r="I97" s="2" t="b">
        <v>1</v>
      </c>
      <c r="J97" s="2">
        <v>1524</v>
      </c>
      <c r="K97" s="2" t="b">
        <v>1</v>
      </c>
      <c r="L97" s="2" t="b">
        <v>0</v>
      </c>
      <c r="M97" s="2">
        <v>0</v>
      </c>
      <c r="N97" s="6">
        <v>6</v>
      </c>
      <c r="O97">
        <f t="shared" si="12"/>
        <v>707</v>
      </c>
      <c r="P97">
        <f t="shared" si="13"/>
        <v>677</v>
      </c>
      <c r="Q97" s="11">
        <f t="shared" ca="1" si="15"/>
        <v>45348</v>
      </c>
      <c r="R97" s="11">
        <f t="shared" ca="1" si="16"/>
        <v>45378</v>
      </c>
    </row>
    <row r="98" spans="1:18" x14ac:dyDescent="0.25">
      <c r="A98" s="2">
        <v>2479</v>
      </c>
      <c r="B98" s="2">
        <v>798</v>
      </c>
      <c r="C98" s="3">
        <v>40158</v>
      </c>
      <c r="D98" s="4" t="s">
        <v>10</v>
      </c>
      <c r="E98" s="2">
        <v>235</v>
      </c>
      <c r="F98" s="3">
        <f t="shared" si="14"/>
        <v>40188</v>
      </c>
      <c r="G98" s="2">
        <v>0</v>
      </c>
      <c r="H98" s="5">
        <v>0</v>
      </c>
      <c r="I98" s="2" t="b">
        <v>1</v>
      </c>
      <c r="J98" s="2">
        <v>1524</v>
      </c>
      <c r="K98" s="2" t="b">
        <v>0</v>
      </c>
      <c r="L98" s="2" t="b">
        <v>0</v>
      </c>
      <c r="M98" s="2">
        <v>0</v>
      </c>
      <c r="N98" s="6">
        <v>6</v>
      </c>
      <c r="O98">
        <f t="shared" si="12"/>
        <v>704</v>
      </c>
      <c r="P98">
        <f t="shared" si="13"/>
        <v>674</v>
      </c>
      <c r="Q98" s="11">
        <f t="shared" ca="1" si="15"/>
        <v>45351</v>
      </c>
      <c r="R98" s="11">
        <f t="shared" ca="1" si="16"/>
        <v>45381</v>
      </c>
    </row>
    <row r="99" spans="1:18" x14ac:dyDescent="0.25">
      <c r="A99" s="2">
        <v>2480</v>
      </c>
      <c r="B99" s="2">
        <v>593</v>
      </c>
      <c r="C99" s="3">
        <v>40162</v>
      </c>
      <c r="D99" s="4" t="s">
        <v>10</v>
      </c>
      <c r="E99" s="2">
        <v>0</v>
      </c>
      <c r="F99" s="3">
        <f t="shared" si="14"/>
        <v>40192</v>
      </c>
      <c r="G99" s="2">
        <v>0</v>
      </c>
      <c r="H99" s="5">
        <v>0</v>
      </c>
      <c r="I99" s="2" t="b">
        <v>1</v>
      </c>
      <c r="J99" s="2">
        <v>1524</v>
      </c>
      <c r="K99" s="2" t="b">
        <v>1</v>
      </c>
      <c r="L99" s="2" t="b">
        <v>0</v>
      </c>
      <c r="M99" s="2">
        <v>0</v>
      </c>
      <c r="N99" s="6">
        <v>6</v>
      </c>
      <c r="O99">
        <f t="shared" si="12"/>
        <v>700</v>
      </c>
      <c r="P99">
        <f t="shared" si="13"/>
        <v>670</v>
      </c>
      <c r="Q99" s="11">
        <f t="shared" ca="1" si="15"/>
        <v>45355</v>
      </c>
      <c r="R99" s="11">
        <f t="shared" ca="1" si="16"/>
        <v>45385</v>
      </c>
    </row>
    <row r="100" spans="1:18" x14ac:dyDescent="0.25">
      <c r="A100" s="2">
        <v>2481</v>
      </c>
      <c r="B100" s="2">
        <v>2974</v>
      </c>
      <c r="C100" s="3">
        <v>40164</v>
      </c>
      <c r="D100" s="4" t="s">
        <v>10</v>
      </c>
      <c r="E100" s="2">
        <v>0</v>
      </c>
      <c r="F100" s="3">
        <f t="shared" si="14"/>
        <v>40194</v>
      </c>
      <c r="G100" s="2">
        <v>14</v>
      </c>
      <c r="H100" s="5">
        <v>0</v>
      </c>
      <c r="I100" s="2" t="b">
        <v>1</v>
      </c>
      <c r="J100" s="2">
        <v>640</v>
      </c>
      <c r="K100" s="2" t="b">
        <v>1</v>
      </c>
      <c r="L100" s="2" t="b">
        <v>0</v>
      </c>
      <c r="M100" s="2">
        <v>0</v>
      </c>
      <c r="N100" s="6">
        <v>6</v>
      </c>
      <c r="O100">
        <f t="shared" si="12"/>
        <v>698</v>
      </c>
      <c r="P100">
        <f t="shared" si="13"/>
        <v>668</v>
      </c>
      <c r="Q100" s="11">
        <f t="shared" ca="1" si="15"/>
        <v>45357</v>
      </c>
      <c r="R100" s="11">
        <f t="shared" ca="1" si="16"/>
        <v>45387</v>
      </c>
    </row>
    <row r="101" spans="1:18" x14ac:dyDescent="0.25">
      <c r="A101" s="2">
        <v>2482</v>
      </c>
      <c r="B101" s="2">
        <v>2818</v>
      </c>
      <c r="C101" s="3">
        <v>40164</v>
      </c>
      <c r="D101" s="4" t="s">
        <v>10</v>
      </c>
      <c r="E101" s="2">
        <v>0</v>
      </c>
      <c r="F101" s="3">
        <f t="shared" si="14"/>
        <v>40194</v>
      </c>
      <c r="G101" s="2">
        <v>14</v>
      </c>
      <c r="H101" s="5">
        <v>0</v>
      </c>
      <c r="I101" s="2" t="b">
        <v>1</v>
      </c>
      <c r="J101" s="2">
        <v>640</v>
      </c>
      <c r="K101" s="2" t="b">
        <v>1</v>
      </c>
      <c r="L101" s="2" t="b">
        <v>0</v>
      </c>
      <c r="M101" s="2">
        <v>0</v>
      </c>
      <c r="N101" s="6">
        <v>6</v>
      </c>
      <c r="O101">
        <f t="shared" si="12"/>
        <v>698</v>
      </c>
      <c r="P101">
        <f t="shared" si="13"/>
        <v>668</v>
      </c>
      <c r="Q101" s="11">
        <f t="shared" ca="1" si="15"/>
        <v>45357</v>
      </c>
      <c r="R101" s="11">
        <f t="shared" ca="1" si="16"/>
        <v>45387</v>
      </c>
    </row>
    <row r="102" spans="1:18" x14ac:dyDescent="0.25">
      <c r="A102" s="2">
        <v>2483</v>
      </c>
      <c r="B102" s="2">
        <v>1745</v>
      </c>
      <c r="C102" s="3">
        <v>40186</v>
      </c>
      <c r="D102" s="4" t="s">
        <v>10</v>
      </c>
      <c r="E102" s="2">
        <v>0</v>
      </c>
      <c r="F102" s="3">
        <f t="shared" si="14"/>
        <v>40216</v>
      </c>
      <c r="G102" s="2">
        <v>0</v>
      </c>
      <c r="H102" s="5">
        <v>0</v>
      </c>
      <c r="I102" s="2" t="b">
        <v>1</v>
      </c>
      <c r="J102" s="2">
        <v>1524</v>
      </c>
      <c r="K102" s="2" t="b">
        <v>0</v>
      </c>
      <c r="L102" s="2" t="b">
        <v>0</v>
      </c>
      <c r="M102" s="2">
        <v>0</v>
      </c>
      <c r="N102" s="6">
        <v>6</v>
      </c>
      <c r="O102">
        <f t="shared" si="12"/>
        <v>676</v>
      </c>
      <c r="P102">
        <f t="shared" si="13"/>
        <v>646</v>
      </c>
      <c r="Q102" s="11">
        <f t="shared" ca="1" si="15"/>
        <v>45379</v>
      </c>
      <c r="R102" s="11">
        <f t="shared" ca="1" si="16"/>
        <v>45409</v>
      </c>
    </row>
    <row r="103" spans="1:18" x14ac:dyDescent="0.25">
      <c r="A103" s="2">
        <v>2484</v>
      </c>
      <c r="B103" s="2">
        <v>2496</v>
      </c>
      <c r="C103" s="3">
        <v>40186</v>
      </c>
      <c r="D103" s="4" t="s">
        <v>10</v>
      </c>
      <c r="E103" s="2">
        <v>0</v>
      </c>
      <c r="F103" s="3">
        <f t="shared" si="14"/>
        <v>40216</v>
      </c>
      <c r="G103" s="2">
        <v>0</v>
      </c>
      <c r="H103" s="5">
        <v>0</v>
      </c>
      <c r="I103" s="2" t="b">
        <v>1</v>
      </c>
      <c r="J103" s="2">
        <v>1524</v>
      </c>
      <c r="K103" s="2" t="b">
        <v>0</v>
      </c>
      <c r="L103" s="2" t="b">
        <v>0</v>
      </c>
      <c r="M103" s="2">
        <v>0</v>
      </c>
      <c r="N103" s="6">
        <v>6</v>
      </c>
      <c r="O103">
        <f t="shared" si="12"/>
        <v>676</v>
      </c>
      <c r="P103">
        <f t="shared" si="13"/>
        <v>646</v>
      </c>
      <c r="Q103" s="11">
        <f t="shared" ca="1" si="15"/>
        <v>45379</v>
      </c>
      <c r="R103" s="11">
        <f t="shared" ca="1" si="16"/>
        <v>45409</v>
      </c>
    </row>
    <row r="104" spans="1:18" x14ac:dyDescent="0.25">
      <c r="A104" s="2">
        <v>2485</v>
      </c>
      <c r="B104" s="2">
        <v>1493</v>
      </c>
      <c r="C104" s="3">
        <v>40192</v>
      </c>
      <c r="D104" s="4" t="s">
        <v>10</v>
      </c>
      <c r="E104" s="2">
        <v>0</v>
      </c>
      <c r="F104" s="3">
        <f t="shared" si="14"/>
        <v>40222</v>
      </c>
      <c r="G104" s="2">
        <v>14</v>
      </c>
      <c r="H104" s="5">
        <v>0</v>
      </c>
      <c r="I104" s="2" t="b">
        <v>1</v>
      </c>
      <c r="J104" s="2">
        <v>640</v>
      </c>
      <c r="K104" s="2" t="b">
        <v>1</v>
      </c>
      <c r="L104" s="2" t="b">
        <v>0</v>
      </c>
      <c r="M104" s="2">
        <v>0</v>
      </c>
      <c r="N104" s="6">
        <v>6</v>
      </c>
      <c r="O104">
        <f t="shared" si="12"/>
        <v>670</v>
      </c>
      <c r="P104">
        <f t="shared" si="13"/>
        <v>640</v>
      </c>
      <c r="Q104" s="11">
        <f t="shared" ca="1" si="15"/>
        <v>45385</v>
      </c>
      <c r="R104" s="11">
        <f t="shared" ca="1" si="16"/>
        <v>45415</v>
      </c>
    </row>
    <row r="105" spans="1:18" x14ac:dyDescent="0.25">
      <c r="A105" s="2">
        <v>2486</v>
      </c>
      <c r="B105" s="2">
        <v>1277</v>
      </c>
      <c r="C105" s="3">
        <v>40200</v>
      </c>
      <c r="D105" s="4" t="s">
        <v>10</v>
      </c>
      <c r="E105" s="2">
        <v>0</v>
      </c>
      <c r="F105" s="3">
        <f t="shared" si="14"/>
        <v>40230</v>
      </c>
      <c r="G105" s="2">
        <v>0</v>
      </c>
      <c r="H105" s="5">
        <v>0.2</v>
      </c>
      <c r="I105" s="2" t="b">
        <v>1</v>
      </c>
      <c r="J105" s="2">
        <v>1524</v>
      </c>
      <c r="K105" s="2" t="b">
        <v>0</v>
      </c>
      <c r="L105" s="2" t="b">
        <v>0</v>
      </c>
      <c r="M105" s="2">
        <v>0</v>
      </c>
      <c r="N105" s="6">
        <v>6</v>
      </c>
      <c r="O105">
        <f t="shared" si="12"/>
        <v>662</v>
      </c>
      <c r="P105">
        <f t="shared" si="13"/>
        <v>632</v>
      </c>
      <c r="Q105" s="11">
        <f t="shared" ca="1" si="15"/>
        <v>45393</v>
      </c>
      <c r="R105" s="11">
        <f t="shared" ca="1" si="16"/>
        <v>45423</v>
      </c>
    </row>
    <row r="106" spans="1:18" x14ac:dyDescent="0.25">
      <c r="A106" s="2">
        <v>2487</v>
      </c>
      <c r="B106" s="2">
        <v>3620</v>
      </c>
      <c r="C106" s="3">
        <v>40200</v>
      </c>
      <c r="D106" s="4" t="s">
        <v>10</v>
      </c>
      <c r="E106" s="2">
        <v>0</v>
      </c>
      <c r="F106" s="3">
        <f t="shared" si="14"/>
        <v>40230</v>
      </c>
      <c r="G106" s="2">
        <v>0</v>
      </c>
      <c r="H106" s="5">
        <v>0.2</v>
      </c>
      <c r="I106" s="2" t="b">
        <v>1</v>
      </c>
      <c r="J106" s="2">
        <v>1524</v>
      </c>
      <c r="K106" s="2" t="b">
        <v>0</v>
      </c>
      <c r="L106" s="2" t="b">
        <v>0</v>
      </c>
      <c r="M106" s="2">
        <v>0</v>
      </c>
      <c r="N106" s="6">
        <v>6</v>
      </c>
      <c r="O106">
        <f t="shared" si="12"/>
        <v>662</v>
      </c>
      <c r="P106">
        <f t="shared" si="13"/>
        <v>632</v>
      </c>
      <c r="Q106" s="11">
        <f t="shared" ca="1" si="15"/>
        <v>45393</v>
      </c>
      <c r="R106" s="11">
        <f t="shared" ca="1" si="16"/>
        <v>45423</v>
      </c>
    </row>
    <row r="107" spans="1:18" x14ac:dyDescent="0.25">
      <c r="A107" s="2">
        <v>2488</v>
      </c>
      <c r="B107" s="2">
        <v>2926</v>
      </c>
      <c r="C107" s="3">
        <v>40200</v>
      </c>
      <c r="D107" s="4" t="s">
        <v>10</v>
      </c>
      <c r="E107" s="2">
        <v>0</v>
      </c>
      <c r="F107" s="3">
        <f t="shared" si="14"/>
        <v>40230</v>
      </c>
      <c r="G107" s="2">
        <v>0</v>
      </c>
      <c r="H107" s="5">
        <v>0</v>
      </c>
      <c r="I107" s="2" t="b">
        <v>1</v>
      </c>
      <c r="J107" s="2">
        <v>640</v>
      </c>
      <c r="K107" s="2" t="b">
        <v>1</v>
      </c>
      <c r="L107" s="2" t="b">
        <v>0</v>
      </c>
      <c r="M107" s="2">
        <v>0</v>
      </c>
      <c r="N107" s="6">
        <v>6</v>
      </c>
      <c r="O107">
        <f t="shared" si="12"/>
        <v>662</v>
      </c>
      <c r="P107">
        <f t="shared" si="13"/>
        <v>632</v>
      </c>
      <c r="Q107" s="11">
        <f t="shared" ca="1" si="15"/>
        <v>45393</v>
      </c>
      <c r="R107" s="11">
        <f t="shared" ca="1" si="16"/>
        <v>45423</v>
      </c>
    </row>
    <row r="108" spans="1:18" x14ac:dyDescent="0.25">
      <c r="A108" s="2">
        <v>2489</v>
      </c>
      <c r="B108" s="2">
        <v>1559</v>
      </c>
      <c r="C108" s="3">
        <v>40201</v>
      </c>
      <c r="D108" s="4" t="s">
        <v>10</v>
      </c>
      <c r="E108" s="2">
        <v>0</v>
      </c>
      <c r="F108" s="3">
        <f t="shared" si="14"/>
        <v>40231</v>
      </c>
      <c r="G108" s="2">
        <v>39</v>
      </c>
      <c r="H108" s="5">
        <v>0.2</v>
      </c>
      <c r="I108" s="2" t="b">
        <v>1</v>
      </c>
      <c r="J108" s="2">
        <v>1524</v>
      </c>
      <c r="K108" s="2" t="b">
        <v>0</v>
      </c>
      <c r="L108" s="2" t="b">
        <v>0</v>
      </c>
      <c r="M108" s="2">
        <v>0</v>
      </c>
      <c r="N108" s="6">
        <v>6</v>
      </c>
      <c r="O108">
        <f t="shared" si="12"/>
        <v>661</v>
      </c>
      <c r="P108">
        <f t="shared" si="13"/>
        <v>631</v>
      </c>
      <c r="Q108" s="11">
        <f t="shared" ca="1" si="15"/>
        <v>45394</v>
      </c>
      <c r="R108" s="11">
        <f t="shared" ca="1" si="16"/>
        <v>45424</v>
      </c>
    </row>
    <row r="109" spans="1:18" x14ac:dyDescent="0.25">
      <c r="A109" s="2">
        <v>2490</v>
      </c>
      <c r="B109" s="2">
        <v>2962</v>
      </c>
      <c r="C109" s="3">
        <v>40204</v>
      </c>
      <c r="D109" s="4" t="s">
        <v>10</v>
      </c>
      <c r="E109" s="2">
        <v>0</v>
      </c>
      <c r="F109" s="3">
        <f t="shared" si="14"/>
        <v>40234</v>
      </c>
      <c r="G109" s="2">
        <v>465</v>
      </c>
      <c r="H109" s="5">
        <v>0</v>
      </c>
      <c r="I109" s="2" t="b">
        <v>1</v>
      </c>
      <c r="J109" s="2">
        <v>1524</v>
      </c>
      <c r="K109" s="2" t="b">
        <v>0</v>
      </c>
      <c r="L109" s="2" t="b">
        <v>0</v>
      </c>
      <c r="M109" s="2">
        <v>0</v>
      </c>
      <c r="N109" s="6">
        <v>6</v>
      </c>
      <c r="O109">
        <f t="shared" si="12"/>
        <v>658</v>
      </c>
      <c r="P109">
        <f t="shared" si="13"/>
        <v>628</v>
      </c>
      <c r="Q109" s="11">
        <f t="shared" ca="1" si="15"/>
        <v>45397</v>
      </c>
      <c r="R109" s="11">
        <f t="shared" ca="1" si="16"/>
        <v>45427</v>
      </c>
    </row>
    <row r="110" spans="1:18" x14ac:dyDescent="0.25">
      <c r="A110" s="2">
        <v>2491</v>
      </c>
      <c r="B110" s="2">
        <v>2913</v>
      </c>
      <c r="C110" s="3">
        <v>40204</v>
      </c>
      <c r="D110" s="4" t="s">
        <v>10</v>
      </c>
      <c r="E110" s="2">
        <v>0</v>
      </c>
      <c r="F110" s="3">
        <f t="shared" si="14"/>
        <v>40234</v>
      </c>
      <c r="G110" s="2">
        <v>0</v>
      </c>
      <c r="H110" s="5">
        <v>0.1</v>
      </c>
      <c r="I110" s="2" t="b">
        <v>1</v>
      </c>
      <c r="J110" s="2">
        <v>1524</v>
      </c>
      <c r="K110" s="2" t="b">
        <v>0</v>
      </c>
      <c r="L110" s="2" t="b">
        <v>0</v>
      </c>
      <c r="M110" s="2">
        <v>0</v>
      </c>
      <c r="N110" s="6">
        <v>6</v>
      </c>
      <c r="O110">
        <f t="shared" si="12"/>
        <v>658</v>
      </c>
      <c r="P110">
        <f t="shared" si="13"/>
        <v>628</v>
      </c>
      <c r="Q110" s="11">
        <f t="shared" ca="1" si="15"/>
        <v>45397</v>
      </c>
      <c r="R110" s="11">
        <f t="shared" ca="1" si="16"/>
        <v>45427</v>
      </c>
    </row>
    <row r="111" spans="1:18" x14ac:dyDescent="0.25">
      <c r="A111" s="2">
        <v>2492</v>
      </c>
      <c r="B111" s="2">
        <v>798</v>
      </c>
      <c r="C111" s="3">
        <v>40204</v>
      </c>
      <c r="D111" s="4" t="s">
        <v>10</v>
      </c>
      <c r="E111" s="2">
        <v>0</v>
      </c>
      <c r="F111" s="3">
        <f t="shared" si="14"/>
        <v>40234</v>
      </c>
      <c r="G111" s="2">
        <v>0</v>
      </c>
      <c r="H111" s="5">
        <v>0.2</v>
      </c>
      <c r="I111" s="2" t="b">
        <v>1</v>
      </c>
      <c r="J111" s="2">
        <v>1524</v>
      </c>
      <c r="K111" s="2" t="b">
        <v>0</v>
      </c>
      <c r="L111" s="2" t="b">
        <v>0</v>
      </c>
      <c r="M111" s="2">
        <v>0</v>
      </c>
      <c r="N111" s="6">
        <v>6</v>
      </c>
      <c r="O111">
        <f t="shared" si="12"/>
        <v>658</v>
      </c>
      <c r="P111">
        <f t="shared" si="13"/>
        <v>628</v>
      </c>
      <c r="Q111" s="11">
        <f t="shared" ca="1" si="15"/>
        <v>45397</v>
      </c>
      <c r="R111" s="11">
        <f t="shared" ca="1" si="16"/>
        <v>45427</v>
      </c>
    </row>
    <row r="112" spans="1:18" x14ac:dyDescent="0.25">
      <c r="A112" s="2">
        <v>2493</v>
      </c>
      <c r="B112" s="2">
        <v>2829</v>
      </c>
      <c r="C112" s="3">
        <v>40206</v>
      </c>
      <c r="D112" s="4" t="s">
        <v>10</v>
      </c>
      <c r="E112" s="2">
        <v>0</v>
      </c>
      <c r="F112" s="3">
        <f t="shared" si="14"/>
        <v>40236</v>
      </c>
      <c r="G112" s="2">
        <v>0</v>
      </c>
      <c r="H112" s="5">
        <v>0.2</v>
      </c>
      <c r="I112" s="2" t="b">
        <v>1</v>
      </c>
      <c r="J112" s="2">
        <v>1524</v>
      </c>
      <c r="K112" s="2" t="b">
        <v>1</v>
      </c>
      <c r="L112" s="2" t="b">
        <v>0</v>
      </c>
      <c r="M112" s="2">
        <v>0</v>
      </c>
      <c r="N112" s="6">
        <v>6</v>
      </c>
      <c r="O112">
        <f t="shared" si="12"/>
        <v>656</v>
      </c>
      <c r="P112">
        <f t="shared" si="13"/>
        <v>626</v>
      </c>
      <c r="Q112" s="11">
        <f t="shared" ca="1" si="15"/>
        <v>45399</v>
      </c>
      <c r="R112" s="11">
        <f t="shared" ca="1" si="16"/>
        <v>45429</v>
      </c>
    </row>
    <row r="113" spans="1:18" x14ac:dyDescent="0.25">
      <c r="A113" s="2">
        <v>2494</v>
      </c>
      <c r="B113" s="2">
        <v>1548</v>
      </c>
      <c r="C113" s="3">
        <v>40207</v>
      </c>
      <c r="D113" s="4" t="s">
        <v>10</v>
      </c>
      <c r="E113" s="2">
        <v>0</v>
      </c>
      <c r="F113" s="3">
        <f t="shared" si="14"/>
        <v>40237</v>
      </c>
      <c r="G113" s="2">
        <v>0</v>
      </c>
      <c r="H113" s="5">
        <v>0.2</v>
      </c>
      <c r="I113" s="2" t="b">
        <v>1</v>
      </c>
      <c r="J113" s="2">
        <v>1524</v>
      </c>
      <c r="K113" s="2" t="b">
        <v>0</v>
      </c>
      <c r="L113" s="2" t="b">
        <v>0</v>
      </c>
      <c r="M113" s="2">
        <v>0</v>
      </c>
      <c r="N113" s="6">
        <v>6</v>
      </c>
      <c r="O113">
        <f t="shared" si="12"/>
        <v>655</v>
      </c>
      <c r="P113">
        <f t="shared" si="13"/>
        <v>625</v>
      </c>
      <c r="Q113" s="11">
        <f t="shared" ca="1" si="15"/>
        <v>45400</v>
      </c>
      <c r="R113" s="11">
        <f t="shared" ca="1" si="16"/>
        <v>45430</v>
      </c>
    </row>
    <row r="114" spans="1:18" x14ac:dyDescent="0.25">
      <c r="A114" s="2">
        <v>2495</v>
      </c>
      <c r="B114" s="2">
        <v>3668</v>
      </c>
      <c r="C114" s="3">
        <v>40208</v>
      </c>
      <c r="D114" s="4" t="s">
        <v>10</v>
      </c>
      <c r="E114" s="2">
        <v>0</v>
      </c>
      <c r="F114" s="3">
        <f t="shared" si="14"/>
        <v>40238</v>
      </c>
      <c r="G114" s="2">
        <v>0</v>
      </c>
      <c r="H114" s="5">
        <v>0</v>
      </c>
      <c r="I114" s="2" t="b">
        <v>1</v>
      </c>
      <c r="J114" s="2">
        <v>1524</v>
      </c>
      <c r="K114" s="2" t="b">
        <v>0</v>
      </c>
      <c r="L114" s="2" t="b">
        <v>0</v>
      </c>
      <c r="M114" s="2">
        <v>0</v>
      </c>
      <c r="N114" s="6">
        <v>6</v>
      </c>
      <c r="O114">
        <f t="shared" si="12"/>
        <v>654</v>
      </c>
      <c r="P114">
        <f t="shared" si="13"/>
        <v>624</v>
      </c>
      <c r="Q114" s="11">
        <f t="shared" ca="1" si="15"/>
        <v>45401</v>
      </c>
      <c r="R114" s="11">
        <f t="shared" ca="1" si="16"/>
        <v>45431</v>
      </c>
    </row>
    <row r="115" spans="1:18" x14ac:dyDescent="0.25">
      <c r="A115" s="2">
        <v>2496</v>
      </c>
      <c r="B115" s="2">
        <v>3633</v>
      </c>
      <c r="C115" s="3">
        <v>40218</v>
      </c>
      <c r="D115" s="4" t="s">
        <v>10</v>
      </c>
      <c r="E115" s="2">
        <v>0</v>
      </c>
      <c r="F115" s="3">
        <f t="shared" si="14"/>
        <v>40248</v>
      </c>
      <c r="G115" s="2">
        <v>0</v>
      </c>
      <c r="H115" s="5">
        <v>0</v>
      </c>
      <c r="I115" s="2" t="b">
        <v>1</v>
      </c>
      <c r="J115" s="2">
        <v>640</v>
      </c>
      <c r="K115" s="2" t="b">
        <v>1</v>
      </c>
      <c r="L115" s="2" t="b">
        <v>0</v>
      </c>
      <c r="M115" s="2">
        <v>0</v>
      </c>
      <c r="N115" s="6">
        <v>6</v>
      </c>
      <c r="O115">
        <f t="shared" si="12"/>
        <v>644</v>
      </c>
      <c r="P115">
        <f t="shared" si="13"/>
        <v>614</v>
      </c>
      <c r="Q115" s="11">
        <f t="shared" ca="1" si="15"/>
        <v>45411</v>
      </c>
      <c r="R115" s="11">
        <f t="shared" ca="1" si="16"/>
        <v>45441</v>
      </c>
    </row>
    <row r="116" spans="1:18" x14ac:dyDescent="0.25">
      <c r="A116" s="2">
        <v>2497</v>
      </c>
      <c r="B116" s="2">
        <v>3680</v>
      </c>
      <c r="C116" s="3">
        <v>40222</v>
      </c>
      <c r="D116" s="4" t="s">
        <v>10</v>
      </c>
      <c r="E116" s="2">
        <v>0</v>
      </c>
      <c r="F116" s="3">
        <f t="shared" si="14"/>
        <v>40252</v>
      </c>
      <c r="G116" s="2">
        <v>0</v>
      </c>
      <c r="H116" s="5">
        <v>0</v>
      </c>
      <c r="I116" s="2" t="b">
        <v>1</v>
      </c>
      <c r="J116" s="2">
        <v>640</v>
      </c>
      <c r="K116" s="2" t="b">
        <v>1</v>
      </c>
      <c r="L116" s="2" t="b">
        <v>0</v>
      </c>
      <c r="M116" s="2">
        <v>0</v>
      </c>
      <c r="N116" s="6">
        <v>6</v>
      </c>
      <c r="O116">
        <f t="shared" si="12"/>
        <v>640</v>
      </c>
      <c r="P116">
        <f t="shared" si="13"/>
        <v>610</v>
      </c>
      <c r="Q116" s="11">
        <f t="shared" ca="1" si="15"/>
        <v>45415</v>
      </c>
      <c r="R116" s="11">
        <f t="shared" ca="1" si="16"/>
        <v>45445</v>
      </c>
    </row>
    <row r="117" spans="1:18" x14ac:dyDescent="0.25">
      <c r="A117" s="2">
        <v>2498</v>
      </c>
      <c r="B117" s="2">
        <v>963</v>
      </c>
      <c r="C117" s="3">
        <v>40246</v>
      </c>
      <c r="D117" s="4" t="s">
        <v>10</v>
      </c>
      <c r="E117" s="2">
        <v>0</v>
      </c>
      <c r="F117" s="3">
        <f t="shared" si="14"/>
        <v>40276</v>
      </c>
      <c r="G117" s="2">
        <v>0</v>
      </c>
      <c r="H117" s="5">
        <v>0</v>
      </c>
      <c r="I117" s="2" t="b">
        <v>1</v>
      </c>
      <c r="J117" s="2">
        <v>1524</v>
      </c>
      <c r="K117" s="2" t="b">
        <v>0</v>
      </c>
      <c r="L117" s="2" t="b">
        <v>0</v>
      </c>
      <c r="M117" s="2">
        <v>0</v>
      </c>
      <c r="N117" s="6">
        <v>6</v>
      </c>
      <c r="O117">
        <f t="shared" si="12"/>
        <v>616</v>
      </c>
      <c r="P117">
        <f t="shared" si="13"/>
        <v>586</v>
      </c>
      <c r="Q117" s="11">
        <f t="shared" ca="1" si="15"/>
        <v>45439</v>
      </c>
      <c r="R117" s="11">
        <f t="shared" ca="1" si="16"/>
        <v>45469</v>
      </c>
    </row>
    <row r="118" spans="1:18" x14ac:dyDescent="0.25">
      <c r="A118" s="2">
        <v>2499</v>
      </c>
      <c r="B118" s="2">
        <v>1095</v>
      </c>
      <c r="C118" s="3">
        <v>40246</v>
      </c>
      <c r="D118" s="4" t="s">
        <v>10</v>
      </c>
      <c r="E118" s="2">
        <v>0</v>
      </c>
      <c r="F118" s="3">
        <f t="shared" si="14"/>
        <v>40276</v>
      </c>
      <c r="G118" s="2">
        <v>400</v>
      </c>
      <c r="H118" s="5">
        <v>0</v>
      </c>
      <c r="I118" s="2" t="b">
        <v>1</v>
      </c>
      <c r="J118" s="2">
        <v>1524</v>
      </c>
      <c r="K118" s="2" t="b">
        <v>0</v>
      </c>
      <c r="L118" s="2" t="b">
        <v>0</v>
      </c>
      <c r="M118" s="2">
        <v>0</v>
      </c>
      <c r="N118" s="6">
        <v>6</v>
      </c>
      <c r="O118">
        <f t="shared" si="12"/>
        <v>616</v>
      </c>
      <c r="P118">
        <f t="shared" si="13"/>
        <v>586</v>
      </c>
      <c r="Q118" s="11">
        <f t="shared" ca="1" si="15"/>
        <v>45439</v>
      </c>
      <c r="R118" s="11">
        <f t="shared" ca="1" si="16"/>
        <v>45469</v>
      </c>
    </row>
    <row r="119" spans="1:18" x14ac:dyDescent="0.25">
      <c r="A119" s="2">
        <v>2500</v>
      </c>
      <c r="B119" s="2">
        <v>1482</v>
      </c>
      <c r="C119" s="3">
        <v>40233</v>
      </c>
      <c r="D119" s="4" t="s">
        <v>10</v>
      </c>
      <c r="E119" s="2">
        <v>0</v>
      </c>
      <c r="F119" s="3">
        <f t="shared" si="14"/>
        <v>40263</v>
      </c>
      <c r="G119" s="2">
        <v>14</v>
      </c>
      <c r="H119" s="5">
        <v>0</v>
      </c>
      <c r="I119" s="2" t="b">
        <v>1</v>
      </c>
      <c r="J119" s="2">
        <v>640</v>
      </c>
      <c r="K119" s="2" t="b">
        <v>1</v>
      </c>
      <c r="L119" s="2" t="b">
        <v>0</v>
      </c>
      <c r="M119" s="2">
        <v>0</v>
      </c>
      <c r="N119" s="6">
        <v>6</v>
      </c>
      <c r="O119">
        <f t="shared" si="12"/>
        <v>629</v>
      </c>
      <c r="P119">
        <f t="shared" si="13"/>
        <v>599</v>
      </c>
      <c r="Q119" s="11">
        <f t="shared" ca="1" si="15"/>
        <v>45426</v>
      </c>
      <c r="R119" s="11">
        <f t="shared" ca="1" si="16"/>
        <v>45456</v>
      </c>
    </row>
    <row r="120" spans="1:18" x14ac:dyDescent="0.25">
      <c r="A120" s="2">
        <v>2501</v>
      </c>
      <c r="B120" s="2">
        <v>1989</v>
      </c>
      <c r="C120" s="3">
        <v>40242</v>
      </c>
      <c r="D120" s="4" t="s">
        <v>10</v>
      </c>
      <c r="E120" s="2">
        <v>0</v>
      </c>
      <c r="F120" s="3">
        <f t="shared" si="14"/>
        <v>40272</v>
      </c>
      <c r="G120" s="2">
        <v>0</v>
      </c>
      <c r="H120" s="5">
        <v>0</v>
      </c>
      <c r="I120" s="2" t="b">
        <v>1</v>
      </c>
      <c r="J120" s="2">
        <v>1524</v>
      </c>
      <c r="K120" s="2" t="b">
        <v>0</v>
      </c>
      <c r="L120" s="2" t="b">
        <v>0</v>
      </c>
      <c r="M120" s="2">
        <v>0</v>
      </c>
      <c r="N120" s="6">
        <v>6</v>
      </c>
      <c r="O120">
        <f t="shared" si="12"/>
        <v>620</v>
      </c>
      <c r="P120">
        <f t="shared" si="13"/>
        <v>590</v>
      </c>
      <c r="Q120" s="11">
        <f t="shared" ca="1" si="15"/>
        <v>45435</v>
      </c>
      <c r="R120" s="11">
        <f t="shared" ca="1" si="16"/>
        <v>45465</v>
      </c>
    </row>
    <row r="121" spans="1:18" x14ac:dyDescent="0.25">
      <c r="A121" s="2">
        <v>2502</v>
      </c>
      <c r="B121" s="2">
        <v>2765</v>
      </c>
      <c r="C121" s="3">
        <v>40248</v>
      </c>
      <c r="D121" s="4" t="s">
        <v>10</v>
      </c>
      <c r="E121" s="2">
        <v>0</v>
      </c>
      <c r="F121" s="3">
        <f t="shared" si="14"/>
        <v>40278</v>
      </c>
      <c r="G121" s="2">
        <v>0</v>
      </c>
      <c r="H121" s="5">
        <v>0</v>
      </c>
      <c r="I121" s="2" t="b">
        <v>1</v>
      </c>
      <c r="J121" s="2">
        <v>1524</v>
      </c>
      <c r="K121" s="2" t="b">
        <v>1</v>
      </c>
      <c r="L121" s="2" t="b">
        <v>0</v>
      </c>
      <c r="M121" s="2">
        <v>0</v>
      </c>
      <c r="N121" s="6">
        <v>6</v>
      </c>
      <c r="O121">
        <f t="shared" si="12"/>
        <v>614</v>
      </c>
      <c r="P121">
        <f t="shared" si="13"/>
        <v>584</v>
      </c>
      <c r="Q121" s="11">
        <f t="shared" ca="1" si="15"/>
        <v>45441</v>
      </c>
      <c r="R121" s="11">
        <f t="shared" ca="1" si="16"/>
        <v>45471</v>
      </c>
    </row>
    <row r="122" spans="1:18" x14ac:dyDescent="0.25">
      <c r="A122" s="2">
        <v>2503</v>
      </c>
      <c r="B122" s="2">
        <v>3681</v>
      </c>
      <c r="C122" s="3">
        <v>40253</v>
      </c>
      <c r="D122" s="4" t="s">
        <v>10</v>
      </c>
      <c r="E122" s="2">
        <v>0</v>
      </c>
      <c r="F122" s="3">
        <f t="shared" si="14"/>
        <v>40283</v>
      </c>
      <c r="G122" s="2">
        <v>0</v>
      </c>
      <c r="H122" s="5">
        <v>0</v>
      </c>
      <c r="I122" s="2" t="b">
        <v>1</v>
      </c>
      <c r="J122" s="2">
        <v>1524</v>
      </c>
      <c r="K122" s="2" t="b">
        <v>1</v>
      </c>
      <c r="L122" s="2" t="b">
        <v>0</v>
      </c>
      <c r="M122" s="2">
        <v>0</v>
      </c>
      <c r="N122" s="6">
        <v>6</v>
      </c>
      <c r="O122">
        <f t="shared" si="12"/>
        <v>609</v>
      </c>
      <c r="P122">
        <f t="shared" si="13"/>
        <v>579</v>
      </c>
      <c r="Q122" s="11">
        <f t="shared" ca="1" si="15"/>
        <v>45446</v>
      </c>
      <c r="R122" s="11">
        <f t="shared" ca="1" si="16"/>
        <v>45476</v>
      </c>
    </row>
    <row r="123" spans="1:18" x14ac:dyDescent="0.25">
      <c r="A123" s="2">
        <v>2504</v>
      </c>
      <c r="B123" s="2">
        <v>1745</v>
      </c>
      <c r="C123" s="3">
        <v>40254</v>
      </c>
      <c r="D123" s="4" t="s">
        <v>10</v>
      </c>
      <c r="E123" s="2">
        <v>2500</v>
      </c>
      <c r="F123" s="3">
        <f t="shared" si="14"/>
        <v>40284</v>
      </c>
      <c r="G123" s="2">
        <v>0</v>
      </c>
      <c r="H123" s="5">
        <v>0</v>
      </c>
      <c r="I123" s="2" t="b">
        <v>1</v>
      </c>
      <c r="J123" s="2">
        <v>1524</v>
      </c>
      <c r="K123" s="2" t="b">
        <v>0</v>
      </c>
      <c r="L123" s="2" t="b">
        <v>0</v>
      </c>
      <c r="M123" s="2">
        <v>0</v>
      </c>
      <c r="N123" s="6">
        <v>6</v>
      </c>
      <c r="O123">
        <f t="shared" si="12"/>
        <v>608</v>
      </c>
      <c r="P123">
        <f t="shared" si="13"/>
        <v>578</v>
      </c>
      <c r="Q123" s="11">
        <f t="shared" ca="1" si="15"/>
        <v>45447</v>
      </c>
      <c r="R123" s="11">
        <f t="shared" ca="1" si="16"/>
        <v>45477</v>
      </c>
    </row>
    <row r="124" spans="1:18" x14ac:dyDescent="0.25">
      <c r="A124" s="2">
        <v>2505</v>
      </c>
      <c r="B124" s="2">
        <v>798</v>
      </c>
      <c r="C124" s="3">
        <v>40261</v>
      </c>
      <c r="D124" s="4" t="s">
        <v>10</v>
      </c>
      <c r="E124" s="2">
        <v>0</v>
      </c>
      <c r="F124" s="3">
        <f t="shared" si="14"/>
        <v>40291</v>
      </c>
      <c r="G124" s="2">
        <v>0</v>
      </c>
      <c r="H124" s="5">
        <v>0</v>
      </c>
      <c r="I124" s="2" t="b">
        <v>1</v>
      </c>
      <c r="J124" s="2">
        <v>1524</v>
      </c>
      <c r="K124" s="2" t="b">
        <v>0</v>
      </c>
      <c r="L124" s="2" t="b">
        <v>0</v>
      </c>
      <c r="M124" s="2">
        <v>0</v>
      </c>
      <c r="N124" s="6">
        <v>6</v>
      </c>
      <c r="O124">
        <f t="shared" si="12"/>
        <v>601</v>
      </c>
      <c r="P124">
        <f t="shared" si="13"/>
        <v>571</v>
      </c>
      <c r="Q124" s="11">
        <f t="shared" ca="1" si="15"/>
        <v>45454</v>
      </c>
      <c r="R124" s="11">
        <f t="shared" ca="1" si="16"/>
        <v>45484</v>
      </c>
    </row>
    <row r="125" spans="1:18" x14ac:dyDescent="0.25">
      <c r="A125" s="2">
        <v>2506</v>
      </c>
      <c r="B125" s="2">
        <v>963</v>
      </c>
      <c r="C125" s="3">
        <v>40263</v>
      </c>
      <c r="D125" s="4" t="s">
        <v>10</v>
      </c>
      <c r="E125" s="2">
        <v>0</v>
      </c>
      <c r="F125" s="3">
        <f t="shared" si="14"/>
        <v>40293</v>
      </c>
      <c r="G125" s="2">
        <v>0</v>
      </c>
      <c r="H125" s="5">
        <v>0</v>
      </c>
      <c r="I125" s="2" t="b">
        <v>1</v>
      </c>
      <c r="J125" s="2">
        <v>1524</v>
      </c>
      <c r="K125" s="2" t="b">
        <v>0</v>
      </c>
      <c r="L125" s="2" t="b">
        <v>1</v>
      </c>
      <c r="M125" s="2">
        <v>0</v>
      </c>
      <c r="N125" s="6">
        <v>6</v>
      </c>
      <c r="O125">
        <f t="shared" si="12"/>
        <v>599</v>
      </c>
      <c r="P125">
        <f t="shared" si="13"/>
        <v>569</v>
      </c>
      <c r="Q125" s="11">
        <f t="shared" ca="1" si="15"/>
        <v>45456</v>
      </c>
      <c r="R125" s="11">
        <f t="shared" ca="1" si="16"/>
        <v>45486</v>
      </c>
    </row>
    <row r="126" spans="1:18" x14ac:dyDescent="0.25">
      <c r="A126" s="2">
        <v>2507</v>
      </c>
      <c r="B126" s="2">
        <v>2912</v>
      </c>
      <c r="C126" s="3">
        <v>40282</v>
      </c>
      <c r="D126" s="4" t="s">
        <v>10</v>
      </c>
      <c r="E126" s="2">
        <v>0</v>
      </c>
      <c r="F126" s="3">
        <f t="shared" si="14"/>
        <v>40312</v>
      </c>
      <c r="G126" s="2">
        <v>85</v>
      </c>
      <c r="H126" s="5">
        <v>0.1</v>
      </c>
      <c r="I126" s="2" t="b">
        <v>1</v>
      </c>
      <c r="J126" s="2">
        <v>1524</v>
      </c>
      <c r="K126" s="2" t="b">
        <v>0</v>
      </c>
      <c r="L126" s="2" t="b">
        <v>0</v>
      </c>
      <c r="M126" s="2">
        <v>0</v>
      </c>
      <c r="N126" s="6">
        <v>6</v>
      </c>
      <c r="O126">
        <f t="shared" si="12"/>
        <v>580</v>
      </c>
      <c r="P126">
        <f t="shared" si="13"/>
        <v>550</v>
      </c>
      <c r="Q126" s="11">
        <f t="shared" ca="1" si="15"/>
        <v>45475</v>
      </c>
      <c r="R126" s="11">
        <f t="shared" ca="1" si="16"/>
        <v>45505</v>
      </c>
    </row>
    <row r="127" spans="1:18" x14ac:dyDescent="0.25">
      <c r="A127" s="2">
        <v>2508</v>
      </c>
      <c r="B127" s="2">
        <v>3637</v>
      </c>
      <c r="C127" s="3">
        <v>40282</v>
      </c>
      <c r="D127" s="4" t="s">
        <v>10</v>
      </c>
      <c r="E127" s="2">
        <v>0</v>
      </c>
      <c r="F127" s="3">
        <f t="shared" si="14"/>
        <v>40312</v>
      </c>
      <c r="G127" s="2">
        <v>49</v>
      </c>
      <c r="H127" s="5">
        <v>0</v>
      </c>
      <c r="I127" s="2" t="b">
        <v>1</v>
      </c>
      <c r="J127" s="2">
        <v>1524</v>
      </c>
      <c r="K127" s="2" t="b">
        <v>0</v>
      </c>
      <c r="L127" s="2" t="b">
        <v>0</v>
      </c>
      <c r="M127" s="2">
        <v>0</v>
      </c>
      <c r="N127" s="6">
        <v>6</v>
      </c>
      <c r="O127">
        <f t="shared" si="12"/>
        <v>580</v>
      </c>
      <c r="P127">
        <f t="shared" si="13"/>
        <v>550</v>
      </c>
      <c r="Q127" s="11">
        <f t="shared" ca="1" si="15"/>
        <v>45475</v>
      </c>
      <c r="R127" s="11">
        <f t="shared" ca="1" si="16"/>
        <v>45505</v>
      </c>
    </row>
    <row r="128" spans="1:18" x14ac:dyDescent="0.25">
      <c r="A128" s="2">
        <v>2509</v>
      </c>
      <c r="B128" s="2">
        <v>1745</v>
      </c>
      <c r="C128" s="3">
        <v>40294</v>
      </c>
      <c r="D128" s="4" t="s">
        <v>10</v>
      </c>
      <c r="E128" s="2">
        <v>0</v>
      </c>
      <c r="F128" s="3">
        <f t="shared" si="14"/>
        <v>40324</v>
      </c>
      <c r="G128" s="2">
        <v>0</v>
      </c>
      <c r="H128" s="5">
        <v>0</v>
      </c>
      <c r="I128" s="2" t="b">
        <v>1</v>
      </c>
      <c r="J128" s="2">
        <v>1524</v>
      </c>
      <c r="K128" s="2" t="b">
        <v>0</v>
      </c>
      <c r="L128" s="2" t="b">
        <v>0</v>
      </c>
      <c r="M128" s="2">
        <v>0</v>
      </c>
      <c r="N128" s="6">
        <v>6</v>
      </c>
      <c r="O128">
        <f t="shared" si="12"/>
        <v>568</v>
      </c>
      <c r="P128">
        <f t="shared" si="13"/>
        <v>538</v>
      </c>
      <c r="Q128" s="11">
        <f t="shared" ca="1" si="15"/>
        <v>45487</v>
      </c>
      <c r="R128" s="11">
        <f t="shared" ca="1" si="16"/>
        <v>45517</v>
      </c>
    </row>
    <row r="129" spans="1:18" x14ac:dyDescent="0.25">
      <c r="A129" s="2">
        <v>2510</v>
      </c>
      <c r="B129" s="2">
        <v>2829</v>
      </c>
      <c r="C129" s="3">
        <v>40281</v>
      </c>
      <c r="D129" s="4" t="s">
        <v>10</v>
      </c>
      <c r="E129" s="2">
        <v>0</v>
      </c>
      <c r="F129" s="3">
        <f t="shared" si="14"/>
        <v>40311</v>
      </c>
      <c r="G129" s="2">
        <v>0</v>
      </c>
      <c r="H129" s="5">
        <v>0</v>
      </c>
      <c r="I129" s="2" t="b">
        <v>1</v>
      </c>
      <c r="J129" s="2">
        <v>1524</v>
      </c>
      <c r="K129" s="2" t="b">
        <v>1</v>
      </c>
      <c r="L129" s="2" t="b">
        <v>1</v>
      </c>
      <c r="M129" s="2">
        <v>0</v>
      </c>
      <c r="N129" s="6">
        <v>6</v>
      </c>
      <c r="O129">
        <f t="shared" si="12"/>
        <v>581</v>
      </c>
      <c r="P129">
        <f t="shared" si="13"/>
        <v>551</v>
      </c>
      <c r="Q129" s="11">
        <f t="shared" ca="1" si="15"/>
        <v>45474</v>
      </c>
      <c r="R129" s="11">
        <f t="shared" ca="1" si="16"/>
        <v>45504</v>
      </c>
    </row>
    <row r="130" spans="1:18" x14ac:dyDescent="0.25">
      <c r="A130" s="2">
        <v>2511</v>
      </c>
      <c r="B130" s="2">
        <v>1559</v>
      </c>
      <c r="C130" s="3">
        <v>40283</v>
      </c>
      <c r="D130" s="4" t="s">
        <v>10</v>
      </c>
      <c r="E130" s="2">
        <v>0</v>
      </c>
      <c r="F130" s="3">
        <f t="shared" si="14"/>
        <v>40313</v>
      </c>
      <c r="G130" s="2">
        <v>28</v>
      </c>
      <c r="H130" s="5">
        <v>0</v>
      </c>
      <c r="I130" s="2" t="b">
        <v>1</v>
      </c>
      <c r="J130" s="2">
        <v>1524</v>
      </c>
      <c r="K130" s="2" t="b">
        <v>0</v>
      </c>
      <c r="L130" s="2" t="b">
        <v>0</v>
      </c>
      <c r="M130" s="2">
        <v>0</v>
      </c>
      <c r="N130" s="6">
        <v>6</v>
      </c>
      <c r="O130">
        <f t="shared" si="12"/>
        <v>579</v>
      </c>
      <c r="P130">
        <f t="shared" si="13"/>
        <v>549</v>
      </c>
      <c r="Q130" s="11">
        <f t="shared" ca="1" si="15"/>
        <v>45476</v>
      </c>
      <c r="R130" s="11">
        <f t="shared" ca="1" si="16"/>
        <v>45506</v>
      </c>
    </row>
    <row r="131" spans="1:18" x14ac:dyDescent="0.25">
      <c r="A131" s="2">
        <v>2512</v>
      </c>
      <c r="B131" s="2">
        <v>3682</v>
      </c>
      <c r="C131" s="3">
        <v>40284</v>
      </c>
      <c r="D131" s="4" t="s">
        <v>10</v>
      </c>
      <c r="E131" s="2">
        <v>0</v>
      </c>
      <c r="F131" s="3">
        <f t="shared" si="14"/>
        <v>40314</v>
      </c>
      <c r="G131" s="2">
        <v>0</v>
      </c>
      <c r="H131" s="5">
        <v>0</v>
      </c>
      <c r="I131" s="2" t="b">
        <v>1</v>
      </c>
      <c r="J131" s="2">
        <v>1524</v>
      </c>
      <c r="K131" s="2" t="b">
        <v>0</v>
      </c>
      <c r="L131" s="2" t="b">
        <v>0</v>
      </c>
      <c r="M131" s="2">
        <v>0</v>
      </c>
      <c r="N131" s="6">
        <v>6</v>
      </c>
      <c r="O131">
        <f t="shared" si="12"/>
        <v>578</v>
      </c>
      <c r="P131">
        <f t="shared" si="13"/>
        <v>548</v>
      </c>
      <c r="Q131" s="11">
        <f t="shared" ca="1" si="15"/>
        <v>45477</v>
      </c>
      <c r="R131" s="11">
        <f t="shared" ca="1" si="16"/>
        <v>45507</v>
      </c>
    </row>
    <row r="132" spans="1:18" x14ac:dyDescent="0.25">
      <c r="A132" s="2">
        <v>2513</v>
      </c>
      <c r="B132" s="2">
        <v>1156</v>
      </c>
      <c r="C132" s="3">
        <v>40284</v>
      </c>
      <c r="D132" s="4" t="s">
        <v>10</v>
      </c>
      <c r="E132" s="2">
        <v>0</v>
      </c>
      <c r="F132" s="3">
        <f t="shared" si="14"/>
        <v>40314</v>
      </c>
      <c r="G132" s="2">
        <v>46</v>
      </c>
      <c r="H132" s="5">
        <v>0</v>
      </c>
      <c r="I132" s="2" t="b">
        <v>1</v>
      </c>
      <c r="J132" s="2">
        <v>1524</v>
      </c>
      <c r="K132" s="2" t="b">
        <v>0</v>
      </c>
      <c r="L132" s="2" t="b">
        <v>0</v>
      </c>
      <c r="M132" s="2">
        <v>0</v>
      </c>
      <c r="N132" s="6">
        <v>6</v>
      </c>
      <c r="O132">
        <f t="shared" si="12"/>
        <v>578</v>
      </c>
      <c r="P132">
        <f t="shared" si="13"/>
        <v>548</v>
      </c>
      <c r="Q132" s="11">
        <f t="shared" ca="1" si="15"/>
        <v>45477</v>
      </c>
      <c r="R132" s="11">
        <f t="shared" ca="1" si="16"/>
        <v>45507</v>
      </c>
    </row>
    <row r="133" spans="1:18" x14ac:dyDescent="0.25">
      <c r="A133" s="2">
        <v>2514</v>
      </c>
      <c r="B133" s="2">
        <v>3007</v>
      </c>
      <c r="C133" s="3">
        <v>40286</v>
      </c>
      <c r="D133" s="4" t="s">
        <v>10</v>
      </c>
      <c r="E133" s="2">
        <v>0</v>
      </c>
      <c r="F133" s="3">
        <f t="shared" si="14"/>
        <v>40316</v>
      </c>
      <c r="G133" s="2">
        <v>0</v>
      </c>
      <c r="H133" s="5">
        <v>0</v>
      </c>
      <c r="I133" s="2" t="b">
        <v>1</v>
      </c>
      <c r="J133" s="2">
        <v>1524</v>
      </c>
      <c r="K133" s="2" t="b">
        <v>0</v>
      </c>
      <c r="L133" s="2" t="b">
        <v>0</v>
      </c>
      <c r="M133" s="2">
        <v>0</v>
      </c>
      <c r="N133" s="6">
        <v>6</v>
      </c>
      <c r="O133">
        <f t="shared" si="12"/>
        <v>576</v>
      </c>
      <c r="P133">
        <f t="shared" si="13"/>
        <v>546</v>
      </c>
      <c r="Q133" s="11">
        <f t="shared" ca="1" si="15"/>
        <v>45479</v>
      </c>
      <c r="R133" s="11">
        <f t="shared" ca="1" si="16"/>
        <v>45509</v>
      </c>
    </row>
    <row r="134" spans="1:18" x14ac:dyDescent="0.25">
      <c r="A134" s="2">
        <v>2515</v>
      </c>
      <c r="B134" s="2">
        <v>3635</v>
      </c>
      <c r="C134" s="3">
        <v>40296</v>
      </c>
      <c r="D134" s="4" t="s">
        <v>10</v>
      </c>
      <c r="E134" s="2">
        <v>0</v>
      </c>
      <c r="F134" s="3">
        <f t="shared" si="14"/>
        <v>40326</v>
      </c>
      <c r="G134" s="2">
        <v>49</v>
      </c>
      <c r="H134" s="5">
        <v>0</v>
      </c>
      <c r="I134" s="2" t="b">
        <v>1</v>
      </c>
      <c r="J134" s="2">
        <v>1524</v>
      </c>
      <c r="K134" s="2" t="b">
        <v>0</v>
      </c>
      <c r="L134" s="2" t="b">
        <v>0</v>
      </c>
      <c r="M134" s="2">
        <v>0</v>
      </c>
      <c r="N134" s="6">
        <v>6</v>
      </c>
      <c r="O134">
        <f t="shared" si="12"/>
        <v>566</v>
      </c>
      <c r="P134">
        <f t="shared" si="13"/>
        <v>536</v>
      </c>
      <c r="Q134" s="11">
        <f t="shared" ca="1" si="15"/>
        <v>45489</v>
      </c>
      <c r="R134" s="11">
        <f t="shared" ca="1" si="16"/>
        <v>45519</v>
      </c>
    </row>
    <row r="135" spans="1:18" x14ac:dyDescent="0.25">
      <c r="A135" s="2">
        <v>2516</v>
      </c>
      <c r="B135" s="2">
        <v>3683</v>
      </c>
      <c r="C135" s="3">
        <v>40294</v>
      </c>
      <c r="D135" s="4" t="s">
        <v>10</v>
      </c>
      <c r="E135" s="2">
        <v>0</v>
      </c>
      <c r="F135" s="3">
        <f t="shared" si="14"/>
        <v>40324</v>
      </c>
      <c r="G135" s="2">
        <v>49</v>
      </c>
      <c r="H135" s="5">
        <v>0</v>
      </c>
      <c r="I135" s="2" t="b">
        <v>1</v>
      </c>
      <c r="J135" s="2">
        <v>1524</v>
      </c>
      <c r="K135" s="2" t="b">
        <v>0</v>
      </c>
      <c r="L135" s="2" t="b">
        <v>0</v>
      </c>
      <c r="M135" s="2">
        <v>0</v>
      </c>
      <c r="N135" s="6">
        <v>6</v>
      </c>
      <c r="O135">
        <f t="shared" si="12"/>
        <v>568</v>
      </c>
      <c r="P135">
        <f t="shared" si="13"/>
        <v>538</v>
      </c>
      <c r="Q135" s="11">
        <f t="shared" ca="1" si="15"/>
        <v>45487</v>
      </c>
      <c r="R135" s="11">
        <f t="shared" ca="1" si="16"/>
        <v>45517</v>
      </c>
    </row>
    <row r="136" spans="1:18" x14ac:dyDescent="0.25">
      <c r="A136" s="2">
        <v>2517</v>
      </c>
      <c r="B136" s="2">
        <v>1745</v>
      </c>
      <c r="C136" s="3">
        <v>40294</v>
      </c>
      <c r="D136" s="4" t="s">
        <v>10</v>
      </c>
      <c r="E136" s="2">
        <v>0</v>
      </c>
      <c r="F136" s="3">
        <f t="shared" si="14"/>
        <v>40324</v>
      </c>
      <c r="G136" s="2">
        <v>0</v>
      </c>
      <c r="H136" s="5">
        <v>0.2</v>
      </c>
      <c r="I136" s="2" t="b">
        <v>1</v>
      </c>
      <c r="J136" s="2">
        <v>1524</v>
      </c>
      <c r="K136" s="2" t="b">
        <v>0</v>
      </c>
      <c r="L136" s="2" t="b">
        <v>0</v>
      </c>
      <c r="M136" s="2">
        <v>0</v>
      </c>
      <c r="N136" s="6">
        <v>6</v>
      </c>
      <c r="O136">
        <f t="shared" si="12"/>
        <v>568</v>
      </c>
      <c r="P136">
        <f t="shared" si="13"/>
        <v>538</v>
      </c>
      <c r="Q136" s="11">
        <f t="shared" ca="1" si="15"/>
        <v>45487</v>
      </c>
      <c r="R136" s="11">
        <f t="shared" ca="1" si="16"/>
        <v>45517</v>
      </c>
    </row>
    <row r="137" spans="1:18" x14ac:dyDescent="0.25">
      <c r="A137" s="2">
        <v>2518</v>
      </c>
      <c r="B137" s="2">
        <v>3684</v>
      </c>
      <c r="C137" s="3">
        <v>40311</v>
      </c>
      <c r="D137" s="4" t="s">
        <v>10</v>
      </c>
      <c r="E137" s="2">
        <v>0</v>
      </c>
      <c r="F137" s="3">
        <f t="shared" si="14"/>
        <v>40341</v>
      </c>
      <c r="G137" s="2">
        <v>0</v>
      </c>
      <c r="H137" s="5">
        <v>0</v>
      </c>
      <c r="I137" s="2" t="b">
        <v>1</v>
      </c>
      <c r="J137" s="2">
        <v>1524</v>
      </c>
      <c r="K137" s="2" t="b">
        <v>0</v>
      </c>
      <c r="L137" s="2" t="b">
        <v>0</v>
      </c>
      <c r="M137" s="2">
        <v>0</v>
      </c>
      <c r="N137" s="6">
        <v>6</v>
      </c>
      <c r="O137">
        <f t="shared" si="12"/>
        <v>551</v>
      </c>
      <c r="P137">
        <f t="shared" si="13"/>
        <v>521</v>
      </c>
      <c r="Q137" s="11">
        <f t="shared" ca="1" si="15"/>
        <v>45504</v>
      </c>
      <c r="R137" s="11">
        <f t="shared" ca="1" si="16"/>
        <v>45534</v>
      </c>
    </row>
    <row r="138" spans="1:18" x14ac:dyDescent="0.25">
      <c r="A138" s="2">
        <v>2519</v>
      </c>
      <c r="B138" s="2">
        <v>2818</v>
      </c>
      <c r="C138" s="3">
        <v>40295</v>
      </c>
      <c r="D138" s="4" t="s">
        <v>10</v>
      </c>
      <c r="E138" s="2">
        <v>0</v>
      </c>
      <c r="F138" s="3">
        <f t="shared" si="14"/>
        <v>40325</v>
      </c>
      <c r="G138" s="2">
        <v>14</v>
      </c>
      <c r="H138" s="5">
        <v>0</v>
      </c>
      <c r="I138" s="2" t="b">
        <v>1</v>
      </c>
      <c r="J138" s="2">
        <v>640</v>
      </c>
      <c r="K138" s="2" t="b">
        <v>1</v>
      </c>
      <c r="L138" s="2" t="b">
        <v>0</v>
      </c>
      <c r="M138" s="2">
        <v>0</v>
      </c>
      <c r="N138" s="6">
        <v>6</v>
      </c>
      <c r="O138">
        <f t="shared" si="12"/>
        <v>567</v>
      </c>
      <c r="P138">
        <f t="shared" si="13"/>
        <v>537</v>
      </c>
      <c r="Q138" s="11">
        <f t="shared" ca="1" si="15"/>
        <v>45488</v>
      </c>
      <c r="R138" s="11">
        <f t="shared" ca="1" si="16"/>
        <v>45518</v>
      </c>
    </row>
    <row r="139" spans="1:18" x14ac:dyDescent="0.25">
      <c r="A139" s="2">
        <v>2520</v>
      </c>
      <c r="B139" s="8">
        <v>571</v>
      </c>
      <c r="C139" s="3">
        <v>40296</v>
      </c>
      <c r="D139" s="4" t="s">
        <v>10</v>
      </c>
      <c r="E139" s="2">
        <v>0</v>
      </c>
      <c r="F139" s="3">
        <f t="shared" si="14"/>
        <v>40326</v>
      </c>
      <c r="G139" s="2">
        <v>0</v>
      </c>
      <c r="H139" s="5">
        <v>0</v>
      </c>
      <c r="I139" s="2" t="b">
        <v>1</v>
      </c>
      <c r="J139" s="2">
        <v>1524</v>
      </c>
      <c r="K139" s="2" t="b">
        <v>0</v>
      </c>
      <c r="L139" s="2" t="b">
        <v>0</v>
      </c>
      <c r="M139" s="2">
        <v>0</v>
      </c>
      <c r="N139" s="6">
        <v>6</v>
      </c>
      <c r="O139">
        <f t="shared" si="12"/>
        <v>566</v>
      </c>
      <c r="P139">
        <f t="shared" si="13"/>
        <v>536</v>
      </c>
      <c r="Q139" s="11">
        <f t="shared" ca="1" si="15"/>
        <v>45489</v>
      </c>
      <c r="R139" s="11">
        <f t="shared" ca="1" si="16"/>
        <v>45519</v>
      </c>
    </row>
    <row r="140" spans="1:18" x14ac:dyDescent="0.25">
      <c r="A140" s="2">
        <v>2521</v>
      </c>
      <c r="B140" s="8">
        <v>1003</v>
      </c>
      <c r="C140" s="3">
        <v>40298</v>
      </c>
      <c r="D140" s="4" t="s">
        <v>10</v>
      </c>
      <c r="E140" s="2">
        <v>0</v>
      </c>
      <c r="F140" s="3">
        <f t="shared" si="14"/>
        <v>40328</v>
      </c>
      <c r="G140" s="2">
        <v>0</v>
      </c>
      <c r="H140" s="5">
        <v>0</v>
      </c>
      <c r="I140" s="2" t="b">
        <v>1</v>
      </c>
      <c r="J140" s="2">
        <v>1524</v>
      </c>
      <c r="K140" s="2" t="b">
        <v>0</v>
      </c>
      <c r="L140" s="2" t="b">
        <v>0</v>
      </c>
      <c r="M140" s="2">
        <v>0</v>
      </c>
      <c r="N140" s="6">
        <v>6</v>
      </c>
      <c r="O140">
        <f t="shared" si="12"/>
        <v>564</v>
      </c>
      <c r="P140">
        <f t="shared" si="13"/>
        <v>534</v>
      </c>
      <c r="Q140" s="11">
        <f t="shared" ca="1" si="15"/>
        <v>45491</v>
      </c>
      <c r="R140" s="11">
        <f t="shared" ca="1" si="16"/>
        <v>45521</v>
      </c>
    </row>
    <row r="141" spans="1:18" x14ac:dyDescent="0.25">
      <c r="A141" s="2">
        <v>2522</v>
      </c>
      <c r="B141" s="8">
        <v>1961</v>
      </c>
      <c r="C141" s="3">
        <v>40302</v>
      </c>
      <c r="D141" s="4" t="s">
        <v>10</v>
      </c>
      <c r="E141" s="2">
        <v>0</v>
      </c>
      <c r="F141" s="3">
        <f t="shared" si="14"/>
        <v>40332</v>
      </c>
      <c r="G141" s="2">
        <v>0</v>
      </c>
      <c r="H141" s="5">
        <v>0</v>
      </c>
      <c r="I141" s="2" t="b">
        <v>1</v>
      </c>
      <c r="J141" s="2">
        <v>1524</v>
      </c>
      <c r="K141" s="2" t="b">
        <v>0</v>
      </c>
      <c r="L141" s="2" t="b">
        <v>0</v>
      </c>
      <c r="M141" s="2">
        <v>0</v>
      </c>
      <c r="N141" s="6">
        <v>6</v>
      </c>
      <c r="O141">
        <f t="shared" si="12"/>
        <v>560</v>
      </c>
      <c r="P141">
        <f t="shared" si="13"/>
        <v>530</v>
      </c>
      <c r="Q141" s="11">
        <f t="shared" ca="1" si="15"/>
        <v>45495</v>
      </c>
      <c r="R141" s="11">
        <f t="shared" ca="1" si="16"/>
        <v>45525</v>
      </c>
    </row>
    <row r="142" spans="1:18" x14ac:dyDescent="0.25">
      <c r="A142" s="2">
        <v>2523</v>
      </c>
      <c r="B142" s="8">
        <v>2005</v>
      </c>
      <c r="C142" s="3">
        <v>40302</v>
      </c>
      <c r="D142" s="4" t="s">
        <v>10</v>
      </c>
      <c r="E142" s="2">
        <v>0</v>
      </c>
      <c r="F142" s="3">
        <f t="shared" si="14"/>
        <v>40332</v>
      </c>
      <c r="G142" s="2">
        <v>17</v>
      </c>
      <c r="H142" s="5">
        <v>0</v>
      </c>
      <c r="I142" s="2" t="b">
        <v>1</v>
      </c>
      <c r="J142" s="2">
        <v>1524</v>
      </c>
      <c r="K142" s="2" t="b">
        <v>1</v>
      </c>
      <c r="L142" s="2" t="b">
        <v>0</v>
      </c>
      <c r="M142" s="2">
        <v>0</v>
      </c>
      <c r="N142" s="6">
        <v>6</v>
      </c>
      <c r="O142">
        <f t="shared" si="12"/>
        <v>560</v>
      </c>
      <c r="P142">
        <f t="shared" si="13"/>
        <v>530</v>
      </c>
      <c r="Q142" s="11">
        <f t="shared" ca="1" si="15"/>
        <v>45495</v>
      </c>
      <c r="R142" s="11">
        <f t="shared" ca="1" si="16"/>
        <v>45525</v>
      </c>
    </row>
    <row r="143" spans="1:18" x14ac:dyDescent="0.25">
      <c r="A143" s="2">
        <v>2524</v>
      </c>
      <c r="B143" s="8">
        <v>2320</v>
      </c>
      <c r="C143" s="3">
        <v>40319</v>
      </c>
      <c r="D143" s="4" t="s">
        <v>10</v>
      </c>
      <c r="E143" s="2">
        <v>0</v>
      </c>
      <c r="F143" s="3">
        <f t="shared" si="14"/>
        <v>40349</v>
      </c>
      <c r="G143" s="2">
        <v>0</v>
      </c>
      <c r="H143" s="5">
        <v>0</v>
      </c>
      <c r="I143" s="2" t="b">
        <v>1</v>
      </c>
      <c r="J143" s="2">
        <v>1524</v>
      </c>
      <c r="K143" s="2" t="b">
        <v>0</v>
      </c>
      <c r="L143" s="2" t="b">
        <v>0</v>
      </c>
      <c r="M143" s="2">
        <v>0</v>
      </c>
      <c r="N143" s="6">
        <v>6</v>
      </c>
      <c r="O143">
        <f t="shared" si="12"/>
        <v>543</v>
      </c>
      <c r="P143">
        <f t="shared" si="13"/>
        <v>513</v>
      </c>
      <c r="Q143" s="11">
        <f t="shared" ca="1" si="15"/>
        <v>45512</v>
      </c>
      <c r="R143" s="11">
        <f t="shared" ca="1" si="16"/>
        <v>45542</v>
      </c>
    </row>
    <row r="144" spans="1:18" x14ac:dyDescent="0.25">
      <c r="A144" s="2">
        <v>2525</v>
      </c>
      <c r="B144" s="8">
        <v>2334</v>
      </c>
      <c r="C144" s="3">
        <v>40320</v>
      </c>
      <c r="D144" s="4" t="s">
        <v>10</v>
      </c>
      <c r="E144" s="2">
        <v>4436.3</v>
      </c>
      <c r="F144" s="3">
        <f t="shared" si="14"/>
        <v>40350</v>
      </c>
      <c r="G144" s="2">
        <v>0</v>
      </c>
      <c r="H144" s="5">
        <v>0</v>
      </c>
      <c r="I144" s="2" t="b">
        <v>1</v>
      </c>
      <c r="J144" s="2">
        <v>1524</v>
      </c>
      <c r="K144" s="2" t="b">
        <v>1</v>
      </c>
      <c r="L144" s="2" t="b">
        <v>0</v>
      </c>
      <c r="M144" s="2">
        <v>0</v>
      </c>
      <c r="N144" s="6">
        <v>6</v>
      </c>
      <c r="O144">
        <f t="shared" si="12"/>
        <v>542</v>
      </c>
      <c r="P144">
        <f t="shared" si="13"/>
        <v>512</v>
      </c>
      <c r="Q144" s="11">
        <f t="shared" ca="1" si="15"/>
        <v>45513</v>
      </c>
      <c r="R144" s="11">
        <f t="shared" ca="1" si="16"/>
        <v>45543</v>
      </c>
    </row>
    <row r="145" spans="1:18" x14ac:dyDescent="0.25">
      <c r="A145" s="2">
        <v>2526</v>
      </c>
      <c r="B145" s="8">
        <v>2488</v>
      </c>
      <c r="C145" s="3">
        <v>40324</v>
      </c>
      <c r="D145" s="4" t="s">
        <v>10</v>
      </c>
      <c r="E145" s="2">
        <v>0</v>
      </c>
      <c r="F145" s="3">
        <f t="shared" si="14"/>
        <v>40354</v>
      </c>
      <c r="G145" s="2">
        <v>0</v>
      </c>
      <c r="H145" s="5">
        <v>0</v>
      </c>
      <c r="I145" s="2" t="b">
        <v>1</v>
      </c>
      <c r="J145" s="2">
        <v>1524</v>
      </c>
      <c r="K145" s="2" t="b">
        <v>0</v>
      </c>
      <c r="L145" s="2" t="b">
        <v>0</v>
      </c>
      <c r="M145" s="2">
        <v>0</v>
      </c>
      <c r="N145" s="6">
        <v>6</v>
      </c>
      <c r="O145">
        <f t="shared" si="12"/>
        <v>538</v>
      </c>
      <c r="P145">
        <f t="shared" si="13"/>
        <v>508</v>
      </c>
      <c r="Q145" s="11">
        <f t="shared" ca="1" si="15"/>
        <v>45517</v>
      </c>
      <c r="R145" s="11">
        <f t="shared" ca="1" si="16"/>
        <v>45547</v>
      </c>
    </row>
    <row r="146" spans="1:18" x14ac:dyDescent="0.25">
      <c r="A146" s="2">
        <v>2527</v>
      </c>
      <c r="B146" s="8">
        <v>2782</v>
      </c>
      <c r="C146" s="3">
        <v>40324</v>
      </c>
      <c r="D146" s="4" t="s">
        <v>10</v>
      </c>
      <c r="E146" s="2">
        <v>0</v>
      </c>
      <c r="F146" s="3">
        <f t="shared" si="14"/>
        <v>40354</v>
      </c>
      <c r="G146" s="2">
        <v>0</v>
      </c>
      <c r="H146" s="5">
        <v>0</v>
      </c>
      <c r="I146" s="2" t="b">
        <v>1</v>
      </c>
      <c r="J146" s="2">
        <v>1524</v>
      </c>
      <c r="K146" s="2" t="b">
        <v>1</v>
      </c>
      <c r="L146" s="2" t="b">
        <v>0</v>
      </c>
      <c r="M146" s="2">
        <v>0</v>
      </c>
      <c r="N146" s="6">
        <v>6</v>
      </c>
      <c r="O146">
        <f t="shared" si="12"/>
        <v>538</v>
      </c>
      <c r="P146">
        <f t="shared" si="13"/>
        <v>508</v>
      </c>
      <c r="Q146" s="11">
        <f t="shared" ca="1" si="15"/>
        <v>45517</v>
      </c>
      <c r="R146" s="11">
        <f t="shared" ca="1" si="16"/>
        <v>45547</v>
      </c>
    </row>
    <row r="147" spans="1:18" x14ac:dyDescent="0.25">
      <c r="A147" s="2">
        <v>2528</v>
      </c>
      <c r="B147" s="2">
        <v>2913</v>
      </c>
      <c r="C147" s="3">
        <v>40324</v>
      </c>
      <c r="D147" s="4" t="s">
        <v>10</v>
      </c>
      <c r="E147" s="2">
        <v>0</v>
      </c>
      <c r="F147" s="3">
        <f t="shared" si="14"/>
        <v>40354</v>
      </c>
      <c r="G147" s="2">
        <v>0</v>
      </c>
      <c r="H147" s="5">
        <v>0.1</v>
      </c>
      <c r="I147" s="2" t="b">
        <v>1</v>
      </c>
      <c r="J147" s="2">
        <v>1524</v>
      </c>
      <c r="K147" s="2" t="b">
        <v>0</v>
      </c>
      <c r="L147" s="2" t="b">
        <v>0</v>
      </c>
      <c r="M147" s="2">
        <v>0</v>
      </c>
      <c r="N147" s="6">
        <v>6</v>
      </c>
      <c r="O147">
        <f t="shared" si="12"/>
        <v>538</v>
      </c>
      <c r="P147">
        <f t="shared" si="13"/>
        <v>508</v>
      </c>
      <c r="Q147" s="11">
        <f t="shared" ca="1" si="15"/>
        <v>45517</v>
      </c>
      <c r="R147" s="11">
        <f t="shared" ca="1" si="16"/>
        <v>45547</v>
      </c>
    </row>
    <row r="148" spans="1:18" x14ac:dyDescent="0.25">
      <c r="A148" s="2">
        <v>2529</v>
      </c>
      <c r="B148" s="2">
        <v>3007</v>
      </c>
      <c r="C148" s="3">
        <v>40330</v>
      </c>
      <c r="D148" s="4" t="s">
        <v>10</v>
      </c>
      <c r="E148" s="2">
        <v>0</v>
      </c>
      <c r="F148" s="3">
        <f t="shared" si="14"/>
        <v>40360</v>
      </c>
      <c r="G148" s="2">
        <v>0</v>
      </c>
      <c r="H148" s="5">
        <v>0</v>
      </c>
      <c r="I148" s="2" t="b">
        <v>1</v>
      </c>
      <c r="J148" s="2">
        <v>1524</v>
      </c>
      <c r="K148" s="2" t="b">
        <v>0</v>
      </c>
      <c r="L148" s="2" t="b">
        <v>0</v>
      </c>
      <c r="M148" s="2">
        <v>0</v>
      </c>
      <c r="N148" s="6">
        <v>6</v>
      </c>
      <c r="O148">
        <f t="shared" si="12"/>
        <v>532</v>
      </c>
      <c r="P148">
        <f t="shared" si="13"/>
        <v>502</v>
      </c>
      <c r="Q148" s="11">
        <f t="shared" ca="1" si="15"/>
        <v>45523</v>
      </c>
      <c r="R148" s="11">
        <f t="shared" ca="1" si="16"/>
        <v>45553</v>
      </c>
    </row>
    <row r="149" spans="1:18" x14ac:dyDescent="0.25">
      <c r="A149" s="2">
        <v>2530</v>
      </c>
      <c r="B149" s="2">
        <v>933</v>
      </c>
      <c r="C149" s="3">
        <v>40336</v>
      </c>
      <c r="D149" s="4" t="s">
        <v>10</v>
      </c>
      <c r="E149" s="2">
        <v>0</v>
      </c>
      <c r="F149" s="3">
        <f t="shared" si="14"/>
        <v>40366</v>
      </c>
      <c r="G149" s="2">
        <v>0</v>
      </c>
      <c r="H149" s="5">
        <v>0</v>
      </c>
      <c r="I149" s="2" t="b">
        <v>1</v>
      </c>
      <c r="J149" s="2">
        <v>1524</v>
      </c>
      <c r="K149" s="2" t="b">
        <v>0</v>
      </c>
      <c r="L149" s="2" t="b">
        <v>0</v>
      </c>
      <c r="M149" s="2">
        <v>0</v>
      </c>
      <c r="N149" s="6">
        <v>6</v>
      </c>
      <c r="O149">
        <f t="shared" si="12"/>
        <v>526</v>
      </c>
      <c r="P149">
        <f t="shared" si="13"/>
        <v>496</v>
      </c>
      <c r="Q149" s="11">
        <f t="shared" ca="1" si="15"/>
        <v>45529</v>
      </c>
      <c r="R149" s="11">
        <f t="shared" ca="1" si="16"/>
        <v>45559</v>
      </c>
    </row>
    <row r="150" spans="1:18" x14ac:dyDescent="0.25">
      <c r="A150" s="2">
        <v>2531</v>
      </c>
      <c r="B150" s="2">
        <v>2952</v>
      </c>
      <c r="C150" s="3">
        <v>40337</v>
      </c>
      <c r="D150" s="4" t="s">
        <v>10</v>
      </c>
      <c r="E150" s="2">
        <v>0</v>
      </c>
      <c r="F150" s="3">
        <f t="shared" si="14"/>
        <v>40367</v>
      </c>
      <c r="G150" s="2">
        <v>0</v>
      </c>
      <c r="H150" s="5">
        <v>0</v>
      </c>
      <c r="I150" s="2" t="b">
        <v>1</v>
      </c>
      <c r="J150" s="2">
        <v>1524</v>
      </c>
      <c r="K150" s="2" t="b">
        <v>0</v>
      </c>
      <c r="L150" s="2" t="b">
        <v>0</v>
      </c>
      <c r="M150" s="2">
        <v>0</v>
      </c>
      <c r="N150" s="6">
        <v>6</v>
      </c>
      <c r="O150">
        <f t="shared" si="12"/>
        <v>525</v>
      </c>
      <c r="P150">
        <f t="shared" si="13"/>
        <v>495</v>
      </c>
      <c r="Q150" s="11">
        <f t="shared" ca="1" si="15"/>
        <v>45530</v>
      </c>
      <c r="R150" s="11">
        <f t="shared" ca="1" si="16"/>
        <v>45560</v>
      </c>
    </row>
    <row r="151" spans="1:18" x14ac:dyDescent="0.25">
      <c r="A151" s="2">
        <v>2532</v>
      </c>
      <c r="B151" s="2">
        <v>3657</v>
      </c>
      <c r="C151" s="3">
        <v>40338</v>
      </c>
      <c r="D151" s="4" t="s">
        <v>10</v>
      </c>
      <c r="E151" s="2">
        <v>0</v>
      </c>
      <c r="F151" s="3">
        <f t="shared" si="14"/>
        <v>40368</v>
      </c>
      <c r="G151" s="2">
        <v>46</v>
      </c>
      <c r="H151" s="5">
        <v>0</v>
      </c>
      <c r="I151" s="2" t="b">
        <v>1</v>
      </c>
      <c r="J151" s="2">
        <v>1524</v>
      </c>
      <c r="K151" s="2" t="b">
        <v>0</v>
      </c>
      <c r="L151" s="2" t="b">
        <v>0</v>
      </c>
      <c r="M151" s="2">
        <v>0</v>
      </c>
      <c r="N151" s="6">
        <v>6</v>
      </c>
      <c r="O151">
        <f t="shared" ref="O151:O214" si="17">DATEDIF(C151,DateFin,"d")</f>
        <v>524</v>
      </c>
      <c r="P151">
        <f t="shared" ref="P151:P214" si="18">DATEDIF(F151,DateFin,"d")</f>
        <v>494</v>
      </c>
      <c r="Q151" s="11">
        <f t="shared" ca="1" si="15"/>
        <v>45531</v>
      </c>
      <c r="R151" s="11">
        <f t="shared" ca="1" si="16"/>
        <v>45561</v>
      </c>
    </row>
    <row r="152" spans="1:18" x14ac:dyDescent="0.25">
      <c r="A152" s="2">
        <v>2533</v>
      </c>
      <c r="B152" s="2">
        <v>2646</v>
      </c>
      <c r="C152" s="3">
        <v>40347</v>
      </c>
      <c r="D152" s="4" t="s">
        <v>10</v>
      </c>
      <c r="E152" s="2">
        <v>0</v>
      </c>
      <c r="F152" s="3">
        <f t="shared" ref="F152:F215" si="19">C152+30</f>
        <v>40377</v>
      </c>
      <c r="G152" s="2">
        <v>0</v>
      </c>
      <c r="H152" s="5">
        <v>0</v>
      </c>
      <c r="I152" s="2" t="b">
        <v>1</v>
      </c>
      <c r="J152" s="2">
        <v>640</v>
      </c>
      <c r="K152" s="2" t="b">
        <v>1</v>
      </c>
      <c r="L152" s="2" t="b">
        <v>0</v>
      </c>
      <c r="M152" s="2">
        <v>0</v>
      </c>
      <c r="N152" s="6">
        <v>6</v>
      </c>
      <c r="O152">
        <f t="shared" si="17"/>
        <v>515</v>
      </c>
      <c r="P152">
        <f t="shared" si="18"/>
        <v>485</v>
      </c>
      <c r="Q152" s="11">
        <f t="shared" ref="Q152:Q215" ca="1" si="20">TODAY()-O152</f>
        <v>45540</v>
      </c>
      <c r="R152" s="11">
        <f t="shared" ref="R152:R215" ca="1" si="21">TODAY()-P152</f>
        <v>45570</v>
      </c>
    </row>
    <row r="153" spans="1:18" x14ac:dyDescent="0.25">
      <c r="A153" s="2">
        <v>2534</v>
      </c>
      <c r="B153" s="2">
        <v>3624</v>
      </c>
      <c r="C153" s="3">
        <v>40347</v>
      </c>
      <c r="D153" s="4" t="s">
        <v>10</v>
      </c>
      <c r="E153" s="2">
        <v>0</v>
      </c>
      <c r="F153" s="3">
        <f t="shared" si="19"/>
        <v>40377</v>
      </c>
      <c r="G153" s="2">
        <v>0</v>
      </c>
      <c r="H153" s="5">
        <v>0</v>
      </c>
      <c r="I153" s="2" t="b">
        <v>1</v>
      </c>
      <c r="J153" s="2">
        <v>1524</v>
      </c>
      <c r="K153" s="2" t="b">
        <v>0</v>
      </c>
      <c r="L153" s="2" t="b">
        <v>0</v>
      </c>
      <c r="M153" s="2">
        <v>0</v>
      </c>
      <c r="N153" s="6">
        <v>6</v>
      </c>
      <c r="O153">
        <f t="shared" si="17"/>
        <v>515</v>
      </c>
      <c r="P153">
        <f t="shared" si="18"/>
        <v>485</v>
      </c>
      <c r="Q153" s="11">
        <f t="shared" ca="1" si="20"/>
        <v>45540</v>
      </c>
      <c r="R153" s="11">
        <f t="shared" ca="1" si="21"/>
        <v>45570</v>
      </c>
    </row>
    <row r="154" spans="1:18" x14ac:dyDescent="0.25">
      <c r="A154" s="2">
        <v>2535</v>
      </c>
      <c r="B154" s="2">
        <v>3686</v>
      </c>
      <c r="C154" s="3">
        <v>40357</v>
      </c>
      <c r="D154" s="4" t="s">
        <v>10</v>
      </c>
      <c r="E154" s="2">
        <v>0</v>
      </c>
      <c r="F154" s="3">
        <f t="shared" si="19"/>
        <v>40387</v>
      </c>
      <c r="G154" s="2">
        <v>0</v>
      </c>
      <c r="H154" s="5">
        <v>0.2</v>
      </c>
      <c r="I154" s="2" t="b">
        <v>1</v>
      </c>
      <c r="J154" s="2">
        <v>1524</v>
      </c>
      <c r="K154" s="2" t="b">
        <v>0</v>
      </c>
      <c r="L154" s="2" t="b">
        <v>0</v>
      </c>
      <c r="M154" s="2">
        <v>0</v>
      </c>
      <c r="N154" s="6">
        <v>6</v>
      </c>
      <c r="O154">
        <f t="shared" si="17"/>
        <v>505</v>
      </c>
      <c r="P154">
        <f t="shared" si="18"/>
        <v>475</v>
      </c>
      <c r="Q154" s="11">
        <f t="shared" ca="1" si="20"/>
        <v>45550</v>
      </c>
      <c r="R154" s="11">
        <f t="shared" ca="1" si="21"/>
        <v>45580</v>
      </c>
    </row>
    <row r="155" spans="1:18" x14ac:dyDescent="0.25">
      <c r="A155" s="2">
        <v>2536</v>
      </c>
      <c r="B155" s="2">
        <v>3686</v>
      </c>
      <c r="C155" s="3">
        <v>40357</v>
      </c>
      <c r="D155" s="4" t="s">
        <v>10</v>
      </c>
      <c r="E155" s="2">
        <v>0</v>
      </c>
      <c r="F155" s="3">
        <f t="shared" si="19"/>
        <v>40387</v>
      </c>
      <c r="G155" s="2">
        <v>0</v>
      </c>
      <c r="H155" s="5">
        <v>0</v>
      </c>
      <c r="I155" s="2" t="b">
        <v>1</v>
      </c>
      <c r="J155" s="2">
        <v>1524</v>
      </c>
      <c r="K155" s="2" t="b">
        <v>0</v>
      </c>
      <c r="L155" s="2" t="b">
        <v>0</v>
      </c>
      <c r="M155" s="2">
        <v>0</v>
      </c>
      <c r="N155" s="6">
        <v>6</v>
      </c>
      <c r="O155">
        <f t="shared" si="17"/>
        <v>505</v>
      </c>
      <c r="P155">
        <f t="shared" si="18"/>
        <v>475</v>
      </c>
      <c r="Q155" s="11">
        <f t="shared" ca="1" si="20"/>
        <v>45550</v>
      </c>
      <c r="R155" s="11">
        <f t="shared" ca="1" si="21"/>
        <v>45580</v>
      </c>
    </row>
    <row r="156" spans="1:18" x14ac:dyDescent="0.25">
      <c r="A156" s="2">
        <v>2537</v>
      </c>
      <c r="B156" s="2">
        <v>1277</v>
      </c>
      <c r="C156" s="3">
        <v>40359</v>
      </c>
      <c r="D156" s="4" t="s">
        <v>10</v>
      </c>
      <c r="E156" s="2">
        <v>0</v>
      </c>
      <c r="F156" s="3">
        <f t="shared" si="19"/>
        <v>40389</v>
      </c>
      <c r="G156" s="2">
        <v>0</v>
      </c>
      <c r="H156" s="5">
        <v>0.1</v>
      </c>
      <c r="I156" s="2" t="b">
        <v>1</v>
      </c>
      <c r="J156" s="2">
        <v>1524</v>
      </c>
      <c r="K156" s="2" t="b">
        <v>1</v>
      </c>
      <c r="L156" s="2" t="b">
        <v>0</v>
      </c>
      <c r="M156" s="2">
        <v>0</v>
      </c>
      <c r="N156" s="6">
        <v>6</v>
      </c>
      <c r="O156">
        <f t="shared" si="17"/>
        <v>503</v>
      </c>
      <c r="P156">
        <f t="shared" si="18"/>
        <v>473</v>
      </c>
      <c r="Q156" s="11">
        <f t="shared" ca="1" si="20"/>
        <v>45552</v>
      </c>
      <c r="R156" s="11">
        <f t="shared" ca="1" si="21"/>
        <v>45582</v>
      </c>
    </row>
    <row r="157" spans="1:18" x14ac:dyDescent="0.25">
      <c r="A157" s="2">
        <v>2538</v>
      </c>
      <c r="B157" s="2">
        <v>2928</v>
      </c>
      <c r="C157" s="3">
        <v>40359</v>
      </c>
      <c r="D157" s="4" t="s">
        <v>10</v>
      </c>
      <c r="E157" s="2">
        <v>0</v>
      </c>
      <c r="F157" s="3">
        <f t="shared" si="19"/>
        <v>40389</v>
      </c>
      <c r="G157" s="2">
        <v>0</v>
      </c>
      <c r="H157" s="5">
        <v>0</v>
      </c>
      <c r="I157" s="2" t="b">
        <v>1</v>
      </c>
      <c r="J157" s="2">
        <v>1524</v>
      </c>
      <c r="K157" s="2" t="b">
        <v>1</v>
      </c>
      <c r="L157" s="2" t="b">
        <v>0</v>
      </c>
      <c r="M157" s="2">
        <v>0</v>
      </c>
      <c r="N157" s="6">
        <v>6</v>
      </c>
      <c r="O157">
        <f t="shared" si="17"/>
        <v>503</v>
      </c>
      <c r="P157">
        <f t="shared" si="18"/>
        <v>473</v>
      </c>
      <c r="Q157" s="11">
        <f t="shared" ca="1" si="20"/>
        <v>45552</v>
      </c>
      <c r="R157" s="11">
        <f t="shared" ca="1" si="21"/>
        <v>45582</v>
      </c>
    </row>
    <row r="158" spans="1:18" x14ac:dyDescent="0.25">
      <c r="A158" s="2">
        <v>2539</v>
      </c>
      <c r="B158" s="2">
        <v>2937</v>
      </c>
      <c r="C158" s="3">
        <v>40359</v>
      </c>
      <c r="D158" s="4" t="s">
        <v>10</v>
      </c>
      <c r="E158" s="2">
        <v>0</v>
      </c>
      <c r="F158" s="3">
        <f t="shared" si="19"/>
        <v>40389</v>
      </c>
      <c r="G158" s="2">
        <v>0</v>
      </c>
      <c r="H158" s="5">
        <v>0</v>
      </c>
      <c r="I158" s="2" t="b">
        <v>1</v>
      </c>
      <c r="J158" s="2">
        <v>1524</v>
      </c>
      <c r="K158" s="2" t="b">
        <v>1</v>
      </c>
      <c r="L158" s="2" t="b">
        <v>0</v>
      </c>
      <c r="M158" s="2">
        <v>0</v>
      </c>
      <c r="N158" s="6">
        <v>6</v>
      </c>
      <c r="O158">
        <f t="shared" si="17"/>
        <v>503</v>
      </c>
      <c r="P158">
        <f t="shared" si="18"/>
        <v>473</v>
      </c>
      <c r="Q158" s="11">
        <f t="shared" ca="1" si="20"/>
        <v>45552</v>
      </c>
      <c r="R158" s="11">
        <f t="shared" ca="1" si="21"/>
        <v>45582</v>
      </c>
    </row>
    <row r="159" spans="1:18" x14ac:dyDescent="0.25">
      <c r="A159" s="2">
        <v>2540</v>
      </c>
      <c r="B159" s="2">
        <v>3686</v>
      </c>
      <c r="C159" s="3">
        <v>40359</v>
      </c>
      <c r="D159" s="4" t="s">
        <v>10</v>
      </c>
      <c r="E159" s="2">
        <v>0</v>
      </c>
      <c r="F159" s="3">
        <f t="shared" si="19"/>
        <v>40389</v>
      </c>
      <c r="G159" s="2">
        <v>75</v>
      </c>
      <c r="H159" s="5">
        <v>0.2</v>
      </c>
      <c r="I159" s="2" t="b">
        <v>1</v>
      </c>
      <c r="J159" s="2">
        <v>1524</v>
      </c>
      <c r="K159" s="2" t="b">
        <v>1</v>
      </c>
      <c r="L159" s="2" t="b">
        <v>0</v>
      </c>
      <c r="M159" s="2">
        <v>0</v>
      </c>
      <c r="N159" s="6">
        <v>6</v>
      </c>
      <c r="O159">
        <f t="shared" si="17"/>
        <v>503</v>
      </c>
      <c r="P159">
        <f t="shared" si="18"/>
        <v>473</v>
      </c>
      <c r="Q159" s="11">
        <f t="shared" ca="1" si="20"/>
        <v>45552</v>
      </c>
      <c r="R159" s="11">
        <f t="shared" ca="1" si="21"/>
        <v>45582</v>
      </c>
    </row>
    <row r="160" spans="1:18" x14ac:dyDescent="0.25">
      <c r="A160" s="2">
        <v>2541</v>
      </c>
      <c r="B160" s="2">
        <v>1745</v>
      </c>
      <c r="C160" s="3">
        <v>40359</v>
      </c>
      <c r="D160" s="4" t="s">
        <v>10</v>
      </c>
      <c r="E160" s="2">
        <v>0</v>
      </c>
      <c r="F160" s="3">
        <f t="shared" si="19"/>
        <v>40389</v>
      </c>
      <c r="G160" s="2">
        <v>50</v>
      </c>
      <c r="H160" s="5">
        <v>0</v>
      </c>
      <c r="I160" s="2" t="b">
        <v>1</v>
      </c>
      <c r="J160" s="2">
        <v>1524</v>
      </c>
      <c r="K160" s="2" t="b">
        <v>1</v>
      </c>
      <c r="L160" s="2" t="b">
        <v>0</v>
      </c>
      <c r="M160" s="2">
        <v>0</v>
      </c>
      <c r="N160" s="6">
        <v>6</v>
      </c>
      <c r="O160">
        <f t="shared" si="17"/>
        <v>503</v>
      </c>
      <c r="P160">
        <f t="shared" si="18"/>
        <v>473</v>
      </c>
      <c r="Q160" s="11">
        <f t="shared" ca="1" si="20"/>
        <v>45552</v>
      </c>
      <c r="R160" s="11">
        <f t="shared" ca="1" si="21"/>
        <v>45582</v>
      </c>
    </row>
    <row r="161" spans="1:18" x14ac:dyDescent="0.25">
      <c r="A161" s="2">
        <v>2542</v>
      </c>
      <c r="B161" s="2">
        <v>3686</v>
      </c>
      <c r="C161" s="3">
        <v>40359</v>
      </c>
      <c r="D161" s="4" t="s">
        <v>10</v>
      </c>
      <c r="E161" s="2">
        <v>0</v>
      </c>
      <c r="F161" s="3">
        <f t="shared" si="19"/>
        <v>40389</v>
      </c>
      <c r="G161" s="2">
        <v>0</v>
      </c>
      <c r="H161" s="5">
        <v>0</v>
      </c>
      <c r="I161" s="2" t="b">
        <v>1</v>
      </c>
      <c r="J161" s="2">
        <v>1524</v>
      </c>
      <c r="K161" s="2" t="b">
        <v>1</v>
      </c>
      <c r="L161" s="2" t="b">
        <v>0</v>
      </c>
      <c r="M161" s="2">
        <v>0</v>
      </c>
      <c r="N161" s="6">
        <v>6</v>
      </c>
      <c r="O161">
        <f t="shared" si="17"/>
        <v>503</v>
      </c>
      <c r="P161">
        <f t="shared" si="18"/>
        <v>473</v>
      </c>
      <c r="Q161" s="11">
        <f t="shared" ca="1" si="20"/>
        <v>45552</v>
      </c>
      <c r="R161" s="11">
        <f t="shared" ca="1" si="21"/>
        <v>45582</v>
      </c>
    </row>
    <row r="162" spans="1:18" x14ac:dyDescent="0.25">
      <c r="A162" s="2">
        <v>2543</v>
      </c>
      <c r="B162" s="2">
        <v>3685</v>
      </c>
      <c r="C162" s="3">
        <v>40359</v>
      </c>
      <c r="D162" s="4" t="s">
        <v>10</v>
      </c>
      <c r="E162" s="2">
        <v>0</v>
      </c>
      <c r="F162" s="3">
        <f t="shared" si="19"/>
        <v>40389</v>
      </c>
      <c r="G162" s="2">
        <v>0</v>
      </c>
      <c r="H162" s="5">
        <v>0</v>
      </c>
      <c r="I162" s="2" t="b">
        <v>1</v>
      </c>
      <c r="J162" s="2">
        <v>1524</v>
      </c>
      <c r="K162" s="2" t="b">
        <v>1</v>
      </c>
      <c r="L162" s="2" t="b">
        <v>0</v>
      </c>
      <c r="M162" s="2">
        <v>0</v>
      </c>
      <c r="N162" s="6">
        <v>6</v>
      </c>
      <c r="O162">
        <f t="shared" si="17"/>
        <v>503</v>
      </c>
      <c r="P162">
        <f t="shared" si="18"/>
        <v>473</v>
      </c>
      <c r="Q162" s="11">
        <f t="shared" ca="1" si="20"/>
        <v>45552</v>
      </c>
      <c r="R162" s="11">
        <f t="shared" ca="1" si="21"/>
        <v>45582</v>
      </c>
    </row>
    <row r="163" spans="1:18" x14ac:dyDescent="0.25">
      <c r="A163" s="2">
        <v>2544</v>
      </c>
      <c r="B163" s="2">
        <v>3687</v>
      </c>
      <c r="C163" s="3">
        <v>40330</v>
      </c>
      <c r="D163" s="4" t="s">
        <v>10</v>
      </c>
      <c r="E163" s="2">
        <v>0</v>
      </c>
      <c r="F163" s="3">
        <f t="shared" si="19"/>
        <v>40360</v>
      </c>
      <c r="G163" s="2">
        <v>0</v>
      </c>
      <c r="H163" s="5">
        <v>0</v>
      </c>
      <c r="I163" s="2" t="b">
        <v>0</v>
      </c>
      <c r="J163" s="2">
        <v>1524</v>
      </c>
      <c r="K163" s="2" t="b">
        <v>0</v>
      </c>
      <c r="L163" s="2" t="b">
        <v>0</v>
      </c>
      <c r="M163" s="2">
        <v>0</v>
      </c>
      <c r="N163" s="6">
        <v>6</v>
      </c>
      <c r="O163">
        <f t="shared" si="17"/>
        <v>532</v>
      </c>
      <c r="P163">
        <f t="shared" si="18"/>
        <v>502</v>
      </c>
      <c r="Q163" s="11">
        <f t="shared" ca="1" si="20"/>
        <v>45523</v>
      </c>
      <c r="R163" s="11">
        <f t="shared" ca="1" si="21"/>
        <v>45553</v>
      </c>
    </row>
    <row r="164" spans="1:18" x14ac:dyDescent="0.25">
      <c r="A164" s="2">
        <v>2545</v>
      </c>
      <c r="B164">
        <v>3686</v>
      </c>
      <c r="C164" s="11">
        <v>40337</v>
      </c>
      <c r="D164" t="s">
        <v>10</v>
      </c>
      <c r="E164">
        <v>0</v>
      </c>
      <c r="F164" s="3">
        <f t="shared" si="19"/>
        <v>40367</v>
      </c>
      <c r="G164">
        <v>0</v>
      </c>
      <c r="H164">
        <v>0.3</v>
      </c>
      <c r="I164" t="b">
        <v>1</v>
      </c>
      <c r="J164">
        <v>1524</v>
      </c>
      <c r="K164" t="b">
        <v>0</v>
      </c>
      <c r="L164" t="b">
        <v>0</v>
      </c>
      <c r="M164">
        <v>0</v>
      </c>
      <c r="N164">
        <v>6</v>
      </c>
      <c r="O164">
        <f t="shared" si="17"/>
        <v>525</v>
      </c>
      <c r="P164">
        <f t="shared" si="18"/>
        <v>495</v>
      </c>
      <c r="Q164" s="11">
        <f t="shared" ca="1" si="20"/>
        <v>45530</v>
      </c>
      <c r="R164" s="11">
        <f t="shared" ca="1" si="21"/>
        <v>45560</v>
      </c>
    </row>
    <row r="165" spans="1:18" x14ac:dyDescent="0.25">
      <c r="A165" s="2">
        <v>2546</v>
      </c>
      <c r="B165">
        <v>3686</v>
      </c>
      <c r="C165" s="11">
        <v>40344</v>
      </c>
      <c r="D165" t="s">
        <v>10</v>
      </c>
      <c r="E165">
        <v>0</v>
      </c>
      <c r="F165" s="3">
        <f t="shared" si="19"/>
        <v>40374</v>
      </c>
      <c r="G165">
        <v>0</v>
      </c>
      <c r="H165">
        <v>0</v>
      </c>
      <c r="I165" t="b">
        <v>1</v>
      </c>
      <c r="J165">
        <v>1524</v>
      </c>
      <c r="K165" t="b">
        <v>0</v>
      </c>
      <c r="L165" t="b">
        <v>0</v>
      </c>
      <c r="M165">
        <v>0</v>
      </c>
      <c r="N165">
        <v>6</v>
      </c>
      <c r="O165">
        <f t="shared" si="17"/>
        <v>518</v>
      </c>
      <c r="P165">
        <f t="shared" si="18"/>
        <v>488</v>
      </c>
      <c r="Q165" s="11">
        <f t="shared" ca="1" si="20"/>
        <v>45537</v>
      </c>
      <c r="R165" s="11">
        <f t="shared" ca="1" si="21"/>
        <v>45567</v>
      </c>
    </row>
    <row r="166" spans="1:18" x14ac:dyDescent="0.25">
      <c r="A166" s="2">
        <v>2547</v>
      </c>
      <c r="B166">
        <v>3688</v>
      </c>
      <c r="C166" s="11">
        <v>40351</v>
      </c>
      <c r="D166" t="s">
        <v>10</v>
      </c>
      <c r="E166">
        <v>0</v>
      </c>
      <c r="F166" s="3">
        <f t="shared" si="19"/>
        <v>40381</v>
      </c>
      <c r="G166">
        <v>450</v>
      </c>
      <c r="H166">
        <v>0.3</v>
      </c>
      <c r="I166" t="b">
        <v>1</v>
      </c>
      <c r="J166">
        <v>1524</v>
      </c>
      <c r="K166" t="b">
        <v>0</v>
      </c>
      <c r="L166" t="b">
        <v>0</v>
      </c>
      <c r="M166">
        <v>0</v>
      </c>
      <c r="N166">
        <v>6</v>
      </c>
      <c r="O166">
        <f t="shared" si="17"/>
        <v>511</v>
      </c>
      <c r="P166">
        <f t="shared" si="18"/>
        <v>481</v>
      </c>
      <c r="Q166" s="11">
        <f t="shared" ca="1" si="20"/>
        <v>45544</v>
      </c>
      <c r="R166" s="11">
        <f t="shared" ca="1" si="21"/>
        <v>45574</v>
      </c>
    </row>
    <row r="167" spans="1:18" x14ac:dyDescent="0.25">
      <c r="A167" s="2">
        <v>2548</v>
      </c>
      <c r="B167">
        <v>2771</v>
      </c>
      <c r="C167" s="11">
        <v>40358</v>
      </c>
      <c r="D167" t="s">
        <v>10</v>
      </c>
      <c r="E167">
        <v>0</v>
      </c>
      <c r="F167" s="3">
        <f t="shared" si="19"/>
        <v>40388</v>
      </c>
      <c r="G167">
        <v>58.95</v>
      </c>
      <c r="H167">
        <v>0</v>
      </c>
      <c r="I167" t="b">
        <v>1</v>
      </c>
      <c r="J167">
        <v>1524</v>
      </c>
      <c r="K167" t="b">
        <v>0</v>
      </c>
      <c r="L167" t="b">
        <v>0</v>
      </c>
      <c r="M167">
        <v>0</v>
      </c>
      <c r="N167">
        <v>6</v>
      </c>
      <c r="O167">
        <f t="shared" si="17"/>
        <v>504</v>
      </c>
      <c r="P167">
        <f t="shared" si="18"/>
        <v>474</v>
      </c>
      <c r="Q167" s="11">
        <f t="shared" ca="1" si="20"/>
        <v>45551</v>
      </c>
      <c r="R167" s="11">
        <f t="shared" ca="1" si="21"/>
        <v>45581</v>
      </c>
    </row>
    <row r="168" spans="1:18" x14ac:dyDescent="0.25">
      <c r="A168" s="2">
        <v>2549</v>
      </c>
      <c r="B168">
        <v>798</v>
      </c>
      <c r="C168" s="11">
        <v>40365</v>
      </c>
      <c r="D168" t="s">
        <v>10</v>
      </c>
      <c r="E168">
        <v>3324.5</v>
      </c>
      <c r="F168" s="3">
        <f t="shared" si="19"/>
        <v>40395</v>
      </c>
      <c r="G168">
        <v>0</v>
      </c>
      <c r="H168">
        <v>0.3</v>
      </c>
      <c r="I168" t="b">
        <v>1</v>
      </c>
      <c r="J168">
        <v>1524</v>
      </c>
      <c r="K168" t="b">
        <v>0</v>
      </c>
      <c r="L168" t="b">
        <v>0</v>
      </c>
      <c r="M168">
        <v>0</v>
      </c>
      <c r="N168">
        <v>6</v>
      </c>
      <c r="O168">
        <f t="shared" si="17"/>
        <v>497</v>
      </c>
      <c r="P168">
        <f t="shared" si="18"/>
        <v>467</v>
      </c>
      <c r="Q168" s="11">
        <f t="shared" ca="1" si="20"/>
        <v>45558</v>
      </c>
      <c r="R168" s="11">
        <f t="shared" ca="1" si="21"/>
        <v>45588</v>
      </c>
    </row>
    <row r="169" spans="1:18" x14ac:dyDescent="0.25">
      <c r="A169" s="2">
        <v>2550</v>
      </c>
      <c r="B169">
        <v>798</v>
      </c>
      <c r="C169" s="11">
        <v>40372</v>
      </c>
      <c r="D169" t="s">
        <v>10</v>
      </c>
      <c r="E169">
        <v>0</v>
      </c>
      <c r="F169" s="3">
        <f t="shared" si="19"/>
        <v>40402</v>
      </c>
      <c r="G169">
        <v>0</v>
      </c>
      <c r="H169">
        <v>0</v>
      </c>
      <c r="I169" t="b">
        <v>1</v>
      </c>
      <c r="J169">
        <v>1524</v>
      </c>
      <c r="K169" t="b">
        <v>0</v>
      </c>
      <c r="L169" t="b">
        <v>0</v>
      </c>
      <c r="M169">
        <v>0</v>
      </c>
      <c r="N169">
        <v>6</v>
      </c>
      <c r="O169">
        <f t="shared" si="17"/>
        <v>490</v>
      </c>
      <c r="P169">
        <f t="shared" si="18"/>
        <v>460</v>
      </c>
      <c r="Q169" s="11">
        <f t="shared" ca="1" si="20"/>
        <v>45565</v>
      </c>
      <c r="R169" s="11">
        <f t="shared" ca="1" si="21"/>
        <v>45595</v>
      </c>
    </row>
    <row r="170" spans="1:18" x14ac:dyDescent="0.25">
      <c r="A170" s="2">
        <v>2551</v>
      </c>
      <c r="B170">
        <v>3683</v>
      </c>
      <c r="C170" s="11">
        <v>40379</v>
      </c>
      <c r="D170" t="s">
        <v>10</v>
      </c>
      <c r="E170">
        <v>0</v>
      </c>
      <c r="F170" s="3">
        <f t="shared" si="19"/>
        <v>40409</v>
      </c>
      <c r="G170">
        <v>0</v>
      </c>
      <c r="H170">
        <v>0.15</v>
      </c>
      <c r="I170" t="b">
        <v>1</v>
      </c>
      <c r="J170">
        <v>1524</v>
      </c>
      <c r="K170" t="b">
        <v>0</v>
      </c>
      <c r="L170" t="b">
        <v>0</v>
      </c>
      <c r="M170">
        <v>0</v>
      </c>
      <c r="N170">
        <v>6</v>
      </c>
      <c r="O170">
        <f t="shared" si="17"/>
        <v>483</v>
      </c>
      <c r="P170">
        <f t="shared" si="18"/>
        <v>453</v>
      </c>
      <c r="Q170" s="11">
        <f t="shared" ca="1" si="20"/>
        <v>45572</v>
      </c>
      <c r="R170" s="11">
        <f t="shared" ca="1" si="21"/>
        <v>45602</v>
      </c>
    </row>
    <row r="171" spans="1:18" x14ac:dyDescent="0.25">
      <c r="A171" s="2">
        <v>2552</v>
      </c>
      <c r="B171">
        <v>933</v>
      </c>
      <c r="C171" s="11">
        <v>40386</v>
      </c>
      <c r="D171" t="s">
        <v>10</v>
      </c>
      <c r="E171">
        <v>0</v>
      </c>
      <c r="F171" s="3">
        <f t="shared" si="19"/>
        <v>40416</v>
      </c>
      <c r="G171">
        <v>0</v>
      </c>
      <c r="H171">
        <v>0.3</v>
      </c>
      <c r="I171" t="b">
        <v>1</v>
      </c>
      <c r="J171">
        <v>1524</v>
      </c>
      <c r="K171" t="b">
        <v>0</v>
      </c>
      <c r="L171" t="b">
        <v>0</v>
      </c>
      <c r="M171">
        <v>0</v>
      </c>
      <c r="N171">
        <v>6</v>
      </c>
      <c r="O171">
        <f t="shared" si="17"/>
        <v>476</v>
      </c>
      <c r="P171">
        <f t="shared" si="18"/>
        <v>446</v>
      </c>
      <c r="Q171" s="11">
        <f t="shared" ca="1" si="20"/>
        <v>45579</v>
      </c>
      <c r="R171" s="11">
        <f t="shared" ca="1" si="21"/>
        <v>45609</v>
      </c>
    </row>
    <row r="172" spans="1:18" x14ac:dyDescent="0.25">
      <c r="A172" s="2">
        <v>2553</v>
      </c>
      <c r="B172">
        <v>2913</v>
      </c>
      <c r="C172" s="11">
        <v>40393</v>
      </c>
      <c r="D172" t="s">
        <v>10</v>
      </c>
      <c r="E172">
        <v>0</v>
      </c>
      <c r="F172" s="3">
        <f t="shared" si="19"/>
        <v>40423</v>
      </c>
      <c r="G172">
        <v>0</v>
      </c>
      <c r="H172">
        <v>0.15</v>
      </c>
      <c r="I172" t="b">
        <v>1</v>
      </c>
      <c r="J172">
        <v>1524</v>
      </c>
      <c r="K172" t="b">
        <v>0</v>
      </c>
      <c r="L172" t="b">
        <v>0</v>
      </c>
      <c r="M172">
        <v>0</v>
      </c>
      <c r="N172">
        <v>6</v>
      </c>
      <c r="O172">
        <f t="shared" si="17"/>
        <v>469</v>
      </c>
      <c r="P172">
        <f t="shared" si="18"/>
        <v>439</v>
      </c>
      <c r="Q172" s="11">
        <f t="shared" ca="1" si="20"/>
        <v>45586</v>
      </c>
      <c r="R172" s="11">
        <f t="shared" ca="1" si="21"/>
        <v>45616</v>
      </c>
    </row>
    <row r="173" spans="1:18" x14ac:dyDescent="0.25">
      <c r="A173" s="2">
        <v>2554</v>
      </c>
      <c r="B173">
        <v>2928</v>
      </c>
      <c r="C173" s="11">
        <v>40400</v>
      </c>
      <c r="D173" t="s">
        <v>10</v>
      </c>
      <c r="E173">
        <v>0</v>
      </c>
      <c r="F173" s="3">
        <f t="shared" si="19"/>
        <v>40430</v>
      </c>
      <c r="G173">
        <v>0</v>
      </c>
      <c r="H173">
        <v>0.15</v>
      </c>
      <c r="I173" t="b">
        <v>1</v>
      </c>
      <c r="J173">
        <v>1524</v>
      </c>
      <c r="K173" t="b">
        <v>0</v>
      </c>
      <c r="L173" t="b">
        <v>0</v>
      </c>
      <c r="M173">
        <v>0</v>
      </c>
      <c r="N173">
        <v>6</v>
      </c>
      <c r="O173">
        <f t="shared" si="17"/>
        <v>462</v>
      </c>
      <c r="P173">
        <f t="shared" si="18"/>
        <v>432</v>
      </c>
      <c r="Q173" s="11">
        <f t="shared" ca="1" si="20"/>
        <v>45593</v>
      </c>
      <c r="R173" s="11">
        <f t="shared" ca="1" si="21"/>
        <v>45623</v>
      </c>
    </row>
    <row r="174" spans="1:18" x14ac:dyDescent="0.25">
      <c r="A174" s="2">
        <v>2555</v>
      </c>
      <c r="B174">
        <v>2421</v>
      </c>
      <c r="C174" s="11">
        <v>40407</v>
      </c>
      <c r="D174" t="s">
        <v>10</v>
      </c>
      <c r="E174">
        <v>0</v>
      </c>
      <c r="F174" s="3">
        <f t="shared" si="19"/>
        <v>40437</v>
      </c>
      <c r="G174">
        <v>390</v>
      </c>
      <c r="H174">
        <v>0.3</v>
      </c>
      <c r="I174" t="b">
        <v>1</v>
      </c>
      <c r="J174">
        <v>1524</v>
      </c>
      <c r="K174" t="b">
        <v>0</v>
      </c>
      <c r="L174" t="b">
        <v>0</v>
      </c>
      <c r="M174">
        <v>0</v>
      </c>
      <c r="N174">
        <v>6</v>
      </c>
      <c r="O174">
        <f t="shared" si="17"/>
        <v>455</v>
      </c>
      <c r="P174">
        <f t="shared" si="18"/>
        <v>425</v>
      </c>
      <c r="Q174" s="11">
        <f t="shared" ca="1" si="20"/>
        <v>45600</v>
      </c>
      <c r="R174" s="11">
        <f t="shared" ca="1" si="21"/>
        <v>45630</v>
      </c>
    </row>
    <row r="175" spans="1:18" x14ac:dyDescent="0.25">
      <c r="A175" s="2">
        <v>2556</v>
      </c>
      <c r="B175">
        <v>1548</v>
      </c>
      <c r="C175" s="11">
        <v>40414</v>
      </c>
      <c r="D175" t="s">
        <v>10</v>
      </c>
      <c r="E175">
        <v>0</v>
      </c>
      <c r="F175" s="3">
        <f t="shared" si="19"/>
        <v>40444</v>
      </c>
      <c r="G175">
        <v>0</v>
      </c>
      <c r="H175">
        <v>0.05</v>
      </c>
      <c r="I175" t="b">
        <v>1</v>
      </c>
      <c r="J175">
        <v>1524</v>
      </c>
      <c r="K175" t="b">
        <v>0</v>
      </c>
      <c r="L175" t="b">
        <v>0</v>
      </c>
      <c r="M175">
        <v>0</v>
      </c>
      <c r="N175">
        <v>6</v>
      </c>
      <c r="O175">
        <f t="shared" si="17"/>
        <v>448</v>
      </c>
      <c r="P175">
        <f t="shared" si="18"/>
        <v>418</v>
      </c>
      <c r="Q175" s="11">
        <f t="shared" ca="1" si="20"/>
        <v>45607</v>
      </c>
      <c r="R175" s="11">
        <f t="shared" ca="1" si="21"/>
        <v>45637</v>
      </c>
    </row>
    <row r="176" spans="1:18" x14ac:dyDescent="0.25">
      <c r="A176" s="2">
        <v>2557</v>
      </c>
      <c r="B176">
        <v>3686</v>
      </c>
      <c r="C176" s="11">
        <v>40421</v>
      </c>
      <c r="D176" t="s">
        <v>10</v>
      </c>
      <c r="E176">
        <v>0</v>
      </c>
      <c r="F176" s="3">
        <f t="shared" si="19"/>
        <v>40451</v>
      </c>
      <c r="G176">
        <v>29</v>
      </c>
      <c r="H176">
        <v>0</v>
      </c>
      <c r="I176" t="b">
        <v>1</v>
      </c>
      <c r="J176">
        <v>640</v>
      </c>
      <c r="K176" t="b">
        <v>1</v>
      </c>
      <c r="L176" t="b">
        <v>0</v>
      </c>
      <c r="M176">
        <v>0</v>
      </c>
      <c r="N176">
        <v>6</v>
      </c>
      <c r="O176">
        <f t="shared" si="17"/>
        <v>441</v>
      </c>
      <c r="P176">
        <f t="shared" si="18"/>
        <v>411</v>
      </c>
      <c r="Q176" s="11">
        <f t="shared" ca="1" si="20"/>
        <v>45614</v>
      </c>
      <c r="R176" s="11">
        <f t="shared" ca="1" si="21"/>
        <v>45644</v>
      </c>
    </row>
    <row r="177" spans="1:18" x14ac:dyDescent="0.25">
      <c r="A177" s="2">
        <v>2558</v>
      </c>
      <c r="B177">
        <v>1745</v>
      </c>
      <c r="C177" s="11">
        <v>40428</v>
      </c>
      <c r="D177" t="s">
        <v>10</v>
      </c>
      <c r="E177">
        <v>0</v>
      </c>
      <c r="F177" s="3">
        <f t="shared" si="19"/>
        <v>40458</v>
      </c>
      <c r="G177">
        <v>0</v>
      </c>
      <c r="H177">
        <v>0.3</v>
      </c>
      <c r="I177" t="b">
        <v>1</v>
      </c>
      <c r="J177">
        <v>1524</v>
      </c>
      <c r="K177" t="b">
        <v>0</v>
      </c>
      <c r="L177" t="b">
        <v>0</v>
      </c>
      <c r="M177">
        <v>0</v>
      </c>
      <c r="N177">
        <v>6</v>
      </c>
      <c r="O177">
        <f t="shared" si="17"/>
        <v>434</v>
      </c>
      <c r="P177">
        <f t="shared" si="18"/>
        <v>404</v>
      </c>
      <c r="Q177" s="11">
        <f t="shared" ca="1" si="20"/>
        <v>45621</v>
      </c>
      <c r="R177" s="11">
        <f t="shared" ca="1" si="21"/>
        <v>45651</v>
      </c>
    </row>
    <row r="178" spans="1:18" x14ac:dyDescent="0.25">
      <c r="A178" s="2">
        <v>2559</v>
      </c>
      <c r="B178">
        <v>7</v>
      </c>
      <c r="C178" s="11">
        <v>40435</v>
      </c>
      <c r="D178" t="s">
        <v>10</v>
      </c>
      <c r="E178">
        <v>0</v>
      </c>
      <c r="F178" s="3">
        <f t="shared" si="19"/>
        <v>40465</v>
      </c>
      <c r="G178">
        <v>0</v>
      </c>
      <c r="H178">
        <v>0</v>
      </c>
      <c r="I178" t="b">
        <v>1</v>
      </c>
      <c r="J178">
        <v>1524</v>
      </c>
      <c r="K178" t="b">
        <v>0</v>
      </c>
      <c r="L178" t="b">
        <v>0</v>
      </c>
      <c r="M178">
        <v>0</v>
      </c>
      <c r="N178">
        <v>6</v>
      </c>
      <c r="O178">
        <f t="shared" si="17"/>
        <v>427</v>
      </c>
      <c r="P178">
        <f t="shared" si="18"/>
        <v>397</v>
      </c>
      <c r="Q178" s="11">
        <f t="shared" ca="1" si="20"/>
        <v>45628</v>
      </c>
      <c r="R178" s="11">
        <f t="shared" ca="1" si="21"/>
        <v>45658</v>
      </c>
    </row>
    <row r="179" spans="1:18" x14ac:dyDescent="0.25">
      <c r="A179" s="2">
        <v>2560</v>
      </c>
      <c r="B179">
        <v>2818</v>
      </c>
      <c r="C179" s="11">
        <v>40442</v>
      </c>
      <c r="D179" t="s">
        <v>10</v>
      </c>
      <c r="E179">
        <v>0</v>
      </c>
      <c r="F179" s="3">
        <f t="shared" si="19"/>
        <v>40472</v>
      </c>
      <c r="G179">
        <v>13.5</v>
      </c>
      <c r="H179">
        <v>0</v>
      </c>
      <c r="I179" t="b">
        <v>1</v>
      </c>
      <c r="J179">
        <v>640</v>
      </c>
      <c r="K179" t="b">
        <v>1</v>
      </c>
      <c r="L179" t="b">
        <v>0</v>
      </c>
      <c r="M179">
        <v>0</v>
      </c>
      <c r="N179">
        <v>6</v>
      </c>
      <c r="O179">
        <f t="shared" si="17"/>
        <v>420</v>
      </c>
      <c r="P179">
        <f t="shared" si="18"/>
        <v>390</v>
      </c>
      <c r="Q179" s="11">
        <f t="shared" ca="1" si="20"/>
        <v>45635</v>
      </c>
      <c r="R179" s="11">
        <f t="shared" ca="1" si="21"/>
        <v>45665</v>
      </c>
    </row>
    <row r="180" spans="1:18" x14ac:dyDescent="0.25">
      <c r="A180" s="2">
        <v>2561</v>
      </c>
      <c r="B180">
        <v>963</v>
      </c>
      <c r="C180" s="11">
        <v>40449</v>
      </c>
      <c r="D180" t="s">
        <v>10</v>
      </c>
      <c r="E180">
        <v>0</v>
      </c>
      <c r="F180" s="3">
        <f t="shared" si="19"/>
        <v>40479</v>
      </c>
      <c r="G180">
        <v>0</v>
      </c>
      <c r="H180">
        <v>0</v>
      </c>
      <c r="I180" t="b">
        <v>1</v>
      </c>
      <c r="J180">
        <v>1524</v>
      </c>
      <c r="K180" t="b">
        <v>0</v>
      </c>
      <c r="L180" t="b">
        <v>0</v>
      </c>
      <c r="M180">
        <v>0</v>
      </c>
      <c r="N180">
        <v>6</v>
      </c>
      <c r="O180">
        <f t="shared" si="17"/>
        <v>413</v>
      </c>
      <c r="P180">
        <f t="shared" si="18"/>
        <v>383</v>
      </c>
      <c r="Q180" s="11">
        <f t="shared" ca="1" si="20"/>
        <v>45642</v>
      </c>
      <c r="R180" s="11">
        <f t="shared" ca="1" si="21"/>
        <v>45672</v>
      </c>
    </row>
    <row r="181" spans="1:18" x14ac:dyDescent="0.25">
      <c r="A181" s="2">
        <v>2562</v>
      </c>
      <c r="B181">
        <v>2765</v>
      </c>
      <c r="C181" s="11">
        <v>40456</v>
      </c>
      <c r="D181" t="s">
        <v>10</v>
      </c>
      <c r="E181">
        <v>0</v>
      </c>
      <c r="F181" s="3">
        <f t="shared" si="19"/>
        <v>40486</v>
      </c>
      <c r="G181">
        <v>29</v>
      </c>
      <c r="H181">
        <v>0</v>
      </c>
      <c r="I181" t="b">
        <v>1</v>
      </c>
      <c r="J181">
        <v>640</v>
      </c>
      <c r="K181" t="b">
        <v>1</v>
      </c>
      <c r="L181" t="b">
        <v>0</v>
      </c>
      <c r="M181">
        <v>0</v>
      </c>
      <c r="N181">
        <v>6</v>
      </c>
      <c r="O181">
        <f t="shared" si="17"/>
        <v>406</v>
      </c>
      <c r="P181">
        <f t="shared" si="18"/>
        <v>376</v>
      </c>
      <c r="Q181" s="11">
        <f t="shared" ca="1" si="20"/>
        <v>45649</v>
      </c>
      <c r="R181" s="11">
        <f t="shared" ca="1" si="21"/>
        <v>45679</v>
      </c>
    </row>
    <row r="182" spans="1:18" x14ac:dyDescent="0.25">
      <c r="A182" s="2">
        <v>2563</v>
      </c>
      <c r="B182">
        <v>12</v>
      </c>
      <c r="C182" s="11">
        <v>40463</v>
      </c>
      <c r="D182" t="s">
        <v>10</v>
      </c>
      <c r="E182">
        <v>0</v>
      </c>
      <c r="F182" s="3">
        <f t="shared" si="19"/>
        <v>40493</v>
      </c>
      <c r="G182">
        <v>0</v>
      </c>
      <c r="H182">
        <v>0.3</v>
      </c>
      <c r="I182" t="b">
        <v>1</v>
      </c>
      <c r="J182">
        <v>1524</v>
      </c>
      <c r="K182" t="b">
        <v>0</v>
      </c>
      <c r="L182" t="b">
        <v>0</v>
      </c>
      <c r="M182">
        <v>0</v>
      </c>
      <c r="N182">
        <v>6</v>
      </c>
      <c r="O182">
        <f t="shared" si="17"/>
        <v>399</v>
      </c>
      <c r="P182">
        <f t="shared" si="18"/>
        <v>369</v>
      </c>
      <c r="Q182" s="11">
        <f t="shared" ca="1" si="20"/>
        <v>45656</v>
      </c>
      <c r="R182" s="11">
        <f t="shared" ca="1" si="21"/>
        <v>45686</v>
      </c>
    </row>
    <row r="183" spans="1:18" x14ac:dyDescent="0.25">
      <c r="A183" s="2">
        <v>2564</v>
      </c>
      <c r="B183">
        <v>2937</v>
      </c>
      <c r="C183" s="11">
        <v>40470</v>
      </c>
      <c r="D183" t="s">
        <v>10</v>
      </c>
      <c r="E183">
        <v>0</v>
      </c>
      <c r="F183" s="3">
        <f t="shared" si="19"/>
        <v>40500</v>
      </c>
      <c r="G183">
        <v>0</v>
      </c>
      <c r="H183">
        <v>0.4</v>
      </c>
      <c r="I183" t="b">
        <v>1</v>
      </c>
      <c r="J183">
        <v>1524</v>
      </c>
      <c r="K183" t="b">
        <v>0</v>
      </c>
      <c r="L183" t="b">
        <v>0</v>
      </c>
      <c r="M183">
        <v>0</v>
      </c>
      <c r="N183">
        <v>6</v>
      </c>
      <c r="O183">
        <f t="shared" si="17"/>
        <v>392</v>
      </c>
      <c r="P183">
        <f t="shared" si="18"/>
        <v>362</v>
      </c>
      <c r="Q183" s="11">
        <f t="shared" ca="1" si="20"/>
        <v>45663</v>
      </c>
      <c r="R183" s="11">
        <f t="shared" ca="1" si="21"/>
        <v>45693</v>
      </c>
    </row>
    <row r="184" spans="1:18" x14ac:dyDescent="0.25">
      <c r="A184" s="2">
        <v>2565</v>
      </c>
      <c r="B184">
        <v>2937</v>
      </c>
      <c r="C184" s="11">
        <v>40477</v>
      </c>
      <c r="D184" t="s">
        <v>10</v>
      </c>
      <c r="E184">
        <v>0</v>
      </c>
      <c r="F184" s="3">
        <f t="shared" si="19"/>
        <v>40507</v>
      </c>
      <c r="G184">
        <v>0</v>
      </c>
      <c r="H184">
        <v>0.05</v>
      </c>
      <c r="I184" t="b">
        <v>1</v>
      </c>
      <c r="J184">
        <v>1524</v>
      </c>
      <c r="K184" t="b">
        <v>0</v>
      </c>
      <c r="L184" t="b">
        <v>0</v>
      </c>
      <c r="M184">
        <v>0</v>
      </c>
      <c r="N184">
        <v>6</v>
      </c>
      <c r="O184">
        <f t="shared" si="17"/>
        <v>385</v>
      </c>
      <c r="P184">
        <f t="shared" si="18"/>
        <v>355</v>
      </c>
      <c r="Q184" s="11">
        <f t="shared" ca="1" si="20"/>
        <v>45670</v>
      </c>
      <c r="R184" s="11">
        <f t="shared" ca="1" si="21"/>
        <v>45700</v>
      </c>
    </row>
    <row r="185" spans="1:18" x14ac:dyDescent="0.25">
      <c r="A185" s="2">
        <v>2566</v>
      </c>
      <c r="B185">
        <v>2937</v>
      </c>
      <c r="C185" s="11">
        <v>40484</v>
      </c>
      <c r="D185" t="s">
        <v>10</v>
      </c>
      <c r="E185">
        <v>0</v>
      </c>
      <c r="F185" s="3">
        <f t="shared" si="19"/>
        <v>40514</v>
      </c>
      <c r="G185">
        <v>0</v>
      </c>
      <c r="H185">
        <v>0</v>
      </c>
      <c r="I185" t="b">
        <v>1</v>
      </c>
      <c r="J185">
        <v>1524</v>
      </c>
      <c r="K185" t="b">
        <v>0</v>
      </c>
      <c r="L185" t="b">
        <v>0</v>
      </c>
      <c r="M185">
        <v>0</v>
      </c>
      <c r="N185">
        <v>6</v>
      </c>
      <c r="O185">
        <f t="shared" si="17"/>
        <v>378</v>
      </c>
      <c r="P185">
        <f t="shared" si="18"/>
        <v>348</v>
      </c>
      <c r="Q185" s="11">
        <f t="shared" ca="1" si="20"/>
        <v>45677</v>
      </c>
      <c r="R185" s="11">
        <f t="shared" ca="1" si="21"/>
        <v>45707</v>
      </c>
    </row>
    <row r="186" spans="1:18" x14ac:dyDescent="0.25">
      <c r="A186" s="2">
        <v>2567</v>
      </c>
      <c r="B186">
        <v>22</v>
      </c>
      <c r="C186" s="11">
        <v>40491</v>
      </c>
      <c r="D186" t="s">
        <v>10</v>
      </c>
      <c r="E186">
        <v>0</v>
      </c>
      <c r="F186" s="3">
        <f t="shared" si="19"/>
        <v>40521</v>
      </c>
      <c r="G186">
        <v>0</v>
      </c>
      <c r="H186">
        <v>0</v>
      </c>
      <c r="I186" t="b">
        <v>1</v>
      </c>
      <c r="J186">
        <v>1524</v>
      </c>
      <c r="K186" t="b">
        <v>0</v>
      </c>
      <c r="L186" t="b">
        <v>0</v>
      </c>
      <c r="M186">
        <v>0</v>
      </c>
      <c r="N186">
        <v>6</v>
      </c>
      <c r="O186">
        <f t="shared" si="17"/>
        <v>371</v>
      </c>
      <c r="P186">
        <f t="shared" si="18"/>
        <v>341</v>
      </c>
      <c r="Q186" s="11">
        <f t="shared" ca="1" si="20"/>
        <v>45684</v>
      </c>
      <c r="R186" s="11">
        <f t="shared" ca="1" si="21"/>
        <v>45714</v>
      </c>
    </row>
    <row r="187" spans="1:18" x14ac:dyDescent="0.25">
      <c r="A187" s="2">
        <v>2568</v>
      </c>
      <c r="B187">
        <v>3005</v>
      </c>
      <c r="C187" s="11">
        <v>40498</v>
      </c>
      <c r="D187" t="s">
        <v>10</v>
      </c>
      <c r="E187">
        <v>100</v>
      </c>
      <c r="F187" s="3">
        <f t="shared" si="19"/>
        <v>40528</v>
      </c>
      <c r="G187">
        <v>105</v>
      </c>
      <c r="H187">
        <v>0</v>
      </c>
      <c r="I187" t="b">
        <v>1</v>
      </c>
      <c r="J187">
        <v>1524</v>
      </c>
      <c r="K187" t="b">
        <v>0</v>
      </c>
      <c r="L187" t="b">
        <v>0</v>
      </c>
      <c r="M187">
        <v>0</v>
      </c>
      <c r="N187">
        <v>6</v>
      </c>
      <c r="O187">
        <f t="shared" si="17"/>
        <v>364</v>
      </c>
      <c r="P187">
        <f t="shared" si="18"/>
        <v>334</v>
      </c>
      <c r="Q187" s="11">
        <f t="shared" ca="1" si="20"/>
        <v>45691</v>
      </c>
      <c r="R187" s="11">
        <f t="shared" ca="1" si="21"/>
        <v>45721</v>
      </c>
    </row>
    <row r="188" spans="1:18" x14ac:dyDescent="0.25">
      <c r="A188" s="2">
        <v>2569</v>
      </c>
      <c r="B188">
        <v>963</v>
      </c>
      <c r="C188" s="11">
        <v>40505</v>
      </c>
      <c r="D188" t="s">
        <v>10</v>
      </c>
      <c r="E188">
        <v>0</v>
      </c>
      <c r="F188" s="3">
        <f t="shared" si="19"/>
        <v>40535</v>
      </c>
      <c r="G188">
        <v>0</v>
      </c>
      <c r="H188">
        <v>0</v>
      </c>
      <c r="I188" t="b">
        <v>1</v>
      </c>
      <c r="J188">
        <v>1524</v>
      </c>
      <c r="K188" t="b">
        <v>0</v>
      </c>
      <c r="L188" t="b">
        <v>1</v>
      </c>
      <c r="M188">
        <v>0</v>
      </c>
      <c r="N188">
        <v>6</v>
      </c>
      <c r="O188">
        <f t="shared" si="17"/>
        <v>357</v>
      </c>
      <c r="P188">
        <f t="shared" si="18"/>
        <v>327</v>
      </c>
      <c r="Q188" s="11">
        <f t="shared" ca="1" si="20"/>
        <v>45698</v>
      </c>
      <c r="R188" s="11">
        <f t="shared" ca="1" si="21"/>
        <v>45728</v>
      </c>
    </row>
    <row r="189" spans="1:18" x14ac:dyDescent="0.25">
      <c r="A189" s="2">
        <v>2570</v>
      </c>
      <c r="B189">
        <v>2407</v>
      </c>
      <c r="C189" s="11">
        <v>40512</v>
      </c>
      <c r="D189" t="s">
        <v>10</v>
      </c>
      <c r="E189">
        <v>0</v>
      </c>
      <c r="F189" s="3">
        <f t="shared" si="19"/>
        <v>40542</v>
      </c>
      <c r="G189">
        <v>14</v>
      </c>
      <c r="H189">
        <v>0</v>
      </c>
      <c r="I189" t="b">
        <v>1</v>
      </c>
      <c r="J189">
        <v>640</v>
      </c>
      <c r="K189" t="b">
        <v>1</v>
      </c>
      <c r="L189" t="b">
        <v>0</v>
      </c>
      <c r="M189">
        <v>0</v>
      </c>
      <c r="N189">
        <v>6</v>
      </c>
      <c r="O189">
        <f t="shared" si="17"/>
        <v>350</v>
      </c>
      <c r="P189">
        <f t="shared" si="18"/>
        <v>320</v>
      </c>
      <c r="Q189" s="11">
        <f t="shared" ca="1" si="20"/>
        <v>45705</v>
      </c>
      <c r="R189" s="11">
        <f t="shared" ca="1" si="21"/>
        <v>45735</v>
      </c>
    </row>
    <row r="190" spans="1:18" x14ac:dyDescent="0.25">
      <c r="A190" s="2">
        <v>2571</v>
      </c>
      <c r="B190">
        <v>1478</v>
      </c>
      <c r="C190" s="11">
        <v>40519</v>
      </c>
      <c r="D190" t="s">
        <v>10</v>
      </c>
      <c r="E190">
        <v>0</v>
      </c>
      <c r="F190" s="3">
        <f t="shared" si="19"/>
        <v>40549</v>
      </c>
      <c r="G190">
        <v>19</v>
      </c>
      <c r="H190">
        <v>0</v>
      </c>
      <c r="I190" t="b">
        <v>1</v>
      </c>
      <c r="J190">
        <v>640</v>
      </c>
      <c r="K190" t="b">
        <v>1</v>
      </c>
      <c r="L190" t="b">
        <v>0</v>
      </c>
      <c r="M190">
        <v>0</v>
      </c>
      <c r="N190">
        <v>6</v>
      </c>
      <c r="O190">
        <f t="shared" si="17"/>
        <v>343</v>
      </c>
      <c r="P190">
        <f t="shared" si="18"/>
        <v>313</v>
      </c>
      <c r="Q190" s="11">
        <f t="shared" ca="1" si="20"/>
        <v>45712</v>
      </c>
      <c r="R190" s="11">
        <f t="shared" ca="1" si="21"/>
        <v>45742</v>
      </c>
    </row>
    <row r="191" spans="1:18" x14ac:dyDescent="0.25">
      <c r="A191" s="2">
        <v>2572</v>
      </c>
      <c r="B191">
        <v>2857</v>
      </c>
      <c r="C191" s="11">
        <v>40526</v>
      </c>
      <c r="D191" t="s">
        <v>10</v>
      </c>
      <c r="E191">
        <v>0</v>
      </c>
      <c r="F191" s="3">
        <f t="shared" si="19"/>
        <v>40556</v>
      </c>
      <c r="G191">
        <v>14</v>
      </c>
      <c r="H191">
        <v>0</v>
      </c>
      <c r="I191" t="b">
        <v>1</v>
      </c>
      <c r="J191">
        <v>640</v>
      </c>
      <c r="K191" t="b">
        <v>1</v>
      </c>
      <c r="L191" t="b">
        <v>0</v>
      </c>
      <c r="M191">
        <v>0</v>
      </c>
      <c r="N191">
        <v>6</v>
      </c>
      <c r="O191">
        <f t="shared" si="17"/>
        <v>336</v>
      </c>
      <c r="P191">
        <f t="shared" si="18"/>
        <v>306</v>
      </c>
      <c r="Q191" s="11">
        <f t="shared" ca="1" si="20"/>
        <v>45719</v>
      </c>
      <c r="R191" s="11">
        <f t="shared" ca="1" si="21"/>
        <v>45749</v>
      </c>
    </row>
    <row r="192" spans="1:18" x14ac:dyDescent="0.25">
      <c r="A192" s="2">
        <v>2573</v>
      </c>
      <c r="B192">
        <v>3095</v>
      </c>
      <c r="C192" s="11">
        <v>40533</v>
      </c>
      <c r="D192" t="s">
        <v>10</v>
      </c>
      <c r="E192">
        <v>0</v>
      </c>
      <c r="F192" s="3">
        <f t="shared" si="19"/>
        <v>40563</v>
      </c>
      <c r="G192">
        <v>46</v>
      </c>
      <c r="H192">
        <v>0</v>
      </c>
      <c r="I192" t="b">
        <v>1</v>
      </c>
      <c r="J192">
        <v>640</v>
      </c>
      <c r="K192" t="b">
        <v>1</v>
      </c>
      <c r="L192" t="b">
        <v>0</v>
      </c>
      <c r="M192">
        <v>0</v>
      </c>
      <c r="N192">
        <v>6</v>
      </c>
      <c r="O192">
        <f t="shared" si="17"/>
        <v>329</v>
      </c>
      <c r="P192">
        <f t="shared" si="18"/>
        <v>299</v>
      </c>
      <c r="Q192" s="11">
        <f t="shared" ca="1" si="20"/>
        <v>45726</v>
      </c>
      <c r="R192" s="11">
        <f t="shared" ca="1" si="21"/>
        <v>45756</v>
      </c>
    </row>
    <row r="193" spans="1:18" x14ac:dyDescent="0.25">
      <c r="A193" s="2">
        <v>2574</v>
      </c>
      <c r="B193">
        <v>3686</v>
      </c>
      <c r="C193" s="11">
        <v>40540</v>
      </c>
      <c r="D193" t="s">
        <v>10</v>
      </c>
      <c r="E193">
        <v>0</v>
      </c>
      <c r="F193" s="3">
        <f t="shared" si="19"/>
        <v>40570</v>
      </c>
      <c r="G193">
        <v>0</v>
      </c>
      <c r="H193">
        <v>0.5</v>
      </c>
      <c r="I193" t="b">
        <v>1</v>
      </c>
      <c r="J193">
        <v>1524</v>
      </c>
      <c r="K193" t="b">
        <v>0</v>
      </c>
      <c r="L193" t="b">
        <v>0</v>
      </c>
      <c r="M193">
        <v>0</v>
      </c>
      <c r="N193">
        <v>6</v>
      </c>
      <c r="O193">
        <f t="shared" si="17"/>
        <v>322</v>
      </c>
      <c r="P193">
        <f t="shared" si="18"/>
        <v>292</v>
      </c>
      <c r="Q193" s="11">
        <f t="shared" ca="1" si="20"/>
        <v>45733</v>
      </c>
      <c r="R193" s="11">
        <f t="shared" ca="1" si="21"/>
        <v>45763</v>
      </c>
    </row>
    <row r="194" spans="1:18" x14ac:dyDescent="0.25">
      <c r="A194" s="2">
        <v>2575</v>
      </c>
      <c r="B194">
        <v>3686</v>
      </c>
      <c r="C194" s="11">
        <v>40547</v>
      </c>
      <c r="D194" t="s">
        <v>10</v>
      </c>
      <c r="E194">
        <v>0</v>
      </c>
      <c r="F194" s="3">
        <f t="shared" si="19"/>
        <v>40577</v>
      </c>
      <c r="G194">
        <v>0</v>
      </c>
      <c r="H194">
        <v>0</v>
      </c>
      <c r="I194" t="b">
        <v>1</v>
      </c>
      <c r="J194">
        <v>1524</v>
      </c>
      <c r="K194" t="b">
        <v>0</v>
      </c>
      <c r="L194" t="b">
        <v>0</v>
      </c>
      <c r="M194">
        <v>0</v>
      </c>
      <c r="N194">
        <v>6</v>
      </c>
      <c r="O194">
        <f t="shared" si="17"/>
        <v>315</v>
      </c>
      <c r="P194">
        <f t="shared" si="18"/>
        <v>285</v>
      </c>
      <c r="Q194" s="11">
        <f t="shared" ca="1" si="20"/>
        <v>45740</v>
      </c>
      <c r="R194" s="11">
        <f t="shared" ca="1" si="21"/>
        <v>45770</v>
      </c>
    </row>
    <row r="195" spans="1:18" x14ac:dyDescent="0.25">
      <c r="A195" s="2">
        <v>2576</v>
      </c>
      <c r="B195">
        <v>720</v>
      </c>
      <c r="C195" s="11">
        <v>40554</v>
      </c>
      <c r="D195" t="s">
        <v>10</v>
      </c>
      <c r="E195">
        <v>174.02</v>
      </c>
      <c r="F195" s="3">
        <f t="shared" si="19"/>
        <v>40584</v>
      </c>
      <c r="G195">
        <v>14</v>
      </c>
      <c r="H195">
        <v>0</v>
      </c>
      <c r="I195" t="b">
        <v>1</v>
      </c>
      <c r="J195">
        <v>640</v>
      </c>
      <c r="K195" t="b">
        <v>1</v>
      </c>
      <c r="L195" t="b">
        <v>0</v>
      </c>
      <c r="M195">
        <v>0</v>
      </c>
      <c r="N195">
        <v>6</v>
      </c>
      <c r="O195">
        <f t="shared" si="17"/>
        <v>308</v>
      </c>
      <c r="P195">
        <f t="shared" si="18"/>
        <v>278</v>
      </c>
      <c r="Q195" s="11">
        <f t="shared" ca="1" si="20"/>
        <v>45747</v>
      </c>
      <c r="R195" s="11">
        <f t="shared" ca="1" si="21"/>
        <v>45777</v>
      </c>
    </row>
    <row r="196" spans="1:18" x14ac:dyDescent="0.25">
      <c r="A196" s="2">
        <v>2577</v>
      </c>
      <c r="B196">
        <v>2503</v>
      </c>
      <c r="C196" s="11">
        <v>40561</v>
      </c>
      <c r="D196" t="s">
        <v>10</v>
      </c>
      <c r="E196">
        <v>0</v>
      </c>
      <c r="F196" s="3">
        <f t="shared" si="19"/>
        <v>40591</v>
      </c>
      <c r="G196">
        <v>14</v>
      </c>
      <c r="H196">
        <v>0</v>
      </c>
      <c r="I196" t="b">
        <v>1</v>
      </c>
      <c r="J196">
        <v>640</v>
      </c>
      <c r="K196" t="b">
        <v>1</v>
      </c>
      <c r="L196" t="b">
        <v>0</v>
      </c>
      <c r="M196">
        <v>0</v>
      </c>
      <c r="N196">
        <v>6</v>
      </c>
      <c r="O196">
        <f t="shared" si="17"/>
        <v>301</v>
      </c>
      <c r="P196">
        <f t="shared" si="18"/>
        <v>271</v>
      </c>
      <c r="Q196" s="11">
        <f t="shared" ca="1" si="20"/>
        <v>45754</v>
      </c>
      <c r="R196" s="11">
        <f t="shared" ca="1" si="21"/>
        <v>45784</v>
      </c>
    </row>
    <row r="197" spans="1:18" x14ac:dyDescent="0.25">
      <c r="A197" s="2">
        <v>2578</v>
      </c>
      <c r="B197">
        <v>2818</v>
      </c>
      <c r="C197" s="11">
        <v>40568</v>
      </c>
      <c r="D197" t="s">
        <v>10</v>
      </c>
      <c r="E197">
        <v>0</v>
      </c>
      <c r="F197" s="3">
        <f t="shared" si="19"/>
        <v>40598</v>
      </c>
      <c r="G197">
        <v>0</v>
      </c>
      <c r="H197">
        <v>0</v>
      </c>
      <c r="I197" t="b">
        <v>1</v>
      </c>
      <c r="J197">
        <v>640</v>
      </c>
      <c r="K197" t="b">
        <v>1</v>
      </c>
      <c r="L197" t="b">
        <v>0</v>
      </c>
      <c r="M197">
        <v>0</v>
      </c>
      <c r="N197">
        <v>6</v>
      </c>
      <c r="O197">
        <f t="shared" si="17"/>
        <v>294</v>
      </c>
      <c r="P197">
        <f t="shared" si="18"/>
        <v>264</v>
      </c>
      <c r="Q197" s="11">
        <f t="shared" ca="1" si="20"/>
        <v>45761</v>
      </c>
      <c r="R197" s="11">
        <f t="shared" ca="1" si="21"/>
        <v>45791</v>
      </c>
    </row>
    <row r="198" spans="1:18" x14ac:dyDescent="0.25">
      <c r="A198" s="2">
        <v>2579</v>
      </c>
      <c r="B198">
        <v>2965</v>
      </c>
      <c r="C198" s="11">
        <v>40575</v>
      </c>
      <c r="D198" t="s">
        <v>10</v>
      </c>
      <c r="E198">
        <v>0</v>
      </c>
      <c r="F198" s="3">
        <f t="shared" si="19"/>
        <v>40605</v>
      </c>
      <c r="G198">
        <v>49</v>
      </c>
      <c r="H198">
        <v>0</v>
      </c>
      <c r="I198" t="b">
        <v>1</v>
      </c>
      <c r="J198">
        <v>1524</v>
      </c>
      <c r="K198" t="b">
        <v>0</v>
      </c>
      <c r="L198" t="b">
        <v>0</v>
      </c>
      <c r="M198">
        <v>0</v>
      </c>
      <c r="N198">
        <v>6</v>
      </c>
      <c r="O198">
        <f t="shared" si="17"/>
        <v>287</v>
      </c>
      <c r="P198">
        <f t="shared" si="18"/>
        <v>257</v>
      </c>
      <c r="Q198" s="11">
        <f t="shared" ca="1" si="20"/>
        <v>45768</v>
      </c>
      <c r="R198" s="11">
        <f t="shared" ca="1" si="21"/>
        <v>45798</v>
      </c>
    </row>
    <row r="199" spans="1:18" x14ac:dyDescent="0.25">
      <c r="A199" s="2">
        <v>2580</v>
      </c>
      <c r="B199">
        <v>2771</v>
      </c>
      <c r="C199" s="11">
        <v>40582</v>
      </c>
      <c r="D199" t="s">
        <v>10</v>
      </c>
      <c r="E199">
        <v>0</v>
      </c>
      <c r="F199" s="3">
        <f t="shared" si="19"/>
        <v>40612</v>
      </c>
      <c r="G199">
        <v>33</v>
      </c>
      <c r="H199">
        <v>0</v>
      </c>
      <c r="I199" t="b">
        <v>1</v>
      </c>
      <c r="J199">
        <v>1524</v>
      </c>
      <c r="K199" t="b">
        <v>0</v>
      </c>
      <c r="L199" t="b">
        <v>0</v>
      </c>
      <c r="M199">
        <v>0</v>
      </c>
      <c r="N199">
        <v>6</v>
      </c>
      <c r="O199">
        <f t="shared" si="17"/>
        <v>280</v>
      </c>
      <c r="P199">
        <f t="shared" si="18"/>
        <v>250</v>
      </c>
      <c r="Q199" s="11">
        <f t="shared" ca="1" si="20"/>
        <v>45775</v>
      </c>
      <c r="R199" s="11">
        <f t="shared" ca="1" si="21"/>
        <v>45805</v>
      </c>
    </row>
    <row r="200" spans="1:18" x14ac:dyDescent="0.25">
      <c r="A200" s="2">
        <v>2581</v>
      </c>
      <c r="B200">
        <v>1482</v>
      </c>
      <c r="C200" s="11">
        <v>40589</v>
      </c>
      <c r="D200" t="s">
        <v>10</v>
      </c>
      <c r="E200">
        <v>0</v>
      </c>
      <c r="F200" s="3">
        <f t="shared" si="19"/>
        <v>40619</v>
      </c>
      <c r="G200">
        <v>19</v>
      </c>
      <c r="H200">
        <v>0</v>
      </c>
      <c r="I200" t="b">
        <v>1</v>
      </c>
      <c r="J200">
        <v>640</v>
      </c>
      <c r="K200" t="b">
        <v>1</v>
      </c>
      <c r="L200" t="b">
        <v>0</v>
      </c>
      <c r="M200">
        <v>0</v>
      </c>
      <c r="N200">
        <v>6</v>
      </c>
      <c r="O200">
        <f t="shared" si="17"/>
        <v>273</v>
      </c>
      <c r="P200">
        <f t="shared" si="18"/>
        <v>243</v>
      </c>
      <c r="Q200" s="11">
        <f t="shared" ca="1" si="20"/>
        <v>45782</v>
      </c>
      <c r="R200" s="11">
        <f t="shared" ca="1" si="21"/>
        <v>45812</v>
      </c>
    </row>
    <row r="201" spans="1:18" x14ac:dyDescent="0.25">
      <c r="A201" s="2">
        <v>2582</v>
      </c>
      <c r="B201">
        <v>3686</v>
      </c>
      <c r="C201" s="11">
        <v>40596</v>
      </c>
      <c r="D201" t="s">
        <v>10</v>
      </c>
      <c r="E201">
        <v>0</v>
      </c>
      <c r="F201" s="3">
        <f t="shared" si="19"/>
        <v>40626</v>
      </c>
      <c r="G201">
        <v>0</v>
      </c>
      <c r="H201">
        <v>0.3</v>
      </c>
      <c r="I201" t="b">
        <v>1</v>
      </c>
      <c r="J201">
        <v>1524</v>
      </c>
      <c r="K201" t="b">
        <v>0</v>
      </c>
      <c r="L201" t="b">
        <v>0</v>
      </c>
      <c r="M201">
        <v>0</v>
      </c>
      <c r="N201">
        <v>6</v>
      </c>
      <c r="O201">
        <f t="shared" si="17"/>
        <v>266</v>
      </c>
      <c r="P201">
        <f t="shared" si="18"/>
        <v>236</v>
      </c>
      <c r="Q201" s="11">
        <f t="shared" ca="1" si="20"/>
        <v>45789</v>
      </c>
      <c r="R201" s="11">
        <f t="shared" ca="1" si="21"/>
        <v>45819</v>
      </c>
    </row>
    <row r="202" spans="1:18" x14ac:dyDescent="0.25">
      <c r="A202" s="2">
        <v>2583</v>
      </c>
      <c r="B202">
        <v>2974</v>
      </c>
      <c r="C202" s="11">
        <v>40603</v>
      </c>
      <c r="D202" t="s">
        <v>10</v>
      </c>
      <c r="E202">
        <v>380.76</v>
      </c>
      <c r="F202" s="3">
        <f t="shared" si="19"/>
        <v>40633</v>
      </c>
      <c r="G202">
        <v>19</v>
      </c>
      <c r="H202">
        <v>0</v>
      </c>
      <c r="I202" t="b">
        <v>1</v>
      </c>
      <c r="J202">
        <v>640</v>
      </c>
      <c r="K202" t="b">
        <v>1</v>
      </c>
      <c r="L202" t="b">
        <v>0</v>
      </c>
      <c r="M202">
        <v>0</v>
      </c>
      <c r="N202">
        <v>6</v>
      </c>
      <c r="O202">
        <f t="shared" si="17"/>
        <v>259</v>
      </c>
      <c r="P202">
        <f t="shared" si="18"/>
        <v>229</v>
      </c>
      <c r="Q202" s="11">
        <f t="shared" ca="1" si="20"/>
        <v>45796</v>
      </c>
      <c r="R202" s="11">
        <f t="shared" ca="1" si="21"/>
        <v>45826</v>
      </c>
    </row>
    <row r="203" spans="1:18" x14ac:dyDescent="0.25">
      <c r="A203" s="2">
        <v>2584</v>
      </c>
      <c r="B203">
        <v>2937</v>
      </c>
      <c r="C203" s="11">
        <v>40610</v>
      </c>
      <c r="D203" t="s">
        <v>10</v>
      </c>
      <c r="E203">
        <v>0</v>
      </c>
      <c r="F203" s="3">
        <f t="shared" si="19"/>
        <v>40640</v>
      </c>
      <c r="G203">
        <v>0</v>
      </c>
      <c r="H203">
        <v>0.4</v>
      </c>
      <c r="I203" t="b">
        <v>1</v>
      </c>
      <c r="J203">
        <v>1524</v>
      </c>
      <c r="K203" t="b">
        <v>0</v>
      </c>
      <c r="L203" t="b">
        <v>0</v>
      </c>
      <c r="M203">
        <v>0</v>
      </c>
      <c r="N203">
        <v>6</v>
      </c>
      <c r="O203">
        <f t="shared" si="17"/>
        <v>252</v>
      </c>
      <c r="P203">
        <f t="shared" si="18"/>
        <v>222</v>
      </c>
      <c r="Q203" s="11">
        <f t="shared" ca="1" si="20"/>
        <v>45803</v>
      </c>
      <c r="R203" s="11">
        <f t="shared" ca="1" si="21"/>
        <v>45833</v>
      </c>
    </row>
    <row r="204" spans="1:18" x14ac:dyDescent="0.25">
      <c r="A204" s="2">
        <v>2585</v>
      </c>
      <c r="B204">
        <v>2937</v>
      </c>
      <c r="C204" s="11">
        <v>40617</v>
      </c>
      <c r="D204" t="s">
        <v>10</v>
      </c>
      <c r="E204">
        <v>0</v>
      </c>
      <c r="F204" s="3">
        <f t="shared" si="19"/>
        <v>40647</v>
      </c>
      <c r="G204">
        <v>0</v>
      </c>
      <c r="H204">
        <v>0</v>
      </c>
      <c r="I204" t="b">
        <v>1</v>
      </c>
      <c r="J204">
        <v>1524</v>
      </c>
      <c r="K204" t="b">
        <v>0</v>
      </c>
      <c r="L204" t="b">
        <v>0</v>
      </c>
      <c r="M204">
        <v>0</v>
      </c>
      <c r="N204">
        <v>6</v>
      </c>
      <c r="O204">
        <f t="shared" si="17"/>
        <v>245</v>
      </c>
      <c r="P204">
        <f t="shared" si="18"/>
        <v>215</v>
      </c>
      <c r="Q204" s="11">
        <f t="shared" ca="1" si="20"/>
        <v>45810</v>
      </c>
      <c r="R204" s="11">
        <f t="shared" ca="1" si="21"/>
        <v>45840</v>
      </c>
    </row>
    <row r="205" spans="1:18" x14ac:dyDescent="0.25">
      <c r="A205" s="2">
        <v>2586</v>
      </c>
      <c r="B205">
        <v>2913</v>
      </c>
      <c r="C205" s="11">
        <v>40624</v>
      </c>
      <c r="D205" t="s">
        <v>10</v>
      </c>
      <c r="E205">
        <v>0</v>
      </c>
      <c r="F205" s="3">
        <f t="shared" si="19"/>
        <v>40654</v>
      </c>
      <c r="G205">
        <v>0</v>
      </c>
      <c r="H205">
        <v>0.3</v>
      </c>
      <c r="I205" t="b">
        <v>1</v>
      </c>
      <c r="J205">
        <v>1524</v>
      </c>
      <c r="K205" t="b">
        <v>0</v>
      </c>
      <c r="L205" t="b">
        <v>0</v>
      </c>
      <c r="M205">
        <v>0</v>
      </c>
      <c r="N205">
        <v>6</v>
      </c>
      <c r="O205">
        <f t="shared" si="17"/>
        <v>238</v>
      </c>
      <c r="P205">
        <f t="shared" si="18"/>
        <v>208</v>
      </c>
      <c r="Q205" s="11">
        <f t="shared" ca="1" si="20"/>
        <v>45817</v>
      </c>
      <c r="R205" s="11">
        <f t="shared" ca="1" si="21"/>
        <v>45847</v>
      </c>
    </row>
    <row r="206" spans="1:18" x14ac:dyDescent="0.25">
      <c r="A206" s="2">
        <v>2587</v>
      </c>
      <c r="B206">
        <v>2771</v>
      </c>
      <c r="C206" s="11">
        <v>40631</v>
      </c>
      <c r="D206" t="s">
        <v>10</v>
      </c>
      <c r="E206">
        <v>0</v>
      </c>
      <c r="F206" s="3">
        <f t="shared" si="19"/>
        <v>40661</v>
      </c>
      <c r="G206">
        <v>0</v>
      </c>
      <c r="H206">
        <v>0.3</v>
      </c>
      <c r="I206" t="b">
        <v>1</v>
      </c>
      <c r="J206">
        <v>1524</v>
      </c>
      <c r="K206" t="b">
        <v>0</v>
      </c>
      <c r="L206" t="b">
        <v>0</v>
      </c>
      <c r="M206">
        <v>0</v>
      </c>
      <c r="N206">
        <v>6</v>
      </c>
      <c r="O206">
        <f t="shared" si="17"/>
        <v>231</v>
      </c>
      <c r="P206">
        <f t="shared" si="18"/>
        <v>201</v>
      </c>
      <c r="Q206" s="11">
        <f t="shared" ca="1" si="20"/>
        <v>45824</v>
      </c>
      <c r="R206" s="11">
        <f t="shared" ca="1" si="21"/>
        <v>45854</v>
      </c>
    </row>
    <row r="207" spans="1:18" x14ac:dyDescent="0.25">
      <c r="A207" s="2">
        <v>2588</v>
      </c>
      <c r="B207">
        <v>2962</v>
      </c>
      <c r="C207" s="11">
        <v>40638</v>
      </c>
      <c r="D207" t="s">
        <v>10</v>
      </c>
      <c r="E207">
        <v>0</v>
      </c>
      <c r="F207" s="3">
        <f t="shared" si="19"/>
        <v>40668</v>
      </c>
      <c r="G207">
        <v>160</v>
      </c>
      <c r="H207">
        <v>0.2</v>
      </c>
      <c r="I207" t="b">
        <v>1</v>
      </c>
      <c r="J207">
        <v>1524</v>
      </c>
      <c r="K207" t="b">
        <v>0</v>
      </c>
      <c r="L207" t="b">
        <v>0</v>
      </c>
      <c r="M207">
        <v>0</v>
      </c>
      <c r="N207">
        <v>6</v>
      </c>
      <c r="O207">
        <f t="shared" si="17"/>
        <v>224</v>
      </c>
      <c r="P207">
        <f t="shared" si="18"/>
        <v>194</v>
      </c>
      <c r="Q207" s="11">
        <f t="shared" ca="1" si="20"/>
        <v>45831</v>
      </c>
      <c r="R207" s="11">
        <f t="shared" ca="1" si="21"/>
        <v>45861</v>
      </c>
    </row>
    <row r="208" spans="1:18" x14ac:dyDescent="0.25">
      <c r="A208" s="2">
        <v>2589</v>
      </c>
      <c r="B208">
        <v>2421</v>
      </c>
      <c r="C208" s="11">
        <v>40645</v>
      </c>
      <c r="D208" t="s">
        <v>10</v>
      </c>
      <c r="E208">
        <v>5156.43</v>
      </c>
      <c r="F208" s="3">
        <f t="shared" si="19"/>
        <v>40675</v>
      </c>
      <c r="G208">
        <v>390</v>
      </c>
      <c r="H208">
        <v>0.3</v>
      </c>
      <c r="I208" t="b">
        <v>1</v>
      </c>
      <c r="J208">
        <v>1524</v>
      </c>
      <c r="K208" t="b">
        <v>0</v>
      </c>
      <c r="L208" t="b">
        <v>0</v>
      </c>
      <c r="M208">
        <v>0</v>
      </c>
      <c r="N208">
        <v>6</v>
      </c>
      <c r="O208">
        <f t="shared" si="17"/>
        <v>217</v>
      </c>
      <c r="P208">
        <f t="shared" si="18"/>
        <v>187</v>
      </c>
      <c r="Q208" s="11">
        <f t="shared" ca="1" si="20"/>
        <v>45838</v>
      </c>
      <c r="R208" s="11">
        <f t="shared" ca="1" si="21"/>
        <v>45868</v>
      </c>
    </row>
    <row r="209" spans="1:18" x14ac:dyDescent="0.25">
      <c r="A209" s="2">
        <v>2590</v>
      </c>
      <c r="B209">
        <v>2421</v>
      </c>
      <c r="C209" s="11">
        <v>40652</v>
      </c>
      <c r="D209" t="s">
        <v>10</v>
      </c>
      <c r="E209">
        <v>3081</v>
      </c>
      <c r="F209" s="3">
        <f t="shared" si="19"/>
        <v>40682</v>
      </c>
      <c r="G209">
        <v>80</v>
      </c>
      <c r="H209">
        <v>0.3</v>
      </c>
      <c r="I209" t="b">
        <v>1</v>
      </c>
      <c r="J209">
        <v>1524</v>
      </c>
      <c r="K209" t="b">
        <v>0</v>
      </c>
      <c r="L209" t="b">
        <v>0</v>
      </c>
      <c r="M209">
        <v>0</v>
      </c>
      <c r="N209">
        <v>6</v>
      </c>
      <c r="O209">
        <f t="shared" si="17"/>
        <v>210</v>
      </c>
      <c r="P209">
        <f t="shared" si="18"/>
        <v>180</v>
      </c>
      <c r="Q209" s="11">
        <f t="shared" ca="1" si="20"/>
        <v>45845</v>
      </c>
      <c r="R209" s="11">
        <f t="shared" ca="1" si="21"/>
        <v>45875</v>
      </c>
    </row>
    <row r="210" spans="1:18" x14ac:dyDescent="0.25">
      <c r="A210" s="2">
        <v>2591</v>
      </c>
      <c r="B210">
        <v>798</v>
      </c>
      <c r="C210" s="11">
        <v>40659</v>
      </c>
      <c r="D210" t="s">
        <v>10</v>
      </c>
      <c r="E210">
        <v>0</v>
      </c>
      <c r="F210" s="3">
        <f t="shared" si="19"/>
        <v>40689</v>
      </c>
      <c r="G210">
        <v>0</v>
      </c>
      <c r="H210">
        <v>0.1</v>
      </c>
      <c r="I210" t="b">
        <v>1</v>
      </c>
      <c r="J210">
        <v>1524</v>
      </c>
      <c r="K210" t="b">
        <v>0</v>
      </c>
      <c r="L210" t="b">
        <v>0</v>
      </c>
      <c r="M210">
        <v>0</v>
      </c>
      <c r="N210">
        <v>6</v>
      </c>
      <c r="O210">
        <f t="shared" si="17"/>
        <v>203</v>
      </c>
      <c r="P210">
        <f t="shared" si="18"/>
        <v>173</v>
      </c>
      <c r="Q210" s="11">
        <f t="shared" ca="1" si="20"/>
        <v>45852</v>
      </c>
      <c r="R210" s="11">
        <f t="shared" ca="1" si="21"/>
        <v>45882</v>
      </c>
    </row>
    <row r="211" spans="1:18" x14ac:dyDescent="0.25">
      <c r="A211" s="2">
        <v>2592</v>
      </c>
      <c r="B211">
        <v>2937</v>
      </c>
      <c r="C211" s="11">
        <v>40666</v>
      </c>
      <c r="D211" t="s">
        <v>10</v>
      </c>
      <c r="E211">
        <v>0</v>
      </c>
      <c r="F211" s="3">
        <f t="shared" si="19"/>
        <v>40696</v>
      </c>
      <c r="G211">
        <v>0</v>
      </c>
      <c r="H211">
        <v>0</v>
      </c>
      <c r="I211" t="b">
        <v>1</v>
      </c>
      <c r="J211">
        <v>1524</v>
      </c>
      <c r="K211" t="b">
        <v>0</v>
      </c>
      <c r="L211" t="b">
        <v>0</v>
      </c>
      <c r="M211">
        <v>0</v>
      </c>
      <c r="N211">
        <v>6</v>
      </c>
      <c r="O211">
        <f t="shared" si="17"/>
        <v>196</v>
      </c>
      <c r="P211">
        <f t="shared" si="18"/>
        <v>166</v>
      </c>
      <c r="Q211" s="11">
        <f t="shared" ca="1" si="20"/>
        <v>45859</v>
      </c>
      <c r="R211" s="11">
        <f t="shared" ca="1" si="21"/>
        <v>45889</v>
      </c>
    </row>
    <row r="212" spans="1:18" x14ac:dyDescent="0.25">
      <c r="A212" s="2">
        <v>2593</v>
      </c>
      <c r="B212">
        <v>2771</v>
      </c>
      <c r="C212" s="11">
        <v>40673</v>
      </c>
      <c r="D212" t="s">
        <v>10</v>
      </c>
      <c r="E212">
        <v>0</v>
      </c>
      <c r="F212" s="3">
        <f t="shared" si="19"/>
        <v>40703</v>
      </c>
      <c r="G212">
        <v>94</v>
      </c>
      <c r="H212">
        <v>0.3</v>
      </c>
      <c r="I212" t="b">
        <v>1</v>
      </c>
      <c r="J212">
        <v>1524</v>
      </c>
      <c r="K212" t="b">
        <v>0</v>
      </c>
      <c r="L212" t="b">
        <v>0</v>
      </c>
      <c r="M212">
        <v>0</v>
      </c>
      <c r="N212">
        <v>6</v>
      </c>
      <c r="O212">
        <f t="shared" si="17"/>
        <v>189</v>
      </c>
      <c r="P212">
        <f t="shared" si="18"/>
        <v>159</v>
      </c>
      <c r="Q212" s="11">
        <f t="shared" ca="1" si="20"/>
        <v>45866</v>
      </c>
      <c r="R212" s="11">
        <f t="shared" ca="1" si="21"/>
        <v>45896</v>
      </c>
    </row>
    <row r="213" spans="1:18" x14ac:dyDescent="0.25">
      <c r="A213" s="2">
        <v>2594</v>
      </c>
      <c r="B213">
        <v>2913</v>
      </c>
      <c r="C213" s="11">
        <v>40680</v>
      </c>
      <c r="D213" t="s">
        <v>10</v>
      </c>
      <c r="E213">
        <v>5030.7299999999996</v>
      </c>
      <c r="F213" s="3">
        <f t="shared" si="19"/>
        <v>40710</v>
      </c>
      <c r="G213">
        <v>600</v>
      </c>
      <c r="H213">
        <v>0.3</v>
      </c>
      <c r="I213" t="b">
        <v>1</v>
      </c>
      <c r="J213">
        <v>1524</v>
      </c>
      <c r="K213" t="b">
        <v>0</v>
      </c>
      <c r="L213" t="b">
        <v>0</v>
      </c>
      <c r="M213">
        <v>0</v>
      </c>
      <c r="N213">
        <v>6</v>
      </c>
      <c r="O213">
        <f t="shared" si="17"/>
        <v>182</v>
      </c>
      <c r="P213">
        <f t="shared" si="18"/>
        <v>152</v>
      </c>
      <c r="Q213" s="11">
        <f t="shared" ca="1" si="20"/>
        <v>45873</v>
      </c>
      <c r="R213" s="11">
        <f t="shared" ca="1" si="21"/>
        <v>45903</v>
      </c>
    </row>
    <row r="214" spans="1:18" x14ac:dyDescent="0.25">
      <c r="A214" s="2">
        <v>2595</v>
      </c>
      <c r="B214">
        <v>2319</v>
      </c>
      <c r="C214" s="11">
        <v>40687</v>
      </c>
      <c r="D214" t="s">
        <v>10</v>
      </c>
      <c r="E214">
        <v>0</v>
      </c>
      <c r="F214" s="3">
        <f t="shared" si="19"/>
        <v>40717</v>
      </c>
      <c r="G214">
        <v>400</v>
      </c>
      <c r="H214">
        <v>0.3</v>
      </c>
      <c r="I214" t="b">
        <v>1</v>
      </c>
      <c r="J214">
        <v>1524</v>
      </c>
      <c r="K214" t="b">
        <v>0</v>
      </c>
      <c r="L214" t="b">
        <v>0</v>
      </c>
      <c r="M214">
        <v>0</v>
      </c>
      <c r="N214">
        <v>6</v>
      </c>
      <c r="O214">
        <f t="shared" si="17"/>
        <v>175</v>
      </c>
      <c r="P214">
        <f t="shared" si="18"/>
        <v>145</v>
      </c>
      <c r="Q214" s="11">
        <f t="shared" ca="1" si="20"/>
        <v>45880</v>
      </c>
      <c r="R214" s="11">
        <f t="shared" ca="1" si="21"/>
        <v>45910</v>
      </c>
    </row>
    <row r="215" spans="1:18" x14ac:dyDescent="0.25">
      <c r="A215" s="2">
        <v>2596</v>
      </c>
      <c r="B215">
        <v>798</v>
      </c>
      <c r="C215" s="11">
        <v>40694</v>
      </c>
      <c r="D215" t="s">
        <v>10</v>
      </c>
      <c r="E215">
        <v>0</v>
      </c>
      <c r="F215" s="3">
        <f t="shared" si="19"/>
        <v>40724</v>
      </c>
      <c r="G215">
        <v>0</v>
      </c>
      <c r="H215">
        <v>0.3</v>
      </c>
      <c r="I215" t="b">
        <v>1</v>
      </c>
      <c r="J215">
        <v>1524</v>
      </c>
      <c r="K215" t="b">
        <v>1</v>
      </c>
      <c r="L215" t="b">
        <v>0</v>
      </c>
      <c r="M215">
        <v>0</v>
      </c>
      <c r="N215">
        <v>6</v>
      </c>
      <c r="O215">
        <f t="shared" ref="O215:O239" si="22">DATEDIF(C215,DateFin,"d")</f>
        <v>168</v>
      </c>
      <c r="P215">
        <f t="shared" ref="P215:P232" si="23">DATEDIF(F215,DateFin,"d")</f>
        <v>138</v>
      </c>
      <c r="Q215" s="11">
        <f t="shared" ca="1" si="20"/>
        <v>45887</v>
      </c>
      <c r="R215" s="11">
        <f t="shared" ca="1" si="21"/>
        <v>45917</v>
      </c>
    </row>
    <row r="216" spans="1:18" x14ac:dyDescent="0.25">
      <c r="A216" s="2">
        <v>2597</v>
      </c>
      <c r="B216">
        <v>798</v>
      </c>
      <c r="C216" s="11">
        <v>40701</v>
      </c>
      <c r="D216" t="s">
        <v>10</v>
      </c>
      <c r="E216">
        <v>0</v>
      </c>
      <c r="F216" s="3">
        <f t="shared" ref="F216:F239" si="24">C216+30</f>
        <v>40731</v>
      </c>
      <c r="G216">
        <v>0</v>
      </c>
      <c r="H216">
        <v>0.3</v>
      </c>
      <c r="I216" t="b">
        <v>1</v>
      </c>
      <c r="J216">
        <v>1524</v>
      </c>
      <c r="K216" t="b">
        <v>0</v>
      </c>
      <c r="L216" t="b">
        <v>0</v>
      </c>
      <c r="M216">
        <v>0</v>
      </c>
      <c r="N216">
        <v>6</v>
      </c>
      <c r="O216">
        <f t="shared" si="22"/>
        <v>161</v>
      </c>
      <c r="P216">
        <f t="shared" si="23"/>
        <v>131</v>
      </c>
      <c r="Q216" s="11">
        <f t="shared" ref="Q216:Q239" ca="1" si="25">TODAY()-O216</f>
        <v>45894</v>
      </c>
      <c r="R216" s="11">
        <f t="shared" ref="R216:R239" ca="1" si="26">TODAY()-P216</f>
        <v>45924</v>
      </c>
    </row>
    <row r="217" spans="1:18" x14ac:dyDescent="0.25">
      <c r="A217" s="2">
        <v>2598</v>
      </c>
      <c r="B217">
        <v>798</v>
      </c>
      <c r="C217" s="11">
        <v>40708</v>
      </c>
      <c r="D217" t="s">
        <v>10</v>
      </c>
      <c r="E217">
        <v>0</v>
      </c>
      <c r="F217" s="3">
        <f t="shared" si="24"/>
        <v>40738</v>
      </c>
      <c r="G217">
        <v>0</v>
      </c>
      <c r="H217">
        <v>0.3</v>
      </c>
      <c r="I217" t="b">
        <v>1</v>
      </c>
      <c r="J217">
        <v>1524</v>
      </c>
      <c r="K217" t="b">
        <v>0</v>
      </c>
      <c r="L217" t="b">
        <v>0</v>
      </c>
      <c r="M217">
        <v>0</v>
      </c>
      <c r="N217">
        <v>6</v>
      </c>
      <c r="O217">
        <f t="shared" si="22"/>
        <v>154</v>
      </c>
      <c r="P217">
        <f t="shared" si="23"/>
        <v>124</v>
      </c>
      <c r="Q217" s="11">
        <f t="shared" ca="1" si="25"/>
        <v>45901</v>
      </c>
      <c r="R217" s="11">
        <f t="shared" ca="1" si="26"/>
        <v>45931</v>
      </c>
    </row>
    <row r="218" spans="1:18" x14ac:dyDescent="0.25">
      <c r="A218" s="2">
        <v>2599</v>
      </c>
      <c r="B218">
        <v>798</v>
      </c>
      <c r="C218" s="11">
        <v>40715</v>
      </c>
      <c r="D218" t="s">
        <v>10</v>
      </c>
      <c r="E218">
        <v>0</v>
      </c>
      <c r="F218" s="3">
        <f t="shared" si="24"/>
        <v>40745</v>
      </c>
      <c r="G218">
        <v>0</v>
      </c>
      <c r="H218">
        <v>0</v>
      </c>
      <c r="I218" t="b">
        <v>1</v>
      </c>
      <c r="J218">
        <v>1524</v>
      </c>
      <c r="K218" t="b">
        <v>0</v>
      </c>
      <c r="L218" t="b">
        <v>0</v>
      </c>
      <c r="M218">
        <v>0</v>
      </c>
      <c r="N218">
        <v>6</v>
      </c>
      <c r="O218">
        <f t="shared" si="22"/>
        <v>147</v>
      </c>
      <c r="P218">
        <f t="shared" si="23"/>
        <v>117</v>
      </c>
      <c r="Q218" s="11">
        <f t="shared" ca="1" si="25"/>
        <v>45908</v>
      </c>
      <c r="R218" s="11">
        <f t="shared" ca="1" si="26"/>
        <v>45938</v>
      </c>
    </row>
    <row r="219" spans="1:18" x14ac:dyDescent="0.25">
      <c r="A219" s="2">
        <v>2600</v>
      </c>
      <c r="B219">
        <v>2818</v>
      </c>
      <c r="C219" s="11">
        <v>40722</v>
      </c>
      <c r="D219" t="s">
        <v>10</v>
      </c>
      <c r="E219">
        <v>0</v>
      </c>
      <c r="F219" s="3">
        <f t="shared" si="24"/>
        <v>40752</v>
      </c>
      <c r="G219">
        <v>13.5</v>
      </c>
      <c r="H219">
        <v>0</v>
      </c>
      <c r="I219" t="b">
        <v>1</v>
      </c>
      <c r="J219">
        <v>640</v>
      </c>
      <c r="K219" t="b">
        <v>0</v>
      </c>
      <c r="L219" t="b">
        <v>0</v>
      </c>
      <c r="M219">
        <v>0</v>
      </c>
      <c r="N219">
        <v>6</v>
      </c>
      <c r="O219">
        <f t="shared" si="22"/>
        <v>140</v>
      </c>
      <c r="P219">
        <f t="shared" si="23"/>
        <v>110</v>
      </c>
      <c r="Q219" s="11">
        <f t="shared" ca="1" si="25"/>
        <v>45915</v>
      </c>
      <c r="R219" s="11">
        <f t="shared" ca="1" si="26"/>
        <v>45945</v>
      </c>
    </row>
    <row r="220" spans="1:18" x14ac:dyDescent="0.25">
      <c r="A220" s="2">
        <v>2601</v>
      </c>
      <c r="B220">
        <v>933</v>
      </c>
      <c r="C220" s="11">
        <v>40729</v>
      </c>
      <c r="D220" t="s">
        <v>10</v>
      </c>
      <c r="E220">
        <v>0</v>
      </c>
      <c r="F220" s="3">
        <f t="shared" si="24"/>
        <v>40759</v>
      </c>
      <c r="G220">
        <v>0</v>
      </c>
      <c r="H220">
        <v>0.3</v>
      </c>
      <c r="I220" t="b">
        <v>1</v>
      </c>
      <c r="J220">
        <v>1524</v>
      </c>
      <c r="K220" t="b">
        <v>0</v>
      </c>
      <c r="L220" t="b">
        <v>0</v>
      </c>
      <c r="M220">
        <v>0</v>
      </c>
      <c r="N220">
        <v>6</v>
      </c>
      <c r="O220">
        <f t="shared" si="22"/>
        <v>133</v>
      </c>
      <c r="P220">
        <f t="shared" si="23"/>
        <v>103</v>
      </c>
      <c r="Q220" s="11">
        <f t="shared" ca="1" si="25"/>
        <v>45922</v>
      </c>
      <c r="R220" s="11">
        <f t="shared" ca="1" si="26"/>
        <v>45952</v>
      </c>
    </row>
    <row r="221" spans="1:18" x14ac:dyDescent="0.25">
      <c r="A221" s="2">
        <v>2602</v>
      </c>
      <c r="B221">
        <v>1482</v>
      </c>
      <c r="C221" s="11">
        <v>40736</v>
      </c>
      <c r="D221" t="s">
        <v>10</v>
      </c>
      <c r="E221">
        <v>0</v>
      </c>
      <c r="F221" s="3">
        <f t="shared" si="24"/>
        <v>40766</v>
      </c>
      <c r="G221">
        <v>13.5</v>
      </c>
      <c r="H221">
        <v>0</v>
      </c>
      <c r="I221" t="b">
        <v>1</v>
      </c>
      <c r="J221">
        <v>640</v>
      </c>
      <c r="K221" t="b">
        <v>0</v>
      </c>
      <c r="L221" t="b">
        <v>0</v>
      </c>
      <c r="M221">
        <v>0</v>
      </c>
      <c r="N221">
        <v>6</v>
      </c>
      <c r="O221">
        <f t="shared" si="22"/>
        <v>126</v>
      </c>
      <c r="P221">
        <f t="shared" si="23"/>
        <v>96</v>
      </c>
      <c r="Q221" s="11">
        <f t="shared" ca="1" si="25"/>
        <v>45929</v>
      </c>
      <c r="R221" s="11">
        <f t="shared" ca="1" si="26"/>
        <v>45959</v>
      </c>
    </row>
    <row r="222" spans="1:18" x14ac:dyDescent="0.25">
      <c r="A222" s="2">
        <v>2603</v>
      </c>
      <c r="B222">
        <v>2913</v>
      </c>
      <c r="C222" s="11">
        <v>40743</v>
      </c>
      <c r="D222" t="s">
        <v>10</v>
      </c>
      <c r="E222">
        <v>0</v>
      </c>
      <c r="F222" s="3">
        <f t="shared" si="24"/>
        <v>40773</v>
      </c>
      <c r="G222">
        <v>0</v>
      </c>
      <c r="H222">
        <v>0.3</v>
      </c>
      <c r="I222" t="b">
        <v>1</v>
      </c>
      <c r="J222">
        <v>1524</v>
      </c>
      <c r="K222" t="b">
        <v>0</v>
      </c>
      <c r="L222" t="b">
        <v>0</v>
      </c>
      <c r="M222">
        <v>0</v>
      </c>
      <c r="N222">
        <v>6</v>
      </c>
      <c r="O222">
        <f t="shared" si="22"/>
        <v>119</v>
      </c>
      <c r="P222">
        <f t="shared" si="23"/>
        <v>89</v>
      </c>
      <c r="Q222" s="11">
        <f t="shared" ca="1" si="25"/>
        <v>45936</v>
      </c>
      <c r="R222" s="11">
        <f t="shared" ca="1" si="26"/>
        <v>45966</v>
      </c>
    </row>
    <row r="223" spans="1:18" x14ac:dyDescent="0.25">
      <c r="A223" s="2">
        <v>2604</v>
      </c>
      <c r="B223">
        <v>2818</v>
      </c>
      <c r="C223" s="11">
        <v>40750</v>
      </c>
      <c r="D223" t="s">
        <v>10</v>
      </c>
      <c r="E223">
        <v>0</v>
      </c>
      <c r="F223" s="3">
        <f t="shared" si="24"/>
        <v>40780</v>
      </c>
      <c r="G223">
        <v>0</v>
      </c>
      <c r="H223">
        <v>0</v>
      </c>
      <c r="I223" t="b">
        <v>1</v>
      </c>
      <c r="J223">
        <v>640</v>
      </c>
      <c r="K223" t="b">
        <v>0</v>
      </c>
      <c r="L223" t="b">
        <v>0</v>
      </c>
      <c r="M223">
        <v>0</v>
      </c>
      <c r="N223">
        <v>6</v>
      </c>
      <c r="O223">
        <f t="shared" si="22"/>
        <v>112</v>
      </c>
      <c r="P223">
        <f t="shared" si="23"/>
        <v>82</v>
      </c>
      <c r="Q223" s="11">
        <f t="shared" ca="1" si="25"/>
        <v>45943</v>
      </c>
      <c r="R223" s="11">
        <f t="shared" ca="1" si="26"/>
        <v>45973</v>
      </c>
    </row>
    <row r="224" spans="1:18" x14ac:dyDescent="0.25">
      <c r="A224" s="2">
        <v>2605</v>
      </c>
      <c r="B224">
        <v>798</v>
      </c>
      <c r="C224" s="11">
        <v>40757</v>
      </c>
      <c r="D224" t="s">
        <v>10</v>
      </c>
      <c r="E224">
        <v>0</v>
      </c>
      <c r="F224" s="3">
        <f t="shared" si="24"/>
        <v>40787</v>
      </c>
      <c r="G224">
        <v>0</v>
      </c>
      <c r="H224">
        <v>0.3</v>
      </c>
      <c r="I224" t="b">
        <v>0</v>
      </c>
      <c r="J224">
        <v>1524</v>
      </c>
      <c r="K224" t="b">
        <v>0</v>
      </c>
      <c r="L224" t="b">
        <v>0</v>
      </c>
      <c r="M224">
        <v>0</v>
      </c>
      <c r="N224">
        <v>6</v>
      </c>
      <c r="O224">
        <f t="shared" si="22"/>
        <v>105</v>
      </c>
      <c r="P224">
        <f t="shared" si="23"/>
        <v>75</v>
      </c>
      <c r="Q224" s="11">
        <f t="shared" ca="1" si="25"/>
        <v>45950</v>
      </c>
      <c r="R224" s="11">
        <f t="shared" ca="1" si="26"/>
        <v>45980</v>
      </c>
    </row>
    <row r="225" spans="1:18" x14ac:dyDescent="0.25">
      <c r="A225" s="2">
        <v>2606</v>
      </c>
      <c r="B225">
        <v>2829</v>
      </c>
      <c r="C225" s="11">
        <v>40764</v>
      </c>
      <c r="D225" t="s">
        <v>10</v>
      </c>
      <c r="E225">
        <v>0</v>
      </c>
      <c r="F225" s="3">
        <f>C225+60</f>
        <v>40824</v>
      </c>
      <c r="G225">
        <v>0</v>
      </c>
      <c r="H225">
        <v>0</v>
      </c>
      <c r="I225" t="b">
        <v>1</v>
      </c>
      <c r="J225">
        <v>1524</v>
      </c>
      <c r="K225" t="b">
        <v>0</v>
      </c>
      <c r="L225" t="b">
        <v>0</v>
      </c>
      <c r="M225">
        <v>0</v>
      </c>
      <c r="N225">
        <v>6</v>
      </c>
      <c r="O225">
        <f t="shared" si="22"/>
        <v>98</v>
      </c>
      <c r="P225">
        <f t="shared" si="23"/>
        <v>38</v>
      </c>
      <c r="Q225" s="11">
        <f t="shared" ca="1" si="25"/>
        <v>45957</v>
      </c>
      <c r="R225" s="11">
        <f t="shared" ca="1" si="26"/>
        <v>46017</v>
      </c>
    </row>
    <row r="226" spans="1:18" x14ac:dyDescent="0.25">
      <c r="A226" s="2">
        <v>2607</v>
      </c>
      <c r="B226">
        <v>2962</v>
      </c>
      <c r="C226" s="11">
        <v>40771</v>
      </c>
      <c r="D226" t="s">
        <v>10</v>
      </c>
      <c r="E226">
        <v>0</v>
      </c>
      <c r="F226" s="3">
        <f t="shared" si="24"/>
        <v>40801</v>
      </c>
      <c r="G226">
        <v>46</v>
      </c>
      <c r="H226">
        <v>0.2</v>
      </c>
      <c r="I226" t="b">
        <v>1</v>
      </c>
      <c r="J226">
        <v>1524</v>
      </c>
      <c r="K226" t="b">
        <v>1</v>
      </c>
      <c r="L226" t="b">
        <v>0</v>
      </c>
      <c r="M226">
        <v>0</v>
      </c>
      <c r="N226">
        <v>6</v>
      </c>
      <c r="O226">
        <f t="shared" si="22"/>
        <v>91</v>
      </c>
      <c r="P226">
        <f t="shared" si="23"/>
        <v>61</v>
      </c>
      <c r="Q226" s="11">
        <f t="shared" ca="1" si="25"/>
        <v>45964</v>
      </c>
      <c r="R226" s="11">
        <f t="shared" ca="1" si="26"/>
        <v>45994</v>
      </c>
    </row>
    <row r="227" spans="1:18" x14ac:dyDescent="0.25">
      <c r="A227" s="2">
        <v>2608</v>
      </c>
      <c r="B227">
        <v>1156</v>
      </c>
      <c r="C227" s="11">
        <v>40778</v>
      </c>
      <c r="D227" t="s">
        <v>10</v>
      </c>
      <c r="E227">
        <v>0</v>
      </c>
      <c r="F227" s="3">
        <f t="shared" si="24"/>
        <v>40808</v>
      </c>
      <c r="G227">
        <v>29.5</v>
      </c>
      <c r="H227">
        <v>0</v>
      </c>
      <c r="I227" t="b">
        <v>1</v>
      </c>
      <c r="J227">
        <v>1524</v>
      </c>
      <c r="K227" t="b">
        <v>0</v>
      </c>
      <c r="L227" t="b">
        <v>0</v>
      </c>
      <c r="M227">
        <v>0</v>
      </c>
      <c r="N227">
        <v>6</v>
      </c>
      <c r="O227">
        <f t="shared" si="22"/>
        <v>84</v>
      </c>
      <c r="P227">
        <f t="shared" si="23"/>
        <v>54</v>
      </c>
      <c r="Q227" s="11">
        <f t="shared" ca="1" si="25"/>
        <v>45971</v>
      </c>
      <c r="R227" s="11">
        <f t="shared" ca="1" si="26"/>
        <v>46001</v>
      </c>
    </row>
    <row r="228" spans="1:18" x14ac:dyDescent="0.25">
      <c r="A228" s="2">
        <v>2609</v>
      </c>
      <c r="B228">
        <v>2478</v>
      </c>
      <c r="C228" s="11">
        <v>40785</v>
      </c>
      <c r="D228" t="s">
        <v>10</v>
      </c>
      <c r="E228">
        <v>0</v>
      </c>
      <c r="F228" s="3">
        <f t="shared" si="24"/>
        <v>40815</v>
      </c>
      <c r="G228">
        <v>14.5</v>
      </c>
      <c r="H228">
        <v>0</v>
      </c>
      <c r="I228" t="b">
        <v>0</v>
      </c>
      <c r="J228">
        <v>640</v>
      </c>
      <c r="K228" t="b">
        <v>0</v>
      </c>
      <c r="L228" t="b">
        <v>0</v>
      </c>
      <c r="M228">
        <v>0</v>
      </c>
      <c r="N228">
        <v>6</v>
      </c>
      <c r="O228">
        <f t="shared" si="22"/>
        <v>77</v>
      </c>
      <c r="P228">
        <f t="shared" si="23"/>
        <v>47</v>
      </c>
      <c r="Q228" s="11">
        <f t="shared" ca="1" si="25"/>
        <v>45978</v>
      </c>
      <c r="R228" s="11">
        <f t="shared" ca="1" si="26"/>
        <v>46008</v>
      </c>
    </row>
    <row r="229" spans="1:18" x14ac:dyDescent="0.25">
      <c r="A229" s="2">
        <v>2610</v>
      </c>
      <c r="B229">
        <v>2319</v>
      </c>
      <c r="C229" s="11">
        <v>40792</v>
      </c>
      <c r="D229" t="s">
        <v>10</v>
      </c>
      <c r="E229">
        <v>0</v>
      </c>
      <c r="F229" s="3">
        <f t="shared" si="24"/>
        <v>40822</v>
      </c>
      <c r="G229">
        <v>0</v>
      </c>
      <c r="H229">
        <v>0.3</v>
      </c>
      <c r="I229" t="b">
        <v>1</v>
      </c>
      <c r="J229">
        <v>1524</v>
      </c>
      <c r="K229" t="b">
        <v>0</v>
      </c>
      <c r="L229" t="b">
        <v>0</v>
      </c>
      <c r="M229">
        <v>0</v>
      </c>
      <c r="N229">
        <v>6</v>
      </c>
      <c r="O229">
        <f t="shared" si="22"/>
        <v>70</v>
      </c>
      <c r="P229">
        <f t="shared" si="23"/>
        <v>40</v>
      </c>
      <c r="Q229" s="11">
        <f t="shared" ca="1" si="25"/>
        <v>45985</v>
      </c>
      <c r="R229" s="11">
        <f t="shared" ca="1" si="26"/>
        <v>46015</v>
      </c>
    </row>
    <row r="230" spans="1:18" x14ac:dyDescent="0.25">
      <c r="A230" s="2">
        <v>2611</v>
      </c>
      <c r="B230">
        <v>2937</v>
      </c>
      <c r="C230" s="11">
        <v>40799</v>
      </c>
      <c r="D230" t="s">
        <v>10</v>
      </c>
      <c r="E230">
        <v>0</v>
      </c>
      <c r="F230" s="3">
        <f>C230+60</f>
        <v>40859</v>
      </c>
      <c r="G230">
        <v>0</v>
      </c>
      <c r="H230">
        <v>0.3</v>
      </c>
      <c r="I230" t="b">
        <v>0</v>
      </c>
      <c r="J230">
        <v>1524</v>
      </c>
      <c r="K230" t="b">
        <v>0</v>
      </c>
      <c r="L230" t="b">
        <v>0</v>
      </c>
      <c r="M230">
        <v>0</v>
      </c>
      <c r="N230">
        <v>6</v>
      </c>
      <c r="O230">
        <f t="shared" si="22"/>
        <v>63</v>
      </c>
      <c r="P230">
        <f t="shared" si="23"/>
        <v>3</v>
      </c>
      <c r="Q230" s="11">
        <f t="shared" ca="1" si="25"/>
        <v>45992</v>
      </c>
      <c r="R230" s="11">
        <f t="shared" ca="1" si="26"/>
        <v>46052</v>
      </c>
    </row>
    <row r="231" spans="1:18" x14ac:dyDescent="0.25">
      <c r="A231" s="2">
        <v>2612</v>
      </c>
      <c r="B231">
        <v>1482</v>
      </c>
      <c r="C231" s="11">
        <v>40806</v>
      </c>
      <c r="D231" t="s">
        <v>10</v>
      </c>
      <c r="E231">
        <v>0</v>
      </c>
      <c r="F231" s="3">
        <f t="shared" si="24"/>
        <v>40836</v>
      </c>
      <c r="G231">
        <v>36</v>
      </c>
      <c r="H231">
        <v>0</v>
      </c>
      <c r="I231" t="b">
        <v>1</v>
      </c>
      <c r="J231">
        <v>640</v>
      </c>
      <c r="K231" t="b">
        <v>1</v>
      </c>
      <c r="L231" t="b">
        <v>0</v>
      </c>
      <c r="M231">
        <v>0</v>
      </c>
      <c r="N231">
        <v>6</v>
      </c>
      <c r="O231">
        <f t="shared" si="22"/>
        <v>56</v>
      </c>
      <c r="P231">
        <f t="shared" si="23"/>
        <v>26</v>
      </c>
      <c r="Q231" s="11">
        <f t="shared" ca="1" si="25"/>
        <v>45999</v>
      </c>
      <c r="R231" s="11">
        <f t="shared" ca="1" si="26"/>
        <v>46029</v>
      </c>
    </row>
    <row r="232" spans="1:18" x14ac:dyDescent="0.25">
      <c r="A232" s="2">
        <v>2613</v>
      </c>
      <c r="B232">
        <v>798</v>
      </c>
      <c r="C232" s="11">
        <v>40813</v>
      </c>
      <c r="D232" t="s">
        <v>10</v>
      </c>
      <c r="E232">
        <v>0</v>
      </c>
      <c r="F232" s="3">
        <f t="shared" si="24"/>
        <v>40843</v>
      </c>
      <c r="G232">
        <v>0</v>
      </c>
      <c r="H232">
        <v>0.3</v>
      </c>
      <c r="I232" t="b">
        <v>0</v>
      </c>
      <c r="J232">
        <v>1524</v>
      </c>
      <c r="K232" t="b">
        <v>0</v>
      </c>
      <c r="L232" t="b">
        <v>0</v>
      </c>
      <c r="M232">
        <v>0</v>
      </c>
      <c r="N232">
        <v>6</v>
      </c>
      <c r="O232">
        <f t="shared" si="22"/>
        <v>49</v>
      </c>
      <c r="P232">
        <f t="shared" si="23"/>
        <v>19</v>
      </c>
      <c r="Q232" s="11">
        <f t="shared" ca="1" si="25"/>
        <v>46006</v>
      </c>
      <c r="R232" s="11">
        <f t="shared" ca="1" si="26"/>
        <v>46036</v>
      </c>
    </row>
    <row r="233" spans="1:18" x14ac:dyDescent="0.25">
      <c r="A233" s="2">
        <v>2614</v>
      </c>
      <c r="B233">
        <v>798</v>
      </c>
      <c r="C233" s="11">
        <v>40820</v>
      </c>
      <c r="D233" t="s">
        <v>10</v>
      </c>
      <c r="E233">
        <v>0</v>
      </c>
      <c r="F233" s="3">
        <f>C233+60</f>
        <v>40880</v>
      </c>
      <c r="G233">
        <v>0</v>
      </c>
      <c r="H233">
        <v>0</v>
      </c>
      <c r="I233" t="b">
        <v>1</v>
      </c>
      <c r="J233">
        <v>1524</v>
      </c>
      <c r="K233" t="b">
        <v>1</v>
      </c>
      <c r="L233" t="b">
        <v>0</v>
      </c>
      <c r="M233">
        <v>0</v>
      </c>
      <c r="N233">
        <v>6</v>
      </c>
      <c r="O233">
        <f t="shared" si="22"/>
        <v>42</v>
      </c>
      <c r="P233">
        <f t="shared" ref="P233:P234" si="27">O233-30</f>
        <v>12</v>
      </c>
      <c r="Q233" s="11">
        <f t="shared" ca="1" si="25"/>
        <v>46013</v>
      </c>
      <c r="R233" s="11">
        <f t="shared" ca="1" si="26"/>
        <v>46043</v>
      </c>
    </row>
    <row r="234" spans="1:18" x14ac:dyDescent="0.25">
      <c r="A234" s="2">
        <v>2615</v>
      </c>
      <c r="B234">
        <v>27</v>
      </c>
      <c r="C234" s="11">
        <v>40827</v>
      </c>
      <c r="D234" t="s">
        <v>10</v>
      </c>
      <c r="E234">
        <v>0</v>
      </c>
      <c r="F234" s="3">
        <f t="shared" si="24"/>
        <v>40857</v>
      </c>
      <c r="G234">
        <v>0</v>
      </c>
      <c r="H234">
        <v>0.2</v>
      </c>
      <c r="I234" t="b">
        <v>1</v>
      </c>
      <c r="J234">
        <v>1524</v>
      </c>
      <c r="K234" t="b">
        <v>0</v>
      </c>
      <c r="L234" t="b">
        <v>0</v>
      </c>
      <c r="M234">
        <v>0</v>
      </c>
      <c r="N234">
        <v>6</v>
      </c>
      <c r="O234">
        <f t="shared" si="22"/>
        <v>35</v>
      </c>
      <c r="P234">
        <f t="shared" si="27"/>
        <v>5</v>
      </c>
      <c r="Q234" s="11">
        <f t="shared" ca="1" si="25"/>
        <v>46020</v>
      </c>
      <c r="R234" s="11">
        <f t="shared" ca="1" si="26"/>
        <v>46050</v>
      </c>
    </row>
    <row r="235" spans="1:18" x14ac:dyDescent="0.25">
      <c r="A235" s="2">
        <v>2616</v>
      </c>
      <c r="B235">
        <v>3647</v>
      </c>
      <c r="C235" s="11">
        <v>40834</v>
      </c>
      <c r="D235" t="s">
        <v>10</v>
      </c>
      <c r="E235">
        <v>0</v>
      </c>
      <c r="F235" s="3">
        <f t="shared" si="24"/>
        <v>40864</v>
      </c>
      <c r="G235">
        <v>19</v>
      </c>
      <c r="H235">
        <v>0</v>
      </c>
      <c r="I235" t="b">
        <v>1</v>
      </c>
      <c r="J235">
        <v>1524</v>
      </c>
      <c r="K235" t="b">
        <v>0</v>
      </c>
      <c r="L235" t="b">
        <v>0</v>
      </c>
      <c r="M235">
        <v>0</v>
      </c>
      <c r="N235">
        <v>6</v>
      </c>
      <c r="O235">
        <f t="shared" si="22"/>
        <v>28</v>
      </c>
      <c r="P235">
        <f>O235-30</f>
        <v>-2</v>
      </c>
      <c r="Q235" s="11">
        <f t="shared" ca="1" si="25"/>
        <v>46027</v>
      </c>
      <c r="R235" s="11">
        <f t="shared" ca="1" si="26"/>
        <v>46057</v>
      </c>
    </row>
    <row r="236" spans="1:18" x14ac:dyDescent="0.25">
      <c r="A236" s="2">
        <v>2617</v>
      </c>
      <c r="B236">
        <v>2142</v>
      </c>
      <c r="C236" s="11">
        <v>40841</v>
      </c>
      <c r="D236" t="s">
        <v>10</v>
      </c>
      <c r="E236">
        <v>0</v>
      </c>
      <c r="F236" s="3">
        <f t="shared" si="24"/>
        <v>40871</v>
      </c>
      <c r="G236">
        <v>0</v>
      </c>
      <c r="H236">
        <v>0.3</v>
      </c>
      <c r="I236" t="b">
        <v>1</v>
      </c>
      <c r="J236">
        <v>1524</v>
      </c>
      <c r="K236" t="b">
        <v>0</v>
      </c>
      <c r="L236" t="b">
        <v>0</v>
      </c>
      <c r="M236">
        <v>0</v>
      </c>
      <c r="N236">
        <v>6</v>
      </c>
      <c r="O236">
        <f t="shared" si="22"/>
        <v>21</v>
      </c>
      <c r="P236">
        <f t="shared" ref="P236:P239" si="28">O236-30</f>
        <v>-9</v>
      </c>
      <c r="Q236" s="11">
        <f t="shared" ca="1" si="25"/>
        <v>46034</v>
      </c>
      <c r="R236" s="11">
        <f t="shared" ca="1" si="26"/>
        <v>46064</v>
      </c>
    </row>
    <row r="237" spans="1:18" x14ac:dyDescent="0.25">
      <c r="A237" s="2">
        <v>2618</v>
      </c>
      <c r="B237">
        <v>2345</v>
      </c>
      <c r="C237" s="11">
        <v>40848</v>
      </c>
      <c r="D237" t="s">
        <v>10</v>
      </c>
      <c r="E237">
        <v>0</v>
      </c>
      <c r="F237" s="3">
        <f t="shared" si="24"/>
        <v>40878</v>
      </c>
      <c r="G237">
        <v>0</v>
      </c>
      <c r="H237">
        <v>0</v>
      </c>
      <c r="I237" t="b">
        <v>0</v>
      </c>
      <c r="J237">
        <v>1524</v>
      </c>
      <c r="K237" t="b">
        <v>0</v>
      </c>
      <c r="L237" t="b">
        <v>0</v>
      </c>
      <c r="M237">
        <v>0</v>
      </c>
      <c r="N237">
        <v>6</v>
      </c>
      <c r="O237">
        <f t="shared" si="22"/>
        <v>14</v>
      </c>
      <c r="P237">
        <f t="shared" si="28"/>
        <v>-16</v>
      </c>
      <c r="Q237" s="11">
        <f t="shared" ca="1" si="25"/>
        <v>46041</v>
      </c>
      <c r="R237" s="11">
        <f t="shared" ca="1" si="26"/>
        <v>46071</v>
      </c>
    </row>
    <row r="238" spans="1:18" x14ac:dyDescent="0.25">
      <c r="A238" s="2">
        <v>2619</v>
      </c>
      <c r="B238">
        <v>2568</v>
      </c>
      <c r="C238" s="11">
        <v>40855</v>
      </c>
      <c r="D238" t="s">
        <v>10</v>
      </c>
      <c r="E238">
        <v>0</v>
      </c>
      <c r="F238" s="3">
        <f t="shared" si="24"/>
        <v>40885</v>
      </c>
      <c r="G238">
        <v>0</v>
      </c>
      <c r="H238">
        <v>0.3</v>
      </c>
      <c r="I238" t="b">
        <v>0</v>
      </c>
      <c r="J238">
        <v>1524</v>
      </c>
      <c r="K238" t="b">
        <v>0</v>
      </c>
      <c r="L238" t="b">
        <v>0</v>
      </c>
      <c r="M238">
        <v>0</v>
      </c>
      <c r="N238">
        <v>6</v>
      </c>
      <c r="O238">
        <f t="shared" si="22"/>
        <v>7</v>
      </c>
      <c r="P238">
        <f t="shared" si="28"/>
        <v>-23</v>
      </c>
      <c r="Q238" s="11">
        <f t="shared" ca="1" si="25"/>
        <v>46048</v>
      </c>
      <c r="R238" s="11">
        <f t="shared" ca="1" si="26"/>
        <v>46078</v>
      </c>
    </row>
    <row r="239" spans="1:18" x14ac:dyDescent="0.25">
      <c r="A239" s="2">
        <v>2620</v>
      </c>
      <c r="B239">
        <v>1395</v>
      </c>
      <c r="C239" s="11">
        <v>40862</v>
      </c>
      <c r="D239" t="s">
        <v>10</v>
      </c>
      <c r="E239">
        <v>0</v>
      </c>
      <c r="F239" s="3">
        <f t="shared" si="24"/>
        <v>40892</v>
      </c>
      <c r="G239">
        <v>0</v>
      </c>
      <c r="H239">
        <v>0</v>
      </c>
      <c r="I239" t="b">
        <v>0</v>
      </c>
      <c r="J239">
        <v>1524</v>
      </c>
      <c r="K239" t="b">
        <v>0</v>
      </c>
      <c r="L239" t="b">
        <v>0</v>
      </c>
      <c r="M239">
        <v>0</v>
      </c>
      <c r="N239">
        <v>6</v>
      </c>
      <c r="O239">
        <f t="shared" si="22"/>
        <v>0</v>
      </c>
      <c r="P239">
        <f t="shared" si="28"/>
        <v>-30</v>
      </c>
      <c r="Q239" s="11">
        <f t="shared" ca="1" si="25"/>
        <v>46055</v>
      </c>
      <c r="R239" s="11">
        <f t="shared" ca="1" si="26"/>
        <v>46085</v>
      </c>
    </row>
  </sheetData>
  <autoFilter ref="A1:R239" xr:uid="{F703CDA5-D59B-4CDD-AB3F-C117D8A4876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B684-61D8-4A7A-A3E6-B9AD8AD4CC50}">
  <sheetPr codeName="Feuil3"/>
  <dimension ref="A1:E2091"/>
  <sheetViews>
    <sheetView topLeftCell="A18" workbookViewId="0">
      <selection activeCell="E11" sqref="E11"/>
    </sheetView>
  </sheetViews>
  <sheetFormatPr baseColWidth="10" defaultColWidth="11.42578125" defaultRowHeight="15" x14ac:dyDescent="0.25"/>
  <cols>
    <col min="1" max="1" width="17.7109375" customWidth="1"/>
    <col min="2" max="2" width="14" customWidth="1"/>
    <col min="3" max="3" width="15.7109375" bestFit="1" customWidth="1"/>
    <col min="4" max="4" width="11" customWidth="1"/>
    <col min="5" max="5" width="9.7109375" customWidth="1"/>
  </cols>
  <sheetData>
    <row r="1" spans="1:5" ht="15.75" thickBot="1" x14ac:dyDescent="0.3">
      <c r="A1" s="33" t="s">
        <v>126</v>
      </c>
      <c r="B1" s="33" t="s">
        <v>124</v>
      </c>
      <c r="C1" s="33" t="s">
        <v>127</v>
      </c>
      <c r="D1" s="33" t="s">
        <v>11</v>
      </c>
      <c r="E1" s="33" t="s">
        <v>9321</v>
      </c>
    </row>
    <row r="2" spans="1:5" x14ac:dyDescent="0.25">
      <c r="A2" s="34">
        <v>1</v>
      </c>
      <c r="B2" s="34" t="s">
        <v>9322</v>
      </c>
      <c r="C2" s="34" t="s">
        <v>12</v>
      </c>
      <c r="D2" s="34">
        <v>1</v>
      </c>
      <c r="E2" s="34">
        <v>0</v>
      </c>
    </row>
    <row r="3" spans="1:5" x14ac:dyDescent="0.25">
      <c r="A3">
        <v>2</v>
      </c>
      <c r="B3" t="s">
        <v>9322</v>
      </c>
      <c r="C3" t="s">
        <v>7775</v>
      </c>
      <c r="D3">
        <v>3</v>
      </c>
      <c r="E3">
        <v>0</v>
      </c>
    </row>
    <row r="4" spans="1:5" x14ac:dyDescent="0.25">
      <c r="A4" s="32">
        <v>3</v>
      </c>
      <c r="B4" s="32" t="s">
        <v>9322</v>
      </c>
      <c r="C4" s="32" t="s">
        <v>7777</v>
      </c>
      <c r="D4" s="32">
        <v>10</v>
      </c>
      <c r="E4" s="32">
        <v>0</v>
      </c>
    </row>
    <row r="5" spans="1:5" x14ac:dyDescent="0.25">
      <c r="A5">
        <v>4</v>
      </c>
      <c r="B5" t="s">
        <v>9322</v>
      </c>
      <c r="C5" t="s">
        <v>7779</v>
      </c>
      <c r="D5">
        <v>12</v>
      </c>
      <c r="E5">
        <v>0</v>
      </c>
    </row>
    <row r="6" spans="1:5" x14ac:dyDescent="0.25">
      <c r="A6" s="32">
        <v>5</v>
      </c>
      <c r="B6" s="32" t="s">
        <v>9322</v>
      </c>
      <c r="C6" s="32" t="s">
        <v>7781</v>
      </c>
      <c r="D6" s="32">
        <v>7</v>
      </c>
      <c r="E6" s="32">
        <v>0</v>
      </c>
    </row>
    <row r="7" spans="1:5" x14ac:dyDescent="0.25">
      <c r="A7">
        <v>6</v>
      </c>
      <c r="B7" t="s">
        <v>9322</v>
      </c>
      <c r="C7" t="s">
        <v>7793</v>
      </c>
      <c r="D7">
        <v>14</v>
      </c>
      <c r="E7">
        <v>0</v>
      </c>
    </row>
    <row r="8" spans="1:5" x14ac:dyDescent="0.25">
      <c r="A8" s="32">
        <v>7</v>
      </c>
      <c r="B8" s="32" t="s">
        <v>9323</v>
      </c>
      <c r="C8" s="32" t="s">
        <v>15</v>
      </c>
      <c r="D8" s="32">
        <v>100</v>
      </c>
      <c r="E8" s="32">
        <v>0</v>
      </c>
    </row>
    <row r="9" spans="1:5" x14ac:dyDescent="0.25">
      <c r="A9">
        <v>8</v>
      </c>
      <c r="B9" t="s">
        <v>9323</v>
      </c>
      <c r="C9" t="s">
        <v>16</v>
      </c>
      <c r="D9">
        <v>100</v>
      </c>
      <c r="E9">
        <v>0</v>
      </c>
    </row>
    <row r="10" spans="1:5" x14ac:dyDescent="0.25">
      <c r="A10" s="32">
        <v>9</v>
      </c>
      <c r="B10" s="32" t="s">
        <v>9323</v>
      </c>
      <c r="C10" s="32" t="s">
        <v>17</v>
      </c>
      <c r="D10" s="32">
        <v>100</v>
      </c>
      <c r="E10" s="32">
        <v>0</v>
      </c>
    </row>
    <row r="11" spans="1:5" x14ac:dyDescent="0.25">
      <c r="A11">
        <v>10</v>
      </c>
      <c r="B11" t="s">
        <v>9323</v>
      </c>
      <c r="C11" t="s">
        <v>12</v>
      </c>
      <c r="D11">
        <v>100</v>
      </c>
      <c r="E11">
        <v>0</v>
      </c>
    </row>
    <row r="12" spans="1:5" x14ac:dyDescent="0.25">
      <c r="A12" s="32">
        <v>11</v>
      </c>
      <c r="B12" s="32" t="s">
        <v>9323</v>
      </c>
      <c r="C12" s="32" t="s">
        <v>7761</v>
      </c>
      <c r="D12" s="32">
        <v>20</v>
      </c>
      <c r="E12" s="32">
        <v>0</v>
      </c>
    </row>
    <row r="13" spans="1:5" x14ac:dyDescent="0.25">
      <c r="A13">
        <v>12</v>
      </c>
      <c r="B13" t="s">
        <v>9323</v>
      </c>
      <c r="C13" t="s">
        <v>7763</v>
      </c>
      <c r="D13">
        <v>20</v>
      </c>
      <c r="E13">
        <v>0</v>
      </c>
    </row>
    <row r="14" spans="1:5" x14ac:dyDescent="0.25">
      <c r="A14" s="32">
        <v>13</v>
      </c>
      <c r="B14" s="32" t="s">
        <v>9324</v>
      </c>
      <c r="C14" s="32" t="s">
        <v>7092</v>
      </c>
      <c r="D14" s="32">
        <v>6</v>
      </c>
      <c r="E14" s="32">
        <v>0</v>
      </c>
    </row>
    <row r="15" spans="1:5" x14ac:dyDescent="0.25">
      <c r="A15">
        <v>14</v>
      </c>
      <c r="B15" t="s">
        <v>9324</v>
      </c>
      <c r="C15" t="s">
        <v>7093</v>
      </c>
      <c r="D15">
        <v>150</v>
      </c>
      <c r="E15">
        <v>0</v>
      </c>
    </row>
    <row r="16" spans="1:5" x14ac:dyDescent="0.25">
      <c r="A16" s="32">
        <v>15</v>
      </c>
      <c r="B16" s="32" t="s">
        <v>9324</v>
      </c>
      <c r="C16" s="32" t="s">
        <v>7368</v>
      </c>
      <c r="D16" s="32">
        <v>2</v>
      </c>
      <c r="E16" s="32">
        <v>0</v>
      </c>
    </row>
    <row r="17" spans="1:5" x14ac:dyDescent="0.25">
      <c r="A17">
        <v>16</v>
      </c>
      <c r="B17" t="s">
        <v>9324</v>
      </c>
      <c r="C17" t="s">
        <v>7095</v>
      </c>
      <c r="D17">
        <v>45</v>
      </c>
      <c r="E17">
        <v>0</v>
      </c>
    </row>
    <row r="18" spans="1:5" x14ac:dyDescent="0.25">
      <c r="A18" s="32">
        <v>17</v>
      </c>
      <c r="B18" s="32" t="s">
        <v>9324</v>
      </c>
      <c r="C18" s="32" t="s">
        <v>7102</v>
      </c>
      <c r="D18" s="32">
        <v>2</v>
      </c>
      <c r="E18" s="32">
        <v>0</v>
      </c>
    </row>
    <row r="19" spans="1:5" x14ac:dyDescent="0.25">
      <c r="A19">
        <v>18</v>
      </c>
      <c r="B19" t="s">
        <v>9324</v>
      </c>
      <c r="C19" t="s">
        <v>7104</v>
      </c>
      <c r="D19">
        <v>52</v>
      </c>
      <c r="E19">
        <v>0</v>
      </c>
    </row>
    <row r="20" spans="1:5" x14ac:dyDescent="0.25">
      <c r="A20" s="32">
        <v>19</v>
      </c>
      <c r="B20" s="32" t="s">
        <v>9324</v>
      </c>
      <c r="C20" s="32" t="s">
        <v>77</v>
      </c>
      <c r="D20" s="32">
        <v>2</v>
      </c>
      <c r="E20" s="32">
        <v>0</v>
      </c>
    </row>
    <row r="21" spans="1:5" x14ac:dyDescent="0.25">
      <c r="A21">
        <v>20</v>
      </c>
      <c r="B21" t="s">
        <v>9325</v>
      </c>
      <c r="C21" t="s">
        <v>7841</v>
      </c>
      <c r="D21">
        <v>32</v>
      </c>
      <c r="E21">
        <v>0</v>
      </c>
    </row>
    <row r="22" spans="1:5" x14ac:dyDescent="0.25">
      <c r="A22" s="32">
        <v>21</v>
      </c>
      <c r="B22" s="32" t="s">
        <v>9325</v>
      </c>
      <c r="C22" s="32" t="s">
        <v>7147</v>
      </c>
      <c r="D22" s="32">
        <v>2</v>
      </c>
      <c r="E22" s="32">
        <v>0</v>
      </c>
    </row>
    <row r="23" spans="1:5" x14ac:dyDescent="0.25">
      <c r="A23">
        <v>22</v>
      </c>
      <c r="B23" t="s">
        <v>9325</v>
      </c>
      <c r="C23" t="s">
        <v>13</v>
      </c>
      <c r="D23">
        <v>25</v>
      </c>
      <c r="E23">
        <v>0</v>
      </c>
    </row>
    <row r="24" spans="1:5" x14ac:dyDescent="0.25">
      <c r="A24" s="32">
        <v>23</v>
      </c>
      <c r="B24" s="32" t="s">
        <v>9325</v>
      </c>
      <c r="C24" s="32" t="s">
        <v>7149</v>
      </c>
      <c r="D24" s="32">
        <v>2</v>
      </c>
      <c r="E24" s="32">
        <v>0</v>
      </c>
    </row>
    <row r="25" spans="1:5" x14ac:dyDescent="0.25">
      <c r="A25">
        <v>24</v>
      </c>
      <c r="B25" t="s">
        <v>9325</v>
      </c>
      <c r="C25" t="s">
        <v>7151</v>
      </c>
      <c r="D25">
        <v>1</v>
      </c>
      <c r="E25">
        <v>0</v>
      </c>
    </row>
    <row r="26" spans="1:5" x14ac:dyDescent="0.25">
      <c r="A26" s="32">
        <v>25</v>
      </c>
      <c r="B26" s="32" t="s">
        <v>9325</v>
      </c>
      <c r="C26" s="32" t="s">
        <v>7153</v>
      </c>
      <c r="D26" s="32">
        <v>54</v>
      </c>
      <c r="E26" s="32">
        <v>0</v>
      </c>
    </row>
    <row r="27" spans="1:5" x14ac:dyDescent="0.25">
      <c r="A27">
        <v>26</v>
      </c>
      <c r="B27" t="s">
        <v>9325</v>
      </c>
      <c r="C27" t="s">
        <v>7155</v>
      </c>
      <c r="D27">
        <v>3</v>
      </c>
      <c r="E27">
        <v>0</v>
      </c>
    </row>
    <row r="28" spans="1:5" x14ac:dyDescent="0.25">
      <c r="A28" s="32">
        <v>27</v>
      </c>
      <c r="B28" s="32" t="s">
        <v>9325</v>
      </c>
      <c r="C28" s="32" t="s">
        <v>7157</v>
      </c>
      <c r="D28" s="32">
        <v>3</v>
      </c>
      <c r="E28" s="32">
        <v>0</v>
      </c>
    </row>
    <row r="29" spans="1:5" x14ac:dyDescent="0.25">
      <c r="A29">
        <v>28</v>
      </c>
      <c r="B29" t="s">
        <v>9325</v>
      </c>
      <c r="C29" t="s">
        <v>40</v>
      </c>
      <c r="D29">
        <v>150</v>
      </c>
      <c r="E29">
        <v>0</v>
      </c>
    </row>
    <row r="30" spans="1:5" x14ac:dyDescent="0.25">
      <c r="A30" s="32">
        <v>29</v>
      </c>
      <c r="B30" s="32" t="s">
        <v>9326</v>
      </c>
      <c r="C30" s="32" t="s">
        <v>76</v>
      </c>
      <c r="D30" s="32">
        <v>1</v>
      </c>
      <c r="E30" s="32">
        <v>0</v>
      </c>
    </row>
    <row r="31" spans="1:5" x14ac:dyDescent="0.25">
      <c r="A31">
        <v>30</v>
      </c>
      <c r="B31" t="s">
        <v>9326</v>
      </c>
      <c r="C31" t="s">
        <v>100</v>
      </c>
      <c r="D31">
        <v>120</v>
      </c>
      <c r="E31">
        <v>0</v>
      </c>
    </row>
    <row r="32" spans="1:5" x14ac:dyDescent="0.25">
      <c r="A32" s="32">
        <v>31</v>
      </c>
      <c r="B32" s="32" t="s">
        <v>9326</v>
      </c>
      <c r="C32" s="32" t="s">
        <v>96</v>
      </c>
      <c r="D32" s="32">
        <v>10</v>
      </c>
      <c r="E32" s="32">
        <v>0</v>
      </c>
    </row>
    <row r="33" spans="1:5" x14ac:dyDescent="0.25">
      <c r="A33">
        <v>32</v>
      </c>
      <c r="B33" t="s">
        <v>9326</v>
      </c>
      <c r="C33" t="s">
        <v>6901</v>
      </c>
      <c r="D33">
        <v>150</v>
      </c>
      <c r="E33">
        <v>0</v>
      </c>
    </row>
    <row r="34" spans="1:5" x14ac:dyDescent="0.25">
      <c r="A34" s="32">
        <v>33</v>
      </c>
      <c r="B34" s="32" t="s">
        <v>9326</v>
      </c>
      <c r="C34" s="32" t="s">
        <v>21</v>
      </c>
      <c r="D34" s="32">
        <v>1</v>
      </c>
      <c r="E34" s="32">
        <v>0</v>
      </c>
    </row>
    <row r="35" spans="1:5" x14ac:dyDescent="0.25">
      <c r="A35">
        <v>34</v>
      </c>
      <c r="B35" t="s">
        <v>9326</v>
      </c>
      <c r="C35" t="s">
        <v>6904</v>
      </c>
      <c r="D35">
        <v>2</v>
      </c>
      <c r="E35">
        <v>0</v>
      </c>
    </row>
    <row r="36" spans="1:5" x14ac:dyDescent="0.25">
      <c r="A36" s="32">
        <v>35</v>
      </c>
      <c r="B36" s="32" t="s">
        <v>9326</v>
      </c>
      <c r="C36" s="32" t="s">
        <v>52</v>
      </c>
      <c r="D36" s="32">
        <v>160</v>
      </c>
      <c r="E36" s="32">
        <v>0</v>
      </c>
    </row>
    <row r="37" spans="1:5" x14ac:dyDescent="0.25">
      <c r="A37">
        <v>36</v>
      </c>
      <c r="B37" t="s">
        <v>9326</v>
      </c>
      <c r="C37" t="s">
        <v>63</v>
      </c>
      <c r="D37">
        <v>10</v>
      </c>
      <c r="E37">
        <v>0</v>
      </c>
    </row>
    <row r="38" spans="1:5" x14ac:dyDescent="0.25">
      <c r="A38" s="32">
        <v>37</v>
      </c>
      <c r="B38" s="32" t="s">
        <v>9326</v>
      </c>
      <c r="C38" s="32" t="s">
        <v>6908</v>
      </c>
      <c r="D38" s="32">
        <v>1</v>
      </c>
      <c r="E38" s="32">
        <v>0</v>
      </c>
    </row>
    <row r="39" spans="1:5" x14ac:dyDescent="0.25">
      <c r="A39">
        <v>38</v>
      </c>
      <c r="B39" t="s">
        <v>9327</v>
      </c>
      <c r="C39" t="s">
        <v>35</v>
      </c>
      <c r="D39">
        <v>240</v>
      </c>
      <c r="E39">
        <v>11.52</v>
      </c>
    </row>
    <row r="40" spans="1:5" x14ac:dyDescent="0.25">
      <c r="A40" s="32">
        <v>39</v>
      </c>
      <c r="B40" s="32" t="s">
        <v>9327</v>
      </c>
      <c r="C40" s="32" t="s">
        <v>36</v>
      </c>
      <c r="D40" s="32">
        <v>240</v>
      </c>
      <c r="E40" s="32">
        <v>11.52</v>
      </c>
    </row>
    <row r="41" spans="1:5" x14ac:dyDescent="0.25">
      <c r="A41">
        <v>40</v>
      </c>
      <c r="B41" t="s">
        <v>9327</v>
      </c>
      <c r="C41" t="s">
        <v>6988</v>
      </c>
      <c r="D41">
        <v>1</v>
      </c>
      <c r="E41">
        <v>0</v>
      </c>
    </row>
    <row r="42" spans="1:5" x14ac:dyDescent="0.25">
      <c r="A42" s="32">
        <v>41</v>
      </c>
      <c r="B42" s="32" t="s">
        <v>9327</v>
      </c>
      <c r="C42" s="32" t="s">
        <v>6990</v>
      </c>
      <c r="D42" s="32">
        <v>12</v>
      </c>
      <c r="E42" s="32">
        <v>0</v>
      </c>
    </row>
    <row r="43" spans="1:5" x14ac:dyDescent="0.25">
      <c r="A43">
        <v>42</v>
      </c>
      <c r="B43" t="s">
        <v>9327</v>
      </c>
      <c r="C43" t="s">
        <v>6992</v>
      </c>
      <c r="D43">
        <v>14</v>
      </c>
      <c r="E43">
        <v>0</v>
      </c>
    </row>
    <row r="44" spans="1:5" x14ac:dyDescent="0.25">
      <c r="A44" s="32">
        <v>43</v>
      </c>
      <c r="B44" s="32" t="s">
        <v>9327</v>
      </c>
      <c r="C44" s="32" t="s">
        <v>6994</v>
      </c>
      <c r="D44" s="32">
        <v>14</v>
      </c>
      <c r="E44" s="32">
        <v>0</v>
      </c>
    </row>
    <row r="45" spans="1:5" x14ac:dyDescent="0.25">
      <c r="A45">
        <v>44</v>
      </c>
      <c r="B45" t="s">
        <v>9327</v>
      </c>
      <c r="C45" t="s">
        <v>90</v>
      </c>
      <c r="D45">
        <v>16</v>
      </c>
      <c r="E45">
        <v>0</v>
      </c>
    </row>
    <row r="46" spans="1:5" x14ac:dyDescent="0.25">
      <c r="A46" s="32">
        <v>45</v>
      </c>
      <c r="B46" s="32" t="s">
        <v>9327</v>
      </c>
      <c r="C46" s="32" t="s">
        <v>89</v>
      </c>
      <c r="D46" s="32">
        <v>16</v>
      </c>
      <c r="E46" s="32">
        <v>0</v>
      </c>
    </row>
    <row r="47" spans="1:5" x14ac:dyDescent="0.25">
      <c r="A47">
        <v>46</v>
      </c>
      <c r="B47" t="s">
        <v>9328</v>
      </c>
      <c r="C47" t="s">
        <v>45</v>
      </c>
      <c r="D47">
        <v>2</v>
      </c>
      <c r="E47">
        <v>0</v>
      </c>
    </row>
    <row r="48" spans="1:5" x14ac:dyDescent="0.25">
      <c r="A48" s="32">
        <v>47</v>
      </c>
      <c r="B48" s="32" t="s">
        <v>9328</v>
      </c>
      <c r="C48" s="32" t="s">
        <v>27</v>
      </c>
      <c r="D48" s="32">
        <v>1</v>
      </c>
      <c r="E48" s="32">
        <v>0</v>
      </c>
    </row>
    <row r="49" spans="1:5" x14ac:dyDescent="0.25">
      <c r="A49">
        <v>48</v>
      </c>
      <c r="B49" t="s">
        <v>9328</v>
      </c>
      <c r="C49" t="s">
        <v>7020</v>
      </c>
      <c r="D49">
        <v>16</v>
      </c>
      <c r="E49">
        <v>0</v>
      </c>
    </row>
    <row r="50" spans="1:5" x14ac:dyDescent="0.25">
      <c r="A50" s="32">
        <v>49</v>
      </c>
      <c r="B50" s="32" t="s">
        <v>9328</v>
      </c>
      <c r="C50" s="32" t="s">
        <v>7022</v>
      </c>
      <c r="D50" s="32">
        <v>25</v>
      </c>
      <c r="E50" s="32">
        <v>0</v>
      </c>
    </row>
    <row r="51" spans="1:5" x14ac:dyDescent="0.25">
      <c r="A51">
        <v>50</v>
      </c>
      <c r="B51" t="s">
        <v>9328</v>
      </c>
      <c r="C51" t="s">
        <v>95</v>
      </c>
      <c r="D51">
        <v>1</v>
      </c>
      <c r="E51">
        <v>50</v>
      </c>
    </row>
    <row r="52" spans="1:5" x14ac:dyDescent="0.25">
      <c r="A52" s="32">
        <v>51</v>
      </c>
      <c r="B52" s="32" t="s">
        <v>9328</v>
      </c>
      <c r="C52" s="32" t="s">
        <v>7024</v>
      </c>
      <c r="D52" s="32">
        <v>1</v>
      </c>
      <c r="E52" s="32">
        <v>0</v>
      </c>
    </row>
    <row r="53" spans="1:5" x14ac:dyDescent="0.25">
      <c r="A53">
        <v>52</v>
      </c>
      <c r="B53" t="s">
        <v>9328</v>
      </c>
      <c r="C53" t="s">
        <v>7026</v>
      </c>
      <c r="D53">
        <v>45</v>
      </c>
      <c r="E53">
        <v>-1.42</v>
      </c>
    </row>
    <row r="54" spans="1:5" x14ac:dyDescent="0.25">
      <c r="A54" s="32">
        <v>53</v>
      </c>
      <c r="B54" s="32" t="s">
        <v>9328</v>
      </c>
      <c r="C54" s="32" t="s">
        <v>71</v>
      </c>
      <c r="D54" s="32">
        <v>6</v>
      </c>
      <c r="E54" s="32">
        <v>-8</v>
      </c>
    </row>
    <row r="55" spans="1:5" x14ac:dyDescent="0.25">
      <c r="A55">
        <v>54</v>
      </c>
      <c r="B55" t="s">
        <v>9328</v>
      </c>
      <c r="C55" t="s">
        <v>94</v>
      </c>
      <c r="D55">
        <v>8</v>
      </c>
      <c r="E55">
        <v>-6</v>
      </c>
    </row>
    <row r="56" spans="1:5" x14ac:dyDescent="0.25">
      <c r="A56" s="32">
        <v>55</v>
      </c>
      <c r="B56" s="32" t="s">
        <v>9328</v>
      </c>
      <c r="C56" s="32" t="s">
        <v>101</v>
      </c>
      <c r="D56" s="32">
        <v>14</v>
      </c>
      <c r="E56" s="32">
        <v>-2.5</v>
      </c>
    </row>
    <row r="57" spans="1:5" x14ac:dyDescent="0.25">
      <c r="A57">
        <v>56</v>
      </c>
      <c r="B57" t="s">
        <v>9328</v>
      </c>
      <c r="C57" t="s">
        <v>7031</v>
      </c>
      <c r="D57">
        <v>12</v>
      </c>
      <c r="E57">
        <v>-2</v>
      </c>
    </row>
    <row r="58" spans="1:5" x14ac:dyDescent="0.25">
      <c r="A58" s="32">
        <v>57</v>
      </c>
      <c r="B58" s="32" t="s">
        <v>9329</v>
      </c>
      <c r="C58" s="32" t="s">
        <v>7174</v>
      </c>
      <c r="D58" s="32">
        <v>8</v>
      </c>
      <c r="E58" s="32">
        <v>0</v>
      </c>
    </row>
    <row r="59" spans="1:5" x14ac:dyDescent="0.25">
      <c r="A59">
        <v>58</v>
      </c>
      <c r="B59" t="s">
        <v>9329</v>
      </c>
      <c r="C59" t="s">
        <v>7176</v>
      </c>
      <c r="D59">
        <v>16</v>
      </c>
      <c r="E59">
        <v>0</v>
      </c>
    </row>
    <row r="60" spans="1:5" x14ac:dyDescent="0.25">
      <c r="A60" s="32">
        <v>59</v>
      </c>
      <c r="B60" s="32" t="s">
        <v>9329</v>
      </c>
      <c r="C60" s="32" t="s">
        <v>7178</v>
      </c>
      <c r="D60" s="32">
        <v>16</v>
      </c>
      <c r="E60" s="32">
        <v>0</v>
      </c>
    </row>
    <row r="61" spans="1:5" x14ac:dyDescent="0.25">
      <c r="A61">
        <v>60</v>
      </c>
      <c r="B61" t="s">
        <v>9330</v>
      </c>
      <c r="C61" t="s">
        <v>7200</v>
      </c>
      <c r="D61">
        <v>4</v>
      </c>
      <c r="E61">
        <v>0</v>
      </c>
    </row>
    <row r="62" spans="1:5" x14ac:dyDescent="0.25">
      <c r="A62" s="32">
        <v>61</v>
      </c>
      <c r="B62" s="32" t="s">
        <v>9330</v>
      </c>
      <c r="C62" s="32" t="s">
        <v>7202</v>
      </c>
      <c r="D62" s="32">
        <v>2</v>
      </c>
      <c r="E62" s="32">
        <v>0</v>
      </c>
    </row>
    <row r="63" spans="1:5" x14ac:dyDescent="0.25">
      <c r="A63">
        <v>62</v>
      </c>
      <c r="B63" t="s">
        <v>9330</v>
      </c>
      <c r="C63" t="s">
        <v>7204</v>
      </c>
      <c r="D63">
        <v>2</v>
      </c>
      <c r="E63">
        <v>0</v>
      </c>
    </row>
    <row r="64" spans="1:5" x14ac:dyDescent="0.25">
      <c r="A64" s="32">
        <v>63</v>
      </c>
      <c r="B64" s="32" t="s">
        <v>9331</v>
      </c>
      <c r="C64" s="32" t="s">
        <v>7245</v>
      </c>
      <c r="D64" s="32">
        <v>1</v>
      </c>
      <c r="E64" s="32">
        <v>0</v>
      </c>
    </row>
    <row r="65" spans="1:5" x14ac:dyDescent="0.25">
      <c r="A65">
        <v>64</v>
      </c>
      <c r="B65" t="s">
        <v>9331</v>
      </c>
      <c r="C65" t="s">
        <v>7247</v>
      </c>
      <c r="D65">
        <v>1</v>
      </c>
      <c r="E65">
        <v>0</v>
      </c>
    </row>
    <row r="66" spans="1:5" x14ac:dyDescent="0.25">
      <c r="A66" s="32">
        <v>65</v>
      </c>
      <c r="B66" s="32" t="s">
        <v>9331</v>
      </c>
      <c r="C66" s="32" t="s">
        <v>7249</v>
      </c>
      <c r="D66" s="32">
        <v>24</v>
      </c>
      <c r="E66" s="32">
        <v>0</v>
      </c>
    </row>
    <row r="67" spans="1:5" x14ac:dyDescent="0.25">
      <c r="A67">
        <v>66</v>
      </c>
      <c r="B67" t="s">
        <v>9331</v>
      </c>
      <c r="C67" t="s">
        <v>7251</v>
      </c>
      <c r="D67">
        <v>16</v>
      </c>
      <c r="E67">
        <v>0</v>
      </c>
    </row>
    <row r="68" spans="1:5" x14ac:dyDescent="0.25">
      <c r="A68" s="32">
        <v>67</v>
      </c>
      <c r="B68" s="32" t="s">
        <v>9331</v>
      </c>
      <c r="C68" s="32" t="s">
        <v>7253</v>
      </c>
      <c r="D68" s="32">
        <v>8</v>
      </c>
      <c r="E68" s="32">
        <v>0</v>
      </c>
    </row>
    <row r="69" spans="1:5" x14ac:dyDescent="0.25">
      <c r="A69">
        <v>68</v>
      </c>
      <c r="B69" t="s">
        <v>9331</v>
      </c>
      <c r="C69" t="s">
        <v>7255</v>
      </c>
      <c r="D69">
        <v>8</v>
      </c>
      <c r="E69">
        <v>0</v>
      </c>
    </row>
    <row r="70" spans="1:5" x14ac:dyDescent="0.25">
      <c r="A70" s="32">
        <v>69</v>
      </c>
      <c r="B70" s="32" t="s">
        <v>9332</v>
      </c>
      <c r="C70" s="32" t="s">
        <v>7267</v>
      </c>
      <c r="D70" s="32">
        <v>8</v>
      </c>
      <c r="E70" s="32">
        <v>0</v>
      </c>
    </row>
    <row r="71" spans="1:5" x14ac:dyDescent="0.25">
      <c r="A71">
        <v>70</v>
      </c>
      <c r="B71" t="s">
        <v>9332</v>
      </c>
      <c r="C71" t="s">
        <v>7269</v>
      </c>
      <c r="D71">
        <v>1</v>
      </c>
      <c r="E71">
        <v>0</v>
      </c>
    </row>
    <row r="72" spans="1:5" x14ac:dyDescent="0.25">
      <c r="A72" s="32">
        <v>71</v>
      </c>
      <c r="B72" s="32" t="s">
        <v>9332</v>
      </c>
      <c r="C72" s="32" t="s">
        <v>7271</v>
      </c>
      <c r="D72" s="32">
        <v>1</v>
      </c>
      <c r="E72" s="32">
        <v>0</v>
      </c>
    </row>
    <row r="73" spans="1:5" x14ac:dyDescent="0.25">
      <c r="A73">
        <v>72</v>
      </c>
      <c r="B73" t="s">
        <v>9332</v>
      </c>
      <c r="C73" t="s">
        <v>7273</v>
      </c>
      <c r="D73">
        <v>3</v>
      </c>
      <c r="E73">
        <v>0</v>
      </c>
    </row>
    <row r="74" spans="1:5" x14ac:dyDescent="0.25">
      <c r="A74" s="32">
        <v>73</v>
      </c>
      <c r="B74" s="32" t="s">
        <v>9332</v>
      </c>
      <c r="C74" s="32" t="s">
        <v>7275</v>
      </c>
      <c r="D74" s="32">
        <v>3</v>
      </c>
      <c r="E74" s="32">
        <v>0</v>
      </c>
    </row>
    <row r="75" spans="1:5" x14ac:dyDescent="0.25">
      <c r="A75">
        <v>74</v>
      </c>
      <c r="B75" t="s">
        <v>9332</v>
      </c>
      <c r="C75" t="s">
        <v>7277</v>
      </c>
      <c r="D75">
        <v>10</v>
      </c>
      <c r="E75">
        <v>0</v>
      </c>
    </row>
    <row r="76" spans="1:5" x14ac:dyDescent="0.25">
      <c r="A76" s="32">
        <v>75</v>
      </c>
      <c r="B76" s="32" t="s">
        <v>9333</v>
      </c>
      <c r="C76" s="32" t="s">
        <v>29</v>
      </c>
      <c r="D76" s="32">
        <v>1</v>
      </c>
      <c r="E76" s="32">
        <v>0</v>
      </c>
    </row>
    <row r="77" spans="1:5" x14ac:dyDescent="0.25">
      <c r="A77">
        <v>76</v>
      </c>
      <c r="B77" t="s">
        <v>9333</v>
      </c>
      <c r="C77" t="s">
        <v>87</v>
      </c>
      <c r="D77">
        <v>2</v>
      </c>
      <c r="E77">
        <v>0</v>
      </c>
    </row>
    <row r="78" spans="1:5" x14ac:dyDescent="0.25">
      <c r="A78" s="32">
        <v>77</v>
      </c>
      <c r="B78" s="32" t="s">
        <v>9333</v>
      </c>
      <c r="C78" s="32" t="s">
        <v>7079</v>
      </c>
      <c r="D78" s="32">
        <v>2</v>
      </c>
      <c r="E78" s="32">
        <v>0</v>
      </c>
    </row>
    <row r="79" spans="1:5" x14ac:dyDescent="0.25">
      <c r="A79">
        <v>78</v>
      </c>
      <c r="B79" t="s">
        <v>9333</v>
      </c>
      <c r="C79" t="s">
        <v>7319</v>
      </c>
      <c r="D79">
        <v>3</v>
      </c>
      <c r="E79">
        <v>0</v>
      </c>
    </row>
    <row r="80" spans="1:5" x14ac:dyDescent="0.25">
      <c r="A80" s="32">
        <v>79</v>
      </c>
      <c r="B80" s="32" t="s">
        <v>9333</v>
      </c>
      <c r="C80" s="32" t="s">
        <v>7321</v>
      </c>
      <c r="D80" s="32">
        <v>4</v>
      </c>
      <c r="E80" s="32">
        <v>8</v>
      </c>
    </row>
    <row r="81" spans="1:5" x14ac:dyDescent="0.25">
      <c r="A81">
        <v>80</v>
      </c>
      <c r="B81" t="s">
        <v>9334</v>
      </c>
      <c r="C81" t="s">
        <v>7387</v>
      </c>
      <c r="D81">
        <v>9</v>
      </c>
      <c r="E81">
        <v>0</v>
      </c>
    </row>
    <row r="82" spans="1:5" x14ac:dyDescent="0.25">
      <c r="A82" s="32">
        <v>81</v>
      </c>
      <c r="B82" s="32" t="s">
        <v>9334</v>
      </c>
      <c r="C82" s="32" t="s">
        <v>7389</v>
      </c>
      <c r="D82" s="32">
        <v>145</v>
      </c>
      <c r="E82" s="32">
        <v>0</v>
      </c>
    </row>
    <row r="83" spans="1:5" x14ac:dyDescent="0.25">
      <c r="A83">
        <v>82</v>
      </c>
      <c r="B83" t="s">
        <v>9334</v>
      </c>
      <c r="C83" t="s">
        <v>7391</v>
      </c>
      <c r="D83">
        <v>2</v>
      </c>
      <c r="E83">
        <v>0</v>
      </c>
    </row>
    <row r="84" spans="1:5" x14ac:dyDescent="0.25">
      <c r="A84" s="32">
        <v>83</v>
      </c>
      <c r="B84" s="32" t="s">
        <v>9334</v>
      </c>
      <c r="C84" s="32" t="s">
        <v>7393</v>
      </c>
      <c r="D84" s="32">
        <v>1</v>
      </c>
      <c r="E84" s="32">
        <v>4</v>
      </c>
    </row>
    <row r="85" spans="1:5" x14ac:dyDescent="0.25">
      <c r="A85">
        <v>84</v>
      </c>
      <c r="B85" t="s">
        <v>9334</v>
      </c>
      <c r="C85" t="s">
        <v>7395</v>
      </c>
      <c r="D85">
        <v>1</v>
      </c>
      <c r="E85">
        <v>0</v>
      </c>
    </row>
    <row r="86" spans="1:5" x14ac:dyDescent="0.25">
      <c r="A86" s="32">
        <v>85</v>
      </c>
      <c r="B86" s="32" t="s">
        <v>9335</v>
      </c>
      <c r="C86" s="32" t="s">
        <v>7432</v>
      </c>
      <c r="D86" s="32">
        <v>1</v>
      </c>
      <c r="E86" s="32">
        <v>0</v>
      </c>
    </row>
    <row r="87" spans="1:5" x14ac:dyDescent="0.25">
      <c r="A87">
        <v>86</v>
      </c>
      <c r="B87" t="s">
        <v>9335</v>
      </c>
      <c r="C87" t="s">
        <v>7434</v>
      </c>
      <c r="D87">
        <v>10</v>
      </c>
      <c r="E87">
        <v>0</v>
      </c>
    </row>
    <row r="88" spans="1:5" x14ac:dyDescent="0.25">
      <c r="A88" s="32">
        <v>87</v>
      </c>
      <c r="B88" s="32" t="s">
        <v>9335</v>
      </c>
      <c r="C88" s="32" t="s">
        <v>7436</v>
      </c>
      <c r="D88" s="32">
        <v>1</v>
      </c>
      <c r="E88" s="32">
        <v>0</v>
      </c>
    </row>
    <row r="89" spans="1:5" x14ac:dyDescent="0.25">
      <c r="A89">
        <v>88</v>
      </c>
      <c r="B89" t="s">
        <v>9335</v>
      </c>
      <c r="C89" t="s">
        <v>7438</v>
      </c>
      <c r="D89">
        <v>1</v>
      </c>
      <c r="E89">
        <v>0</v>
      </c>
    </row>
    <row r="90" spans="1:5" x14ac:dyDescent="0.25">
      <c r="A90" s="32">
        <v>89</v>
      </c>
      <c r="B90" s="32" t="s">
        <v>9335</v>
      </c>
      <c r="C90" s="32" t="s">
        <v>7440</v>
      </c>
      <c r="D90" s="32">
        <v>2</v>
      </c>
      <c r="E90" s="32">
        <v>0</v>
      </c>
    </row>
    <row r="91" spans="1:5" x14ac:dyDescent="0.25">
      <c r="A91">
        <v>90</v>
      </c>
      <c r="B91" t="s">
        <v>9335</v>
      </c>
      <c r="C91" t="s">
        <v>7442</v>
      </c>
      <c r="D91">
        <v>2</v>
      </c>
      <c r="E91">
        <v>0</v>
      </c>
    </row>
    <row r="92" spans="1:5" x14ac:dyDescent="0.25">
      <c r="A92" s="32">
        <v>91</v>
      </c>
      <c r="B92" s="32" t="s">
        <v>9336</v>
      </c>
      <c r="C92" s="32" t="s">
        <v>7518</v>
      </c>
      <c r="D92" s="32">
        <v>1</v>
      </c>
      <c r="E92" s="32">
        <v>0</v>
      </c>
    </row>
    <row r="93" spans="1:5" x14ac:dyDescent="0.25">
      <c r="A93">
        <v>92</v>
      </c>
      <c r="B93" t="s">
        <v>9336</v>
      </c>
      <c r="C93" t="s">
        <v>7520</v>
      </c>
      <c r="D93">
        <v>1</v>
      </c>
      <c r="E93">
        <v>1.8149999999999999</v>
      </c>
    </row>
    <row r="94" spans="1:5" x14ac:dyDescent="0.25">
      <c r="A94" s="32">
        <v>93</v>
      </c>
      <c r="B94" s="32" t="s">
        <v>9336</v>
      </c>
      <c r="C94" s="32" t="s">
        <v>7522</v>
      </c>
      <c r="D94" s="32">
        <v>1</v>
      </c>
      <c r="E94" s="32">
        <v>0</v>
      </c>
    </row>
    <row r="95" spans="1:5" x14ac:dyDescent="0.25">
      <c r="A95">
        <v>94</v>
      </c>
      <c r="B95" t="s">
        <v>9336</v>
      </c>
      <c r="C95" t="s">
        <v>7523</v>
      </c>
      <c r="D95">
        <v>2</v>
      </c>
      <c r="E95">
        <v>0</v>
      </c>
    </row>
    <row r="96" spans="1:5" x14ac:dyDescent="0.25">
      <c r="A96" s="32">
        <v>95</v>
      </c>
      <c r="B96" s="32" t="s">
        <v>9336</v>
      </c>
      <c r="C96" s="32" t="s">
        <v>7524</v>
      </c>
      <c r="D96" s="32">
        <v>50</v>
      </c>
      <c r="E96" s="32">
        <v>0</v>
      </c>
    </row>
    <row r="97" spans="1:5" x14ac:dyDescent="0.25">
      <c r="A97">
        <v>96</v>
      </c>
      <c r="B97" t="s">
        <v>9336</v>
      </c>
      <c r="C97" t="s">
        <v>7526</v>
      </c>
      <c r="D97">
        <v>10</v>
      </c>
      <c r="E97">
        <v>0</v>
      </c>
    </row>
    <row r="98" spans="1:5" x14ac:dyDescent="0.25">
      <c r="A98" s="32">
        <v>97</v>
      </c>
      <c r="B98" s="32" t="s">
        <v>9336</v>
      </c>
      <c r="C98" s="32" t="s">
        <v>7528</v>
      </c>
      <c r="D98" s="32">
        <v>10</v>
      </c>
      <c r="E98" s="32">
        <v>0</v>
      </c>
    </row>
    <row r="99" spans="1:5" x14ac:dyDescent="0.25">
      <c r="A99">
        <v>98</v>
      </c>
      <c r="B99" t="s">
        <v>9337</v>
      </c>
      <c r="C99" t="s">
        <v>7579</v>
      </c>
      <c r="D99">
        <v>1</v>
      </c>
      <c r="E99">
        <v>0</v>
      </c>
    </row>
    <row r="100" spans="1:5" x14ac:dyDescent="0.25">
      <c r="A100" s="32">
        <v>99</v>
      </c>
      <c r="B100" s="32" t="s">
        <v>9337</v>
      </c>
      <c r="C100" s="32" t="s">
        <v>7581</v>
      </c>
      <c r="D100" s="32">
        <v>1</v>
      </c>
      <c r="E100" s="32">
        <v>0</v>
      </c>
    </row>
    <row r="101" spans="1:5" x14ac:dyDescent="0.25">
      <c r="A101">
        <v>100</v>
      </c>
      <c r="B101" t="s">
        <v>9337</v>
      </c>
      <c r="C101" t="s">
        <v>7583</v>
      </c>
      <c r="D101">
        <v>6</v>
      </c>
      <c r="E101">
        <v>0</v>
      </c>
    </row>
    <row r="102" spans="1:5" x14ac:dyDescent="0.25">
      <c r="A102" s="32">
        <v>101</v>
      </c>
      <c r="B102" s="32" t="s">
        <v>9337</v>
      </c>
      <c r="C102" s="32" t="s">
        <v>7585</v>
      </c>
      <c r="D102" s="32">
        <v>3</v>
      </c>
      <c r="E102" s="32">
        <v>0</v>
      </c>
    </row>
    <row r="103" spans="1:5" x14ac:dyDescent="0.25">
      <c r="A103">
        <v>102</v>
      </c>
      <c r="B103" t="s">
        <v>9337</v>
      </c>
      <c r="C103" t="s">
        <v>7587</v>
      </c>
      <c r="D103">
        <v>8</v>
      </c>
      <c r="E103">
        <v>0</v>
      </c>
    </row>
    <row r="104" spans="1:5" x14ac:dyDescent="0.25">
      <c r="A104" s="32">
        <v>103</v>
      </c>
      <c r="B104" s="32" t="s">
        <v>9337</v>
      </c>
      <c r="C104" s="32" t="s">
        <v>7589</v>
      </c>
      <c r="D104" s="32">
        <v>8</v>
      </c>
      <c r="E104" s="32">
        <v>0</v>
      </c>
    </row>
    <row r="105" spans="1:5" x14ac:dyDescent="0.25">
      <c r="A105">
        <v>104</v>
      </c>
      <c r="B105" t="s">
        <v>9337</v>
      </c>
      <c r="C105" t="s">
        <v>7591</v>
      </c>
      <c r="D105">
        <v>8</v>
      </c>
      <c r="E105">
        <v>0</v>
      </c>
    </row>
    <row r="106" spans="1:5" x14ac:dyDescent="0.25">
      <c r="A106" s="32">
        <v>105</v>
      </c>
      <c r="B106" s="32" t="s">
        <v>9338</v>
      </c>
      <c r="C106" s="32" t="s">
        <v>7682</v>
      </c>
      <c r="D106" s="32">
        <v>1</v>
      </c>
      <c r="E106" s="32">
        <v>0</v>
      </c>
    </row>
    <row r="107" spans="1:5" x14ac:dyDescent="0.25">
      <c r="A107">
        <v>106</v>
      </c>
      <c r="B107" t="s">
        <v>9338</v>
      </c>
      <c r="C107" t="s">
        <v>7684</v>
      </c>
      <c r="D107">
        <v>1</v>
      </c>
      <c r="E107">
        <v>0</v>
      </c>
    </row>
    <row r="108" spans="1:5" x14ac:dyDescent="0.25">
      <c r="A108" s="32">
        <v>107</v>
      </c>
      <c r="B108" s="32" t="s">
        <v>9338</v>
      </c>
      <c r="C108" s="32" t="s">
        <v>7686</v>
      </c>
      <c r="D108" s="32">
        <v>5</v>
      </c>
      <c r="E108" s="32">
        <v>0</v>
      </c>
    </row>
    <row r="109" spans="1:5" x14ac:dyDescent="0.25">
      <c r="A109">
        <v>108</v>
      </c>
      <c r="B109" t="s">
        <v>9339</v>
      </c>
      <c r="C109" t="s">
        <v>7733</v>
      </c>
      <c r="D109">
        <v>16</v>
      </c>
      <c r="E109">
        <v>0</v>
      </c>
    </row>
    <row r="110" spans="1:5" x14ac:dyDescent="0.25">
      <c r="A110" s="32">
        <v>109</v>
      </c>
      <c r="B110" s="32" t="s">
        <v>9339</v>
      </c>
      <c r="C110" s="32" t="s">
        <v>7735</v>
      </c>
      <c r="D110" s="32">
        <v>16</v>
      </c>
      <c r="E110" s="32">
        <v>0</v>
      </c>
    </row>
    <row r="111" spans="1:5" x14ac:dyDescent="0.25">
      <c r="A111">
        <v>110</v>
      </c>
      <c r="B111" t="s">
        <v>9339</v>
      </c>
      <c r="C111" t="s">
        <v>7737</v>
      </c>
      <c r="D111">
        <v>1</v>
      </c>
      <c r="E111">
        <v>0</v>
      </c>
    </row>
    <row r="112" spans="1:5" x14ac:dyDescent="0.25">
      <c r="A112" s="32">
        <v>111</v>
      </c>
      <c r="B112" s="32" t="s">
        <v>9339</v>
      </c>
      <c r="C112" s="32" t="s">
        <v>7739</v>
      </c>
      <c r="D112" s="32">
        <v>1</v>
      </c>
      <c r="E112" s="32">
        <v>0</v>
      </c>
    </row>
    <row r="113" spans="1:5" x14ac:dyDescent="0.25">
      <c r="A113">
        <v>112</v>
      </c>
      <c r="B113" t="s">
        <v>9339</v>
      </c>
      <c r="C113" t="s">
        <v>7741</v>
      </c>
      <c r="D113">
        <v>1</v>
      </c>
      <c r="E113">
        <v>0</v>
      </c>
    </row>
    <row r="114" spans="1:5" x14ac:dyDescent="0.25">
      <c r="A114" s="32">
        <v>113</v>
      </c>
      <c r="B114" s="32" t="s">
        <v>9340</v>
      </c>
      <c r="C114" s="32" t="s">
        <v>7803</v>
      </c>
      <c r="D114" s="32">
        <v>1</v>
      </c>
      <c r="E114" s="32">
        <v>0</v>
      </c>
    </row>
    <row r="115" spans="1:5" x14ac:dyDescent="0.25">
      <c r="A115">
        <v>114</v>
      </c>
      <c r="B115" t="s">
        <v>9340</v>
      </c>
      <c r="C115" t="s">
        <v>7805</v>
      </c>
      <c r="D115">
        <v>1</v>
      </c>
      <c r="E115">
        <v>0</v>
      </c>
    </row>
    <row r="116" spans="1:5" x14ac:dyDescent="0.25">
      <c r="A116" s="32">
        <v>115</v>
      </c>
      <c r="B116" s="32" t="s">
        <v>9340</v>
      </c>
      <c r="C116" s="32" t="s">
        <v>7807</v>
      </c>
      <c r="D116" s="32">
        <v>1</v>
      </c>
      <c r="E116" s="32">
        <v>0</v>
      </c>
    </row>
    <row r="117" spans="1:5" x14ac:dyDescent="0.25">
      <c r="A117">
        <v>116</v>
      </c>
      <c r="B117" t="s">
        <v>9340</v>
      </c>
      <c r="C117" t="s">
        <v>7809</v>
      </c>
      <c r="D117">
        <v>1</v>
      </c>
      <c r="E117">
        <v>0</v>
      </c>
    </row>
    <row r="118" spans="1:5" x14ac:dyDescent="0.25">
      <c r="A118" s="32">
        <v>117</v>
      </c>
      <c r="B118" s="32" t="s">
        <v>9340</v>
      </c>
      <c r="C118" s="32" t="s">
        <v>7811</v>
      </c>
      <c r="D118" s="32">
        <v>1</v>
      </c>
      <c r="E118" s="32">
        <v>0</v>
      </c>
    </row>
    <row r="119" spans="1:5" x14ac:dyDescent="0.25">
      <c r="A119">
        <v>118</v>
      </c>
      <c r="B119" t="s">
        <v>9340</v>
      </c>
      <c r="C119" t="s">
        <v>7813</v>
      </c>
      <c r="D119">
        <v>1</v>
      </c>
      <c r="E119">
        <v>0</v>
      </c>
    </row>
    <row r="120" spans="1:5" x14ac:dyDescent="0.25">
      <c r="A120" s="32">
        <v>119</v>
      </c>
      <c r="B120" s="32" t="s">
        <v>9340</v>
      </c>
      <c r="C120" s="32" t="s">
        <v>7815</v>
      </c>
      <c r="D120" s="32">
        <v>1</v>
      </c>
      <c r="E120" s="32">
        <v>0</v>
      </c>
    </row>
    <row r="121" spans="1:5" x14ac:dyDescent="0.25">
      <c r="A121">
        <v>120</v>
      </c>
      <c r="B121" t="s">
        <v>9340</v>
      </c>
      <c r="C121" t="s">
        <v>7817</v>
      </c>
      <c r="D121">
        <v>1</v>
      </c>
      <c r="E121">
        <v>0</v>
      </c>
    </row>
    <row r="122" spans="1:5" x14ac:dyDescent="0.25">
      <c r="A122" s="32">
        <v>121</v>
      </c>
      <c r="B122" s="32" t="s">
        <v>9341</v>
      </c>
      <c r="C122" s="32" t="s">
        <v>7149</v>
      </c>
      <c r="D122" s="32">
        <v>1</v>
      </c>
      <c r="E122" s="32">
        <v>0</v>
      </c>
    </row>
    <row r="123" spans="1:5" x14ac:dyDescent="0.25">
      <c r="A123">
        <v>122</v>
      </c>
      <c r="B123" t="s">
        <v>9341</v>
      </c>
      <c r="C123" t="s">
        <v>7151</v>
      </c>
      <c r="D123">
        <v>1</v>
      </c>
      <c r="E123">
        <v>0</v>
      </c>
    </row>
    <row r="124" spans="1:5" x14ac:dyDescent="0.25">
      <c r="A124" s="32">
        <v>123</v>
      </c>
      <c r="B124" s="32" t="s">
        <v>9341</v>
      </c>
      <c r="C124" s="32" t="s">
        <v>7153</v>
      </c>
      <c r="D124" s="32">
        <v>10</v>
      </c>
      <c r="E124" s="32">
        <v>0</v>
      </c>
    </row>
    <row r="125" spans="1:5" x14ac:dyDescent="0.25">
      <c r="A125">
        <v>124</v>
      </c>
      <c r="B125" t="s">
        <v>9341</v>
      </c>
      <c r="C125" t="s">
        <v>7155</v>
      </c>
      <c r="D125">
        <v>1</v>
      </c>
      <c r="E125">
        <v>0</v>
      </c>
    </row>
    <row r="126" spans="1:5" x14ac:dyDescent="0.25">
      <c r="A126" s="32">
        <v>125</v>
      </c>
      <c r="B126" s="32" t="s">
        <v>9341</v>
      </c>
      <c r="C126" s="32" t="s">
        <v>7157</v>
      </c>
      <c r="D126" s="32">
        <v>1</v>
      </c>
      <c r="E126" s="32">
        <v>0</v>
      </c>
    </row>
    <row r="127" spans="1:5" x14ac:dyDescent="0.25">
      <c r="A127">
        <v>126</v>
      </c>
      <c r="B127" t="s">
        <v>9342</v>
      </c>
      <c r="C127" t="s">
        <v>15</v>
      </c>
      <c r="D127">
        <v>50</v>
      </c>
      <c r="E127">
        <v>0</v>
      </c>
    </row>
    <row r="128" spans="1:5" x14ac:dyDescent="0.25">
      <c r="A128" s="32">
        <v>127</v>
      </c>
      <c r="B128" s="32" t="s">
        <v>9342</v>
      </c>
      <c r="C128" s="32" t="s">
        <v>14</v>
      </c>
      <c r="D128" s="32">
        <v>80</v>
      </c>
      <c r="E128" s="32">
        <v>0</v>
      </c>
    </row>
    <row r="129" spans="1:5" x14ac:dyDescent="0.25">
      <c r="A129">
        <v>128</v>
      </c>
      <c r="B129" t="s">
        <v>9342</v>
      </c>
      <c r="C129" t="s">
        <v>116</v>
      </c>
      <c r="D129">
        <v>50</v>
      </c>
      <c r="E129">
        <v>0</v>
      </c>
    </row>
    <row r="130" spans="1:5" x14ac:dyDescent="0.25">
      <c r="A130" s="32">
        <v>129</v>
      </c>
      <c r="B130" s="32" t="s">
        <v>9342</v>
      </c>
      <c r="C130" s="32" t="s">
        <v>117</v>
      </c>
      <c r="D130" s="32">
        <v>100</v>
      </c>
      <c r="E130" s="32">
        <v>0</v>
      </c>
    </row>
    <row r="131" spans="1:5" x14ac:dyDescent="0.25">
      <c r="A131">
        <v>130</v>
      </c>
      <c r="B131" t="s">
        <v>9342</v>
      </c>
      <c r="C131" t="s">
        <v>38</v>
      </c>
      <c r="D131">
        <v>100</v>
      </c>
      <c r="E131">
        <v>0</v>
      </c>
    </row>
    <row r="132" spans="1:5" x14ac:dyDescent="0.25">
      <c r="A132" s="32">
        <v>131</v>
      </c>
      <c r="B132" s="32" t="s">
        <v>9342</v>
      </c>
      <c r="C132" s="32" t="s">
        <v>69</v>
      </c>
      <c r="D132" s="32">
        <v>50</v>
      </c>
      <c r="E132" s="32">
        <v>0</v>
      </c>
    </row>
    <row r="133" spans="1:5" x14ac:dyDescent="0.25">
      <c r="A133">
        <v>132</v>
      </c>
      <c r="B133" t="s">
        <v>9342</v>
      </c>
      <c r="C133" t="s">
        <v>37</v>
      </c>
      <c r="D133">
        <v>100</v>
      </c>
      <c r="E133">
        <v>0</v>
      </c>
    </row>
    <row r="134" spans="1:5" x14ac:dyDescent="0.25">
      <c r="A134" s="32">
        <v>133</v>
      </c>
      <c r="B134" s="32" t="s">
        <v>9342</v>
      </c>
      <c r="C134" s="32" t="s">
        <v>118</v>
      </c>
      <c r="D134" s="32">
        <v>100</v>
      </c>
      <c r="E134" s="32">
        <v>0</v>
      </c>
    </row>
    <row r="135" spans="1:5" x14ac:dyDescent="0.25">
      <c r="A135">
        <v>134</v>
      </c>
      <c r="B135" t="s">
        <v>9342</v>
      </c>
      <c r="C135" t="s">
        <v>119</v>
      </c>
      <c r="D135">
        <v>20</v>
      </c>
      <c r="E135">
        <v>0</v>
      </c>
    </row>
    <row r="136" spans="1:5" x14ac:dyDescent="0.25">
      <c r="A136" s="32">
        <v>135</v>
      </c>
      <c r="B136" s="32" t="s">
        <v>9342</v>
      </c>
      <c r="C136" s="32" t="s">
        <v>17</v>
      </c>
      <c r="D136" s="32">
        <v>30</v>
      </c>
      <c r="E136" s="32">
        <v>0</v>
      </c>
    </row>
    <row r="137" spans="1:5" x14ac:dyDescent="0.25">
      <c r="A137">
        <v>136</v>
      </c>
      <c r="B137" t="s">
        <v>9342</v>
      </c>
      <c r="C137" t="s">
        <v>16</v>
      </c>
      <c r="D137">
        <v>30</v>
      </c>
      <c r="E137">
        <v>0</v>
      </c>
    </row>
    <row r="138" spans="1:5" x14ac:dyDescent="0.25">
      <c r="A138" s="32">
        <v>137</v>
      </c>
      <c r="B138" s="32" t="s">
        <v>9342</v>
      </c>
      <c r="C138" s="32" t="s">
        <v>41</v>
      </c>
      <c r="D138" s="32">
        <v>30</v>
      </c>
      <c r="E138" s="32">
        <v>0</v>
      </c>
    </row>
    <row r="139" spans="1:5" x14ac:dyDescent="0.25">
      <c r="A139">
        <v>138</v>
      </c>
      <c r="B139" t="s">
        <v>9342</v>
      </c>
      <c r="C139" t="s">
        <v>18</v>
      </c>
      <c r="D139">
        <v>50</v>
      </c>
      <c r="E139">
        <v>0</v>
      </c>
    </row>
    <row r="140" spans="1:5" x14ac:dyDescent="0.25">
      <c r="A140" s="32">
        <v>139</v>
      </c>
      <c r="B140" s="32" t="s">
        <v>9342</v>
      </c>
      <c r="C140" s="32" t="s">
        <v>120</v>
      </c>
      <c r="D140" s="32">
        <v>50</v>
      </c>
      <c r="E140" s="32">
        <v>0</v>
      </c>
    </row>
    <row r="141" spans="1:5" x14ac:dyDescent="0.25">
      <c r="A141">
        <v>140</v>
      </c>
      <c r="B141" t="s">
        <v>9342</v>
      </c>
      <c r="C141" t="s">
        <v>121</v>
      </c>
      <c r="D141">
        <v>50</v>
      </c>
      <c r="E141">
        <v>0</v>
      </c>
    </row>
    <row r="142" spans="1:5" x14ac:dyDescent="0.25">
      <c r="A142" s="32">
        <v>141</v>
      </c>
      <c r="B142" s="32" t="s">
        <v>9342</v>
      </c>
      <c r="C142" s="32" t="s">
        <v>44</v>
      </c>
      <c r="D142" s="32">
        <v>10</v>
      </c>
      <c r="E142" s="32">
        <v>0</v>
      </c>
    </row>
    <row r="143" spans="1:5" x14ac:dyDescent="0.25">
      <c r="A143">
        <v>142</v>
      </c>
      <c r="B143" t="s">
        <v>9342</v>
      </c>
      <c r="C143" t="s">
        <v>43</v>
      </c>
      <c r="D143">
        <v>10</v>
      </c>
      <c r="E143">
        <v>0</v>
      </c>
    </row>
    <row r="144" spans="1:5" x14ac:dyDescent="0.25">
      <c r="A144" s="32">
        <v>143</v>
      </c>
      <c r="B144" s="32" t="s">
        <v>9343</v>
      </c>
      <c r="C144" s="32" t="s">
        <v>12</v>
      </c>
      <c r="D144" s="32">
        <v>250</v>
      </c>
      <c r="E144" s="32">
        <v>0</v>
      </c>
    </row>
    <row r="145" spans="1:5" x14ac:dyDescent="0.25">
      <c r="A145">
        <v>144</v>
      </c>
      <c r="B145" t="s">
        <v>9343</v>
      </c>
      <c r="C145" t="s">
        <v>7775</v>
      </c>
      <c r="D145">
        <v>250</v>
      </c>
      <c r="E145">
        <v>0</v>
      </c>
    </row>
    <row r="146" spans="1:5" x14ac:dyDescent="0.25">
      <c r="A146" s="32">
        <v>145</v>
      </c>
      <c r="B146" s="32" t="s">
        <v>9344</v>
      </c>
      <c r="C146" s="32" t="s">
        <v>7777</v>
      </c>
      <c r="D146" s="32">
        <v>250</v>
      </c>
      <c r="E146" s="32">
        <v>0</v>
      </c>
    </row>
    <row r="147" spans="1:5" x14ac:dyDescent="0.25">
      <c r="A147">
        <v>146</v>
      </c>
      <c r="B147" t="s">
        <v>9344</v>
      </c>
      <c r="C147" t="s">
        <v>7779</v>
      </c>
      <c r="D147">
        <v>80</v>
      </c>
      <c r="E147">
        <v>0</v>
      </c>
    </row>
    <row r="148" spans="1:5" x14ac:dyDescent="0.25">
      <c r="A148" s="32">
        <v>147</v>
      </c>
      <c r="B148" s="32" t="s">
        <v>9344</v>
      </c>
      <c r="C148" s="32" t="s">
        <v>7781</v>
      </c>
      <c r="D148" s="32">
        <v>40</v>
      </c>
      <c r="E148" s="32">
        <v>0</v>
      </c>
    </row>
    <row r="149" spans="1:5" x14ac:dyDescent="0.25">
      <c r="A149">
        <v>148</v>
      </c>
      <c r="B149" t="s">
        <v>9344</v>
      </c>
      <c r="C149" t="s">
        <v>7793</v>
      </c>
      <c r="D149">
        <v>40</v>
      </c>
      <c r="E149">
        <v>0</v>
      </c>
    </row>
    <row r="150" spans="1:5" x14ac:dyDescent="0.25">
      <c r="A150" s="32">
        <v>149</v>
      </c>
      <c r="B150" s="32" t="s">
        <v>9344</v>
      </c>
      <c r="C150" s="32" t="s">
        <v>7795</v>
      </c>
      <c r="D150" s="32">
        <v>20</v>
      </c>
      <c r="E150" s="32">
        <v>15</v>
      </c>
    </row>
    <row r="151" spans="1:5" x14ac:dyDescent="0.25">
      <c r="A151">
        <v>150</v>
      </c>
      <c r="B151" t="s">
        <v>9344</v>
      </c>
      <c r="C151" t="s">
        <v>7797</v>
      </c>
      <c r="D151">
        <v>20</v>
      </c>
      <c r="E151">
        <v>0</v>
      </c>
    </row>
    <row r="152" spans="1:5" x14ac:dyDescent="0.25">
      <c r="A152" s="32">
        <v>151</v>
      </c>
      <c r="B152" s="32" t="s">
        <v>9344</v>
      </c>
      <c r="C152" s="32" t="s">
        <v>14</v>
      </c>
      <c r="D152" s="32">
        <v>40</v>
      </c>
      <c r="E152" s="32">
        <v>0</v>
      </c>
    </row>
    <row r="153" spans="1:5" x14ac:dyDescent="0.25">
      <c r="A153">
        <v>152</v>
      </c>
      <c r="B153" t="s">
        <v>9344</v>
      </c>
      <c r="C153" t="s">
        <v>15</v>
      </c>
      <c r="D153">
        <v>60</v>
      </c>
      <c r="E153">
        <v>0</v>
      </c>
    </row>
    <row r="154" spans="1:5" x14ac:dyDescent="0.25">
      <c r="A154" s="32">
        <v>153</v>
      </c>
      <c r="B154" s="32" t="s">
        <v>9344</v>
      </c>
      <c r="C154" s="32" t="s">
        <v>16</v>
      </c>
      <c r="D154" s="32">
        <v>30</v>
      </c>
      <c r="E154" s="32">
        <v>0</v>
      </c>
    </row>
    <row r="155" spans="1:5" x14ac:dyDescent="0.25">
      <c r="A155">
        <v>154</v>
      </c>
      <c r="B155" t="s">
        <v>9344</v>
      </c>
      <c r="C155" t="s">
        <v>17</v>
      </c>
      <c r="D155">
        <v>60</v>
      </c>
      <c r="E155">
        <v>0</v>
      </c>
    </row>
    <row r="156" spans="1:5" x14ac:dyDescent="0.25">
      <c r="A156" s="32">
        <v>155</v>
      </c>
      <c r="B156" s="32" t="s">
        <v>9344</v>
      </c>
      <c r="C156" s="32" t="s">
        <v>12</v>
      </c>
      <c r="D156" s="32">
        <v>160</v>
      </c>
      <c r="E156" s="32">
        <v>0</v>
      </c>
    </row>
    <row r="157" spans="1:5" x14ac:dyDescent="0.25">
      <c r="A157">
        <v>156</v>
      </c>
      <c r="B157" t="s">
        <v>9344</v>
      </c>
      <c r="C157" t="s">
        <v>7761</v>
      </c>
      <c r="D157">
        <v>160</v>
      </c>
      <c r="E157">
        <v>0</v>
      </c>
    </row>
    <row r="158" spans="1:5" x14ac:dyDescent="0.25">
      <c r="A158" s="32">
        <v>157</v>
      </c>
      <c r="B158" s="32" t="s">
        <v>9344</v>
      </c>
      <c r="C158" s="32" t="s">
        <v>7763</v>
      </c>
      <c r="D158" s="32">
        <v>480</v>
      </c>
      <c r="E158" s="32">
        <v>0</v>
      </c>
    </row>
    <row r="159" spans="1:5" x14ac:dyDescent="0.25">
      <c r="A159">
        <v>158</v>
      </c>
      <c r="B159" t="s">
        <v>9345</v>
      </c>
      <c r="C159" t="s">
        <v>13</v>
      </c>
      <c r="D159">
        <v>150</v>
      </c>
      <c r="E159">
        <v>0</v>
      </c>
    </row>
    <row r="160" spans="1:5" x14ac:dyDescent="0.25">
      <c r="A160" s="32">
        <v>159</v>
      </c>
      <c r="B160" s="32" t="s">
        <v>9346</v>
      </c>
      <c r="C160" s="32" t="s">
        <v>7452</v>
      </c>
      <c r="D160" s="32">
        <v>60</v>
      </c>
      <c r="E160" s="32">
        <v>0</v>
      </c>
    </row>
    <row r="161" spans="1:5" x14ac:dyDescent="0.25">
      <c r="A161">
        <v>160</v>
      </c>
      <c r="B161" t="s">
        <v>9346</v>
      </c>
      <c r="C161" t="s">
        <v>7454</v>
      </c>
      <c r="D161">
        <v>30</v>
      </c>
      <c r="E161">
        <v>0</v>
      </c>
    </row>
    <row r="162" spans="1:5" x14ac:dyDescent="0.25">
      <c r="A162" s="32">
        <v>161</v>
      </c>
      <c r="B162" s="32" t="s">
        <v>9346</v>
      </c>
      <c r="C162" s="32" t="s">
        <v>7456</v>
      </c>
      <c r="D162" s="32">
        <v>50</v>
      </c>
      <c r="E162" s="32">
        <v>0</v>
      </c>
    </row>
    <row r="163" spans="1:5" x14ac:dyDescent="0.25">
      <c r="A163">
        <v>162</v>
      </c>
      <c r="B163" t="s">
        <v>9346</v>
      </c>
      <c r="C163" t="s">
        <v>7457</v>
      </c>
      <c r="D163">
        <v>50</v>
      </c>
      <c r="E163">
        <v>0</v>
      </c>
    </row>
    <row r="164" spans="1:5" x14ac:dyDescent="0.25">
      <c r="A164" s="32">
        <v>163</v>
      </c>
      <c r="B164" s="32" t="s">
        <v>9346</v>
      </c>
      <c r="C164" s="32" t="s">
        <v>7459</v>
      </c>
      <c r="D164" s="32">
        <v>50</v>
      </c>
      <c r="E164" s="32">
        <v>0</v>
      </c>
    </row>
    <row r="165" spans="1:5" x14ac:dyDescent="0.25">
      <c r="A165">
        <v>164</v>
      </c>
      <c r="B165" t="s">
        <v>9346</v>
      </c>
      <c r="C165" t="s">
        <v>7460</v>
      </c>
      <c r="D165">
        <v>50</v>
      </c>
      <c r="E165">
        <v>0</v>
      </c>
    </row>
    <row r="166" spans="1:5" x14ac:dyDescent="0.25">
      <c r="A166" s="32">
        <v>165</v>
      </c>
      <c r="B166" s="32" t="s">
        <v>9346</v>
      </c>
      <c r="C166" s="32" t="s">
        <v>14</v>
      </c>
      <c r="D166" s="32">
        <v>50</v>
      </c>
      <c r="E166" s="32">
        <v>0</v>
      </c>
    </row>
    <row r="167" spans="1:5" x14ac:dyDescent="0.25">
      <c r="A167">
        <v>166</v>
      </c>
      <c r="B167" t="s">
        <v>9346</v>
      </c>
      <c r="C167" t="s">
        <v>15</v>
      </c>
      <c r="D167">
        <v>50</v>
      </c>
      <c r="E167">
        <v>0</v>
      </c>
    </row>
    <row r="168" spans="1:5" x14ac:dyDescent="0.25">
      <c r="A168" s="32">
        <v>167</v>
      </c>
      <c r="B168" s="32" t="s">
        <v>9346</v>
      </c>
      <c r="C168" s="32" t="s">
        <v>16</v>
      </c>
      <c r="D168" s="32">
        <v>30</v>
      </c>
      <c r="E168" s="32">
        <v>0</v>
      </c>
    </row>
    <row r="169" spans="1:5" x14ac:dyDescent="0.25">
      <c r="A169">
        <v>168</v>
      </c>
      <c r="B169" t="s">
        <v>9346</v>
      </c>
      <c r="C169" t="s">
        <v>17</v>
      </c>
      <c r="D169">
        <v>100</v>
      </c>
      <c r="E169">
        <v>0</v>
      </c>
    </row>
    <row r="170" spans="1:5" x14ac:dyDescent="0.25">
      <c r="A170" s="32">
        <v>169</v>
      </c>
      <c r="B170" s="32" t="s">
        <v>9346</v>
      </c>
      <c r="C170" s="32" t="s">
        <v>18</v>
      </c>
      <c r="D170" s="32">
        <v>200</v>
      </c>
      <c r="E170" s="32">
        <v>0</v>
      </c>
    </row>
    <row r="171" spans="1:5" x14ac:dyDescent="0.25">
      <c r="A171">
        <v>170</v>
      </c>
      <c r="B171" t="s">
        <v>9346</v>
      </c>
      <c r="C171" t="s">
        <v>7092</v>
      </c>
      <c r="D171">
        <v>50</v>
      </c>
      <c r="E171">
        <v>0</v>
      </c>
    </row>
    <row r="172" spans="1:5" x14ac:dyDescent="0.25">
      <c r="A172" s="32">
        <v>171</v>
      </c>
      <c r="B172" s="32" t="s">
        <v>9347</v>
      </c>
      <c r="C172" s="32" t="s">
        <v>7093</v>
      </c>
      <c r="D172" s="32">
        <v>50</v>
      </c>
      <c r="E172" s="32">
        <v>0</v>
      </c>
    </row>
    <row r="173" spans="1:5" x14ac:dyDescent="0.25">
      <c r="A173">
        <v>172</v>
      </c>
      <c r="B173" t="s">
        <v>9348</v>
      </c>
      <c r="C173" t="s">
        <v>7368</v>
      </c>
      <c r="D173">
        <v>100</v>
      </c>
      <c r="E173">
        <v>0</v>
      </c>
    </row>
    <row r="174" spans="1:5" x14ac:dyDescent="0.25">
      <c r="A174" s="32">
        <v>173</v>
      </c>
      <c r="B174" s="32" t="s">
        <v>9348</v>
      </c>
      <c r="C174" s="32" t="s">
        <v>7095</v>
      </c>
      <c r="D174" s="32">
        <v>100</v>
      </c>
      <c r="E174" s="32">
        <v>0</v>
      </c>
    </row>
    <row r="175" spans="1:5" x14ac:dyDescent="0.25">
      <c r="A175">
        <v>174</v>
      </c>
      <c r="B175" t="s">
        <v>9348</v>
      </c>
      <c r="C175" t="s">
        <v>7102</v>
      </c>
      <c r="D175">
        <v>60</v>
      </c>
      <c r="E175">
        <v>0</v>
      </c>
    </row>
    <row r="176" spans="1:5" x14ac:dyDescent="0.25">
      <c r="A176" s="32">
        <v>175</v>
      </c>
      <c r="B176" s="32" t="s">
        <v>9348</v>
      </c>
      <c r="C176" s="32" t="s">
        <v>7104</v>
      </c>
      <c r="D176" s="32">
        <v>100</v>
      </c>
      <c r="E176" s="32">
        <v>0</v>
      </c>
    </row>
    <row r="177" spans="1:5" x14ac:dyDescent="0.25">
      <c r="A177">
        <v>176</v>
      </c>
      <c r="B177" t="s">
        <v>9348</v>
      </c>
      <c r="C177" t="s">
        <v>77</v>
      </c>
      <c r="D177">
        <v>40</v>
      </c>
      <c r="E177">
        <v>0</v>
      </c>
    </row>
    <row r="178" spans="1:5" x14ac:dyDescent="0.25">
      <c r="A178" s="32">
        <v>177</v>
      </c>
      <c r="B178" s="32" t="s">
        <v>9349</v>
      </c>
      <c r="C178" s="32" t="s">
        <v>13</v>
      </c>
      <c r="D178" s="32">
        <v>40</v>
      </c>
      <c r="E178" s="32">
        <v>0</v>
      </c>
    </row>
    <row r="179" spans="1:5" x14ac:dyDescent="0.25">
      <c r="A179">
        <v>178</v>
      </c>
      <c r="B179" t="s">
        <v>9350</v>
      </c>
      <c r="C179" t="s">
        <v>7092</v>
      </c>
      <c r="D179">
        <v>50</v>
      </c>
      <c r="E179">
        <v>0</v>
      </c>
    </row>
    <row r="180" spans="1:5" x14ac:dyDescent="0.25">
      <c r="A180" s="32">
        <v>179</v>
      </c>
      <c r="B180" s="32" t="s">
        <v>9350</v>
      </c>
      <c r="C180" s="32" t="s">
        <v>7093</v>
      </c>
      <c r="D180" s="32">
        <v>30</v>
      </c>
      <c r="E180" s="32">
        <v>0</v>
      </c>
    </row>
    <row r="181" spans="1:5" x14ac:dyDescent="0.25">
      <c r="A181">
        <v>180</v>
      </c>
      <c r="B181" t="s">
        <v>9351</v>
      </c>
      <c r="C181" t="s">
        <v>7368</v>
      </c>
      <c r="D181">
        <v>40</v>
      </c>
      <c r="E181">
        <v>0</v>
      </c>
    </row>
    <row r="182" spans="1:5" x14ac:dyDescent="0.25">
      <c r="A182" s="32">
        <v>181</v>
      </c>
      <c r="B182" s="32" t="s">
        <v>9351</v>
      </c>
      <c r="C182" s="32" t="s">
        <v>7095</v>
      </c>
      <c r="D182" s="32">
        <v>60</v>
      </c>
      <c r="E182" s="32">
        <v>0</v>
      </c>
    </row>
    <row r="183" spans="1:5" x14ac:dyDescent="0.25">
      <c r="A183">
        <v>182</v>
      </c>
      <c r="B183" t="s">
        <v>9351</v>
      </c>
      <c r="C183" t="s">
        <v>7102</v>
      </c>
      <c r="D183">
        <v>150</v>
      </c>
      <c r="E183">
        <v>0</v>
      </c>
    </row>
    <row r="184" spans="1:5" x14ac:dyDescent="0.25">
      <c r="A184" s="32">
        <v>183</v>
      </c>
      <c r="B184" s="32" t="s">
        <v>9351</v>
      </c>
      <c r="C184" s="32" t="s">
        <v>7104</v>
      </c>
      <c r="D184" s="32">
        <v>90</v>
      </c>
      <c r="E184" s="32">
        <v>0</v>
      </c>
    </row>
    <row r="185" spans="1:5" x14ac:dyDescent="0.25">
      <c r="A185">
        <v>184</v>
      </c>
      <c r="B185" t="s">
        <v>9351</v>
      </c>
      <c r="C185" t="s">
        <v>77</v>
      </c>
      <c r="D185">
        <v>300</v>
      </c>
      <c r="E185">
        <v>0</v>
      </c>
    </row>
    <row r="186" spans="1:5" x14ac:dyDescent="0.25">
      <c r="A186" s="32">
        <v>185</v>
      </c>
      <c r="B186" s="32" t="s">
        <v>9351</v>
      </c>
      <c r="C186" s="32" t="s">
        <v>19</v>
      </c>
      <c r="D186" s="32">
        <v>120</v>
      </c>
      <c r="E186" s="32">
        <v>0</v>
      </c>
    </row>
    <row r="187" spans="1:5" x14ac:dyDescent="0.25">
      <c r="A187">
        <v>186</v>
      </c>
      <c r="B187" t="s">
        <v>9352</v>
      </c>
      <c r="C187" t="s">
        <v>7301</v>
      </c>
      <c r="D187">
        <v>100</v>
      </c>
      <c r="E187">
        <v>0</v>
      </c>
    </row>
    <row r="188" spans="1:5" x14ac:dyDescent="0.25">
      <c r="A188" s="32">
        <v>187</v>
      </c>
      <c r="B188" s="32" t="s">
        <v>9352</v>
      </c>
      <c r="C188" s="32" t="s">
        <v>7303</v>
      </c>
      <c r="D188" s="32">
        <v>100</v>
      </c>
      <c r="E188" s="32">
        <v>0</v>
      </c>
    </row>
    <row r="189" spans="1:5" x14ac:dyDescent="0.25">
      <c r="A189">
        <v>188</v>
      </c>
      <c r="B189" t="s">
        <v>9352</v>
      </c>
      <c r="C189" t="s">
        <v>7307</v>
      </c>
      <c r="D189">
        <v>60</v>
      </c>
      <c r="E189">
        <v>0</v>
      </c>
    </row>
    <row r="190" spans="1:5" x14ac:dyDescent="0.25">
      <c r="A190" s="32">
        <v>189</v>
      </c>
      <c r="B190" s="32" t="s">
        <v>9352</v>
      </c>
      <c r="C190" s="32" t="s">
        <v>7317</v>
      </c>
      <c r="D190" s="32">
        <v>120</v>
      </c>
      <c r="E190" s="32">
        <v>0</v>
      </c>
    </row>
    <row r="191" spans="1:5" x14ac:dyDescent="0.25">
      <c r="A191">
        <v>190</v>
      </c>
      <c r="B191" t="s">
        <v>9352</v>
      </c>
      <c r="C191" t="s">
        <v>7063</v>
      </c>
      <c r="D191">
        <v>240</v>
      </c>
      <c r="E191">
        <v>0</v>
      </c>
    </row>
    <row r="192" spans="1:5" x14ac:dyDescent="0.25">
      <c r="A192" s="32">
        <v>191</v>
      </c>
      <c r="B192" s="32" t="s">
        <v>9352</v>
      </c>
      <c r="C192" s="32" t="s">
        <v>7092</v>
      </c>
      <c r="D192" s="32">
        <v>120</v>
      </c>
      <c r="E192" s="32">
        <v>0</v>
      </c>
    </row>
    <row r="193" spans="1:5" x14ac:dyDescent="0.25">
      <c r="A193">
        <v>192</v>
      </c>
      <c r="B193" t="s">
        <v>9352</v>
      </c>
      <c r="C193" t="s">
        <v>7093</v>
      </c>
      <c r="D193">
        <v>240</v>
      </c>
      <c r="E193">
        <v>0</v>
      </c>
    </row>
    <row r="194" spans="1:5" x14ac:dyDescent="0.25">
      <c r="A194" s="32">
        <v>193</v>
      </c>
      <c r="B194" s="32" t="s">
        <v>9352</v>
      </c>
      <c r="C194" s="32" t="s">
        <v>7368</v>
      </c>
      <c r="D194" s="32">
        <v>100</v>
      </c>
      <c r="E194" s="32">
        <v>0</v>
      </c>
    </row>
    <row r="195" spans="1:5" x14ac:dyDescent="0.25">
      <c r="A195">
        <v>194</v>
      </c>
      <c r="B195" t="s">
        <v>9352</v>
      </c>
      <c r="C195" t="s">
        <v>7095</v>
      </c>
      <c r="D195">
        <v>250</v>
      </c>
      <c r="E195">
        <v>0</v>
      </c>
    </row>
    <row r="196" spans="1:5" x14ac:dyDescent="0.25">
      <c r="A196" s="32">
        <v>195</v>
      </c>
      <c r="B196" s="32" t="s">
        <v>9352</v>
      </c>
      <c r="C196" s="32" t="s">
        <v>7102</v>
      </c>
      <c r="D196" s="32">
        <v>120</v>
      </c>
      <c r="E196" s="32">
        <v>0</v>
      </c>
    </row>
    <row r="197" spans="1:5" x14ac:dyDescent="0.25">
      <c r="A197">
        <v>196</v>
      </c>
      <c r="B197" t="s">
        <v>9352</v>
      </c>
      <c r="C197" t="s">
        <v>7104</v>
      </c>
      <c r="D197">
        <v>180</v>
      </c>
      <c r="E197">
        <v>0</v>
      </c>
    </row>
    <row r="198" spans="1:5" x14ac:dyDescent="0.25">
      <c r="A198" s="32">
        <v>197</v>
      </c>
      <c r="B198" s="32" t="s">
        <v>9352</v>
      </c>
      <c r="C198" s="32" t="s">
        <v>77</v>
      </c>
      <c r="D198" s="32">
        <v>150</v>
      </c>
      <c r="E198" s="32">
        <v>0</v>
      </c>
    </row>
    <row r="199" spans="1:5" x14ac:dyDescent="0.25">
      <c r="A199">
        <v>198</v>
      </c>
      <c r="B199" t="s">
        <v>9352</v>
      </c>
      <c r="C199" t="s">
        <v>7301</v>
      </c>
      <c r="D199">
        <v>40</v>
      </c>
      <c r="E199">
        <v>0</v>
      </c>
    </row>
    <row r="200" spans="1:5" x14ac:dyDescent="0.25">
      <c r="A200" s="32">
        <v>199</v>
      </c>
      <c r="B200" s="32" t="s">
        <v>9352</v>
      </c>
      <c r="C200" s="32" t="s">
        <v>7303</v>
      </c>
      <c r="D200" s="32">
        <v>50</v>
      </c>
      <c r="E200" s="32">
        <v>190</v>
      </c>
    </row>
    <row r="201" spans="1:5" x14ac:dyDescent="0.25">
      <c r="A201">
        <v>200</v>
      </c>
      <c r="B201" t="s">
        <v>9352</v>
      </c>
      <c r="C201" t="s">
        <v>7307</v>
      </c>
      <c r="D201">
        <v>150</v>
      </c>
      <c r="E201">
        <v>0</v>
      </c>
    </row>
    <row r="202" spans="1:5" x14ac:dyDescent="0.25">
      <c r="A202" s="32">
        <v>201</v>
      </c>
      <c r="B202" s="32" t="s">
        <v>9353</v>
      </c>
      <c r="C202" s="32" t="s">
        <v>7317</v>
      </c>
      <c r="D202" s="32">
        <v>150</v>
      </c>
      <c r="E202" s="32">
        <v>0</v>
      </c>
    </row>
    <row r="203" spans="1:5" x14ac:dyDescent="0.25">
      <c r="A203">
        <v>202</v>
      </c>
      <c r="B203" t="s">
        <v>9353</v>
      </c>
      <c r="C203" t="s">
        <v>7063</v>
      </c>
      <c r="D203">
        <v>300</v>
      </c>
      <c r="E203">
        <v>0</v>
      </c>
    </row>
    <row r="204" spans="1:5" x14ac:dyDescent="0.25">
      <c r="A204" s="32">
        <v>203</v>
      </c>
      <c r="B204" s="32" t="s">
        <v>9353</v>
      </c>
      <c r="C204" s="32" t="s">
        <v>7092</v>
      </c>
      <c r="D204" s="32">
        <v>300</v>
      </c>
      <c r="E204" s="32">
        <v>0</v>
      </c>
    </row>
    <row r="205" spans="1:5" x14ac:dyDescent="0.25">
      <c r="A205">
        <v>204</v>
      </c>
      <c r="B205" t="s">
        <v>9353</v>
      </c>
      <c r="C205" t="s">
        <v>7093</v>
      </c>
      <c r="D205">
        <v>120</v>
      </c>
      <c r="E205">
        <v>0</v>
      </c>
    </row>
    <row r="206" spans="1:5" x14ac:dyDescent="0.25">
      <c r="A206" s="32">
        <v>205</v>
      </c>
      <c r="B206" s="32" t="s">
        <v>9353</v>
      </c>
      <c r="C206" s="32" t="s">
        <v>7368</v>
      </c>
      <c r="D206" s="32">
        <v>150</v>
      </c>
      <c r="E206" s="32">
        <v>0</v>
      </c>
    </row>
    <row r="207" spans="1:5" x14ac:dyDescent="0.25">
      <c r="A207">
        <v>206</v>
      </c>
      <c r="B207" t="s">
        <v>9353</v>
      </c>
      <c r="C207" t="s">
        <v>7095</v>
      </c>
      <c r="D207">
        <v>120</v>
      </c>
      <c r="E207">
        <v>0</v>
      </c>
    </row>
    <row r="208" spans="1:5" x14ac:dyDescent="0.25">
      <c r="A208" s="32">
        <v>207</v>
      </c>
      <c r="B208" s="32" t="s">
        <v>9353</v>
      </c>
      <c r="C208" s="32" t="s">
        <v>7102</v>
      </c>
      <c r="D208" s="32">
        <v>100</v>
      </c>
      <c r="E208" s="32">
        <v>0</v>
      </c>
    </row>
    <row r="209" spans="1:5" x14ac:dyDescent="0.25">
      <c r="A209">
        <v>208</v>
      </c>
      <c r="B209" t="s">
        <v>9353</v>
      </c>
      <c r="C209" t="s">
        <v>7104</v>
      </c>
      <c r="D209">
        <v>40</v>
      </c>
      <c r="E209">
        <v>0</v>
      </c>
    </row>
    <row r="210" spans="1:5" x14ac:dyDescent="0.25">
      <c r="A210" s="32">
        <v>209</v>
      </c>
      <c r="B210" s="32" t="s">
        <v>9354</v>
      </c>
      <c r="C210" s="32" t="s">
        <v>77</v>
      </c>
      <c r="D210" s="32">
        <v>60</v>
      </c>
      <c r="E210" s="32">
        <v>0</v>
      </c>
    </row>
    <row r="211" spans="1:5" x14ac:dyDescent="0.25">
      <c r="A211">
        <v>210</v>
      </c>
      <c r="B211" t="s">
        <v>9354</v>
      </c>
      <c r="C211" t="s">
        <v>82</v>
      </c>
      <c r="D211">
        <v>80</v>
      </c>
      <c r="E211">
        <v>0</v>
      </c>
    </row>
    <row r="212" spans="1:5" x14ac:dyDescent="0.25">
      <c r="A212" s="32">
        <v>211</v>
      </c>
      <c r="B212" s="32" t="s">
        <v>9354</v>
      </c>
      <c r="C212" s="32" t="s">
        <v>48</v>
      </c>
      <c r="D212" s="32">
        <v>40</v>
      </c>
      <c r="E212" s="32">
        <v>0</v>
      </c>
    </row>
    <row r="213" spans="1:5" x14ac:dyDescent="0.25">
      <c r="A213">
        <v>212</v>
      </c>
      <c r="B213" t="s">
        <v>9354</v>
      </c>
      <c r="C213" t="s">
        <v>35</v>
      </c>
      <c r="D213">
        <v>30</v>
      </c>
      <c r="E213">
        <v>0</v>
      </c>
    </row>
    <row r="214" spans="1:5" x14ac:dyDescent="0.25">
      <c r="A214" s="32">
        <v>213</v>
      </c>
      <c r="B214" s="32" t="s">
        <v>9354</v>
      </c>
      <c r="C214" s="32" t="s">
        <v>36</v>
      </c>
      <c r="D214" s="32">
        <v>60</v>
      </c>
      <c r="E214" s="32">
        <v>0</v>
      </c>
    </row>
    <row r="215" spans="1:5" x14ac:dyDescent="0.25">
      <c r="A215">
        <v>214</v>
      </c>
      <c r="B215" t="s">
        <v>9354</v>
      </c>
      <c r="C215" t="s">
        <v>6988</v>
      </c>
      <c r="D215">
        <v>60</v>
      </c>
      <c r="E215">
        <v>0</v>
      </c>
    </row>
    <row r="216" spans="1:5" x14ac:dyDescent="0.25">
      <c r="A216" s="32">
        <v>215</v>
      </c>
      <c r="B216" s="32" t="s">
        <v>9354</v>
      </c>
      <c r="C216" s="32" t="s">
        <v>6990</v>
      </c>
      <c r="D216" s="32">
        <v>120</v>
      </c>
      <c r="E216" s="32">
        <v>0</v>
      </c>
    </row>
    <row r="217" spans="1:5" x14ac:dyDescent="0.25">
      <c r="A217">
        <v>216</v>
      </c>
      <c r="B217" t="s">
        <v>9354</v>
      </c>
      <c r="C217" t="s">
        <v>6992</v>
      </c>
      <c r="D217">
        <v>120</v>
      </c>
      <c r="E217">
        <v>0</v>
      </c>
    </row>
    <row r="218" spans="1:5" x14ac:dyDescent="0.25">
      <c r="A218" s="32">
        <v>217</v>
      </c>
      <c r="B218" s="32" t="s">
        <v>9354</v>
      </c>
      <c r="C218" s="32" t="s">
        <v>6994</v>
      </c>
      <c r="D218" s="32">
        <v>50</v>
      </c>
      <c r="E218" s="32">
        <v>0</v>
      </c>
    </row>
    <row r="219" spans="1:5" x14ac:dyDescent="0.25">
      <c r="A219">
        <v>218</v>
      </c>
      <c r="B219" t="s">
        <v>9354</v>
      </c>
      <c r="C219" t="s">
        <v>90</v>
      </c>
      <c r="D219">
        <v>60</v>
      </c>
      <c r="E219">
        <v>0</v>
      </c>
    </row>
    <row r="220" spans="1:5" x14ac:dyDescent="0.25">
      <c r="A220" s="32">
        <v>219</v>
      </c>
      <c r="B220" s="32" t="s">
        <v>9354</v>
      </c>
      <c r="C220" s="32" t="s">
        <v>89</v>
      </c>
      <c r="D220" s="32">
        <v>80</v>
      </c>
      <c r="E220" s="32">
        <v>0</v>
      </c>
    </row>
    <row r="221" spans="1:5" x14ac:dyDescent="0.25">
      <c r="A221">
        <v>220</v>
      </c>
      <c r="B221" t="s">
        <v>9354</v>
      </c>
      <c r="C221" t="s">
        <v>6998</v>
      </c>
      <c r="D221">
        <v>60</v>
      </c>
      <c r="E221">
        <v>0</v>
      </c>
    </row>
    <row r="222" spans="1:5" x14ac:dyDescent="0.25">
      <c r="A222" s="32">
        <v>221</v>
      </c>
      <c r="B222" s="32" t="s">
        <v>9354</v>
      </c>
      <c r="C222" s="32" t="s">
        <v>29</v>
      </c>
      <c r="D222" s="32">
        <v>160</v>
      </c>
      <c r="E222" s="32">
        <v>0</v>
      </c>
    </row>
    <row r="223" spans="1:5" x14ac:dyDescent="0.25">
      <c r="A223">
        <v>222</v>
      </c>
      <c r="B223" t="s">
        <v>9354</v>
      </c>
      <c r="C223" t="s">
        <v>6885</v>
      </c>
      <c r="D223">
        <v>40</v>
      </c>
      <c r="E223">
        <v>0</v>
      </c>
    </row>
    <row r="224" spans="1:5" x14ac:dyDescent="0.25">
      <c r="A224" s="32">
        <v>223</v>
      </c>
      <c r="B224" s="32" t="s">
        <v>9354</v>
      </c>
      <c r="C224" s="32" t="s">
        <v>6887</v>
      </c>
      <c r="D224" s="32">
        <v>320</v>
      </c>
      <c r="E224" s="32">
        <v>0</v>
      </c>
    </row>
    <row r="225" spans="1:5" x14ac:dyDescent="0.25">
      <c r="A225">
        <v>224</v>
      </c>
      <c r="B225" t="s">
        <v>9354</v>
      </c>
      <c r="C225" t="s">
        <v>6889</v>
      </c>
      <c r="D225">
        <v>240</v>
      </c>
      <c r="E225">
        <v>0</v>
      </c>
    </row>
    <row r="226" spans="1:5" x14ac:dyDescent="0.25">
      <c r="A226" s="32">
        <v>225</v>
      </c>
      <c r="B226" s="32" t="s">
        <v>9354</v>
      </c>
      <c r="C226" s="32" t="s">
        <v>91</v>
      </c>
      <c r="D226" s="32">
        <v>60</v>
      </c>
      <c r="E226" s="32">
        <v>0</v>
      </c>
    </row>
    <row r="227" spans="1:5" x14ac:dyDescent="0.25">
      <c r="A227">
        <v>226</v>
      </c>
      <c r="B227" t="s">
        <v>9354</v>
      </c>
      <c r="C227" t="s">
        <v>6892</v>
      </c>
      <c r="D227">
        <v>80</v>
      </c>
      <c r="E227">
        <v>0</v>
      </c>
    </row>
    <row r="228" spans="1:5" x14ac:dyDescent="0.25">
      <c r="A228" s="32">
        <v>227</v>
      </c>
      <c r="B228" s="32" t="s">
        <v>9354</v>
      </c>
      <c r="C228" s="32" t="s">
        <v>6894</v>
      </c>
      <c r="D228" s="32">
        <v>90</v>
      </c>
      <c r="E228" s="32">
        <v>0</v>
      </c>
    </row>
    <row r="229" spans="1:5" x14ac:dyDescent="0.25">
      <c r="A229">
        <v>228</v>
      </c>
      <c r="B229" t="s">
        <v>9354</v>
      </c>
      <c r="C229" t="s">
        <v>6896</v>
      </c>
      <c r="D229">
        <v>150</v>
      </c>
      <c r="E229">
        <v>0</v>
      </c>
    </row>
    <row r="230" spans="1:5" x14ac:dyDescent="0.25">
      <c r="A230" s="32">
        <v>229</v>
      </c>
      <c r="B230" s="32" t="s">
        <v>9354</v>
      </c>
      <c r="C230" s="32" t="s">
        <v>76</v>
      </c>
      <c r="D230" s="32">
        <v>180</v>
      </c>
      <c r="E230" s="32">
        <v>0</v>
      </c>
    </row>
    <row r="231" spans="1:5" x14ac:dyDescent="0.25">
      <c r="A231">
        <v>230</v>
      </c>
      <c r="B231" t="s">
        <v>9354</v>
      </c>
      <c r="C231" t="s">
        <v>100</v>
      </c>
      <c r="D231">
        <v>200</v>
      </c>
      <c r="E231">
        <v>0</v>
      </c>
    </row>
    <row r="232" spans="1:5" x14ac:dyDescent="0.25">
      <c r="A232" s="32">
        <v>231</v>
      </c>
      <c r="B232" s="32" t="s">
        <v>9354</v>
      </c>
      <c r="C232" s="32" t="s">
        <v>96</v>
      </c>
      <c r="D232" s="32">
        <v>200</v>
      </c>
      <c r="E232" s="32">
        <v>0</v>
      </c>
    </row>
    <row r="233" spans="1:5" x14ac:dyDescent="0.25">
      <c r="A233">
        <v>232</v>
      </c>
      <c r="B233" t="s">
        <v>9354</v>
      </c>
      <c r="C233" t="s">
        <v>6901</v>
      </c>
      <c r="D233">
        <v>250</v>
      </c>
      <c r="E233">
        <v>0</v>
      </c>
    </row>
    <row r="234" spans="1:5" x14ac:dyDescent="0.25">
      <c r="A234" s="32">
        <v>233</v>
      </c>
      <c r="B234" s="32" t="s">
        <v>9354</v>
      </c>
      <c r="C234" s="32" t="s">
        <v>21</v>
      </c>
      <c r="D234" s="32">
        <v>60</v>
      </c>
      <c r="E234" s="32">
        <v>0</v>
      </c>
    </row>
    <row r="235" spans="1:5" x14ac:dyDescent="0.25">
      <c r="A235">
        <v>234</v>
      </c>
      <c r="B235" t="s">
        <v>9354</v>
      </c>
      <c r="C235" t="s">
        <v>6904</v>
      </c>
      <c r="D235">
        <v>50</v>
      </c>
      <c r="E235">
        <v>0</v>
      </c>
    </row>
    <row r="236" spans="1:5" x14ac:dyDescent="0.25">
      <c r="A236" s="32">
        <v>235</v>
      </c>
      <c r="B236" s="32" t="s">
        <v>9355</v>
      </c>
      <c r="C236" s="32" t="s">
        <v>52</v>
      </c>
      <c r="D236" s="32">
        <v>160</v>
      </c>
      <c r="E236" s="32">
        <v>0</v>
      </c>
    </row>
    <row r="237" spans="1:5" x14ac:dyDescent="0.25">
      <c r="A237">
        <v>236</v>
      </c>
      <c r="B237" t="s">
        <v>9355</v>
      </c>
      <c r="C237" t="s">
        <v>63</v>
      </c>
      <c r="D237">
        <v>30</v>
      </c>
      <c r="E237">
        <v>0</v>
      </c>
    </row>
    <row r="238" spans="1:5" x14ac:dyDescent="0.25">
      <c r="A238" s="32">
        <v>237</v>
      </c>
      <c r="B238" s="32" t="s">
        <v>9355</v>
      </c>
      <c r="C238" s="32" t="s">
        <v>6908</v>
      </c>
      <c r="D238" s="32">
        <v>60</v>
      </c>
      <c r="E238" s="32">
        <v>0</v>
      </c>
    </row>
    <row r="239" spans="1:5" x14ac:dyDescent="0.25">
      <c r="A239">
        <v>238</v>
      </c>
      <c r="B239" t="s">
        <v>9355</v>
      </c>
      <c r="C239" t="s">
        <v>19</v>
      </c>
      <c r="D239">
        <v>240</v>
      </c>
      <c r="E239">
        <v>0</v>
      </c>
    </row>
    <row r="240" spans="1:5" x14ac:dyDescent="0.25">
      <c r="A240" s="32">
        <v>239</v>
      </c>
      <c r="B240" s="32" t="s">
        <v>9356</v>
      </c>
      <c r="C240" s="32" t="s">
        <v>108</v>
      </c>
      <c r="D240" s="32">
        <v>480</v>
      </c>
      <c r="E240" s="32">
        <v>0</v>
      </c>
    </row>
    <row r="241" spans="1:5" x14ac:dyDescent="0.25">
      <c r="A241">
        <v>240</v>
      </c>
      <c r="B241" t="s">
        <v>9357</v>
      </c>
      <c r="C241" t="s">
        <v>20</v>
      </c>
      <c r="D241">
        <v>12</v>
      </c>
      <c r="E241">
        <v>0</v>
      </c>
    </row>
    <row r="242" spans="1:5" x14ac:dyDescent="0.25">
      <c r="A242" s="32">
        <v>241</v>
      </c>
      <c r="B242" s="32" t="s">
        <v>9357</v>
      </c>
      <c r="C242" s="32" t="s">
        <v>88</v>
      </c>
      <c r="D242" s="32">
        <v>12</v>
      </c>
      <c r="E242" s="32">
        <v>0</v>
      </c>
    </row>
    <row r="243" spans="1:5" x14ac:dyDescent="0.25">
      <c r="A243">
        <v>242</v>
      </c>
      <c r="B243" t="s">
        <v>9357</v>
      </c>
      <c r="C243" t="s">
        <v>57</v>
      </c>
      <c r="D243">
        <v>12</v>
      </c>
      <c r="E243">
        <v>0</v>
      </c>
    </row>
    <row r="244" spans="1:5" x14ac:dyDescent="0.25">
      <c r="A244" s="32">
        <v>243</v>
      </c>
      <c r="B244" s="32" t="s">
        <v>9357</v>
      </c>
      <c r="C244" s="32" t="s">
        <v>64</v>
      </c>
      <c r="D244" s="32">
        <v>12</v>
      </c>
      <c r="E244" s="32">
        <v>0</v>
      </c>
    </row>
    <row r="245" spans="1:5" x14ac:dyDescent="0.25">
      <c r="A245">
        <v>244</v>
      </c>
      <c r="B245" t="s">
        <v>9357</v>
      </c>
      <c r="C245" t="s">
        <v>25</v>
      </c>
      <c r="D245">
        <v>12</v>
      </c>
      <c r="E245">
        <v>0</v>
      </c>
    </row>
    <row r="246" spans="1:5" x14ac:dyDescent="0.25">
      <c r="A246" s="32">
        <v>245</v>
      </c>
      <c r="B246" s="32" t="s">
        <v>9357</v>
      </c>
      <c r="C246" s="32" t="s">
        <v>6917</v>
      </c>
      <c r="D246" s="32">
        <v>12</v>
      </c>
      <c r="E246" s="32">
        <v>0</v>
      </c>
    </row>
    <row r="247" spans="1:5" x14ac:dyDescent="0.25">
      <c r="A247">
        <v>246</v>
      </c>
      <c r="B247" t="s">
        <v>9357</v>
      </c>
      <c r="C247" t="s">
        <v>23</v>
      </c>
      <c r="D247">
        <v>12</v>
      </c>
      <c r="E247">
        <v>0</v>
      </c>
    </row>
    <row r="248" spans="1:5" x14ac:dyDescent="0.25">
      <c r="A248" s="32">
        <v>247</v>
      </c>
      <c r="B248" s="32" t="s">
        <v>9357</v>
      </c>
      <c r="C248" s="32" t="s">
        <v>49</v>
      </c>
      <c r="D248" s="32">
        <v>12</v>
      </c>
      <c r="E248" s="32">
        <v>0</v>
      </c>
    </row>
    <row r="249" spans="1:5" x14ac:dyDescent="0.25">
      <c r="A249">
        <v>248</v>
      </c>
      <c r="B249" t="s">
        <v>9357</v>
      </c>
      <c r="C249" t="s">
        <v>24</v>
      </c>
      <c r="D249">
        <v>12</v>
      </c>
      <c r="E249">
        <v>0</v>
      </c>
    </row>
    <row r="250" spans="1:5" x14ac:dyDescent="0.25">
      <c r="A250" s="32">
        <v>249</v>
      </c>
      <c r="B250" s="32" t="s">
        <v>9357</v>
      </c>
      <c r="C250" s="32" t="s">
        <v>93</v>
      </c>
      <c r="D250" s="32">
        <v>12</v>
      </c>
      <c r="E250" s="32">
        <v>0</v>
      </c>
    </row>
    <row r="251" spans="1:5" x14ac:dyDescent="0.25">
      <c r="A251">
        <v>250</v>
      </c>
      <c r="B251" t="s">
        <v>9357</v>
      </c>
      <c r="C251" t="s">
        <v>35</v>
      </c>
      <c r="D251">
        <v>12</v>
      </c>
      <c r="E251">
        <v>0</v>
      </c>
    </row>
    <row r="252" spans="1:5" x14ac:dyDescent="0.25">
      <c r="A252" s="32">
        <v>251</v>
      </c>
      <c r="B252" s="32" t="s">
        <v>9357</v>
      </c>
      <c r="C252" s="32" t="s">
        <v>36</v>
      </c>
      <c r="D252" s="32">
        <v>12</v>
      </c>
      <c r="E252" s="32">
        <v>0</v>
      </c>
    </row>
    <row r="253" spans="1:5" x14ac:dyDescent="0.25">
      <c r="A253">
        <v>252</v>
      </c>
      <c r="B253" t="s">
        <v>9357</v>
      </c>
      <c r="C253" t="s">
        <v>7153</v>
      </c>
      <c r="D253">
        <v>12</v>
      </c>
      <c r="E253">
        <v>0</v>
      </c>
    </row>
    <row r="254" spans="1:5" x14ac:dyDescent="0.25">
      <c r="A254" s="32">
        <v>253</v>
      </c>
      <c r="B254" s="32" t="s">
        <v>9357</v>
      </c>
      <c r="C254" s="32" t="s">
        <v>7155</v>
      </c>
      <c r="D254" s="32">
        <v>12</v>
      </c>
      <c r="E254" s="32">
        <v>0</v>
      </c>
    </row>
    <row r="255" spans="1:5" x14ac:dyDescent="0.25">
      <c r="A255">
        <v>254</v>
      </c>
      <c r="B255" t="s">
        <v>9357</v>
      </c>
      <c r="C255" t="s">
        <v>7157</v>
      </c>
      <c r="D255">
        <v>12</v>
      </c>
      <c r="E255">
        <v>0</v>
      </c>
    </row>
    <row r="256" spans="1:5" x14ac:dyDescent="0.25">
      <c r="A256" s="32">
        <v>255</v>
      </c>
      <c r="B256" s="32" t="s">
        <v>9358</v>
      </c>
      <c r="C256" s="32" t="s">
        <v>16</v>
      </c>
      <c r="D256" s="32">
        <v>6</v>
      </c>
      <c r="E256" s="32">
        <v>0</v>
      </c>
    </row>
    <row r="257" spans="1:5" x14ac:dyDescent="0.25">
      <c r="A257">
        <v>256</v>
      </c>
      <c r="B257" t="s">
        <v>9358</v>
      </c>
      <c r="C257" t="s">
        <v>37</v>
      </c>
      <c r="D257">
        <v>6</v>
      </c>
      <c r="E257">
        <v>0</v>
      </c>
    </row>
    <row r="258" spans="1:5" x14ac:dyDescent="0.25">
      <c r="A258" s="32">
        <v>257</v>
      </c>
      <c r="B258" s="32" t="s">
        <v>9358</v>
      </c>
      <c r="C258" s="32" t="s">
        <v>38</v>
      </c>
      <c r="D258" s="32">
        <v>6</v>
      </c>
      <c r="E258" s="32">
        <v>0</v>
      </c>
    </row>
    <row r="259" spans="1:5" x14ac:dyDescent="0.25">
      <c r="A259">
        <v>258</v>
      </c>
      <c r="B259" t="s">
        <v>9358</v>
      </c>
      <c r="C259" t="s">
        <v>39</v>
      </c>
      <c r="D259">
        <v>6</v>
      </c>
      <c r="E259">
        <v>0</v>
      </c>
    </row>
    <row r="260" spans="1:5" x14ac:dyDescent="0.25">
      <c r="A260" s="32">
        <v>259</v>
      </c>
      <c r="B260" s="32" t="s">
        <v>9358</v>
      </c>
      <c r="C260" s="32" t="s">
        <v>40</v>
      </c>
      <c r="D260" s="32">
        <v>6</v>
      </c>
      <c r="E260" s="32">
        <v>0</v>
      </c>
    </row>
    <row r="261" spans="1:5" x14ac:dyDescent="0.25">
      <c r="A261">
        <v>260</v>
      </c>
      <c r="B261" t="s">
        <v>9358</v>
      </c>
      <c r="C261" t="s">
        <v>18</v>
      </c>
      <c r="D261">
        <v>6</v>
      </c>
      <c r="E261">
        <v>0</v>
      </c>
    </row>
    <row r="262" spans="1:5" x14ac:dyDescent="0.25">
      <c r="A262" s="32">
        <v>261</v>
      </c>
      <c r="B262" s="32" t="s">
        <v>9358</v>
      </c>
      <c r="C262" s="32" t="s">
        <v>41</v>
      </c>
      <c r="D262" s="32">
        <v>6</v>
      </c>
      <c r="E262" s="32">
        <v>0</v>
      </c>
    </row>
    <row r="263" spans="1:5" x14ac:dyDescent="0.25">
      <c r="A263">
        <v>262</v>
      </c>
      <c r="B263" t="s">
        <v>9359</v>
      </c>
      <c r="C263" t="s">
        <v>6857</v>
      </c>
      <c r="D263">
        <v>10</v>
      </c>
      <c r="E263">
        <v>0</v>
      </c>
    </row>
    <row r="264" spans="1:5" x14ac:dyDescent="0.25">
      <c r="A264" s="32">
        <v>263</v>
      </c>
      <c r="B264" s="32" t="s">
        <v>9359</v>
      </c>
      <c r="C264" s="32" t="s">
        <v>42</v>
      </c>
      <c r="D264" s="32">
        <v>5</v>
      </c>
      <c r="E264" s="32">
        <v>0</v>
      </c>
    </row>
    <row r="265" spans="1:5" x14ac:dyDescent="0.25">
      <c r="A265">
        <v>264</v>
      </c>
      <c r="B265" t="s">
        <v>9359</v>
      </c>
      <c r="C265" t="s">
        <v>6868</v>
      </c>
      <c r="D265">
        <v>8</v>
      </c>
      <c r="E265">
        <v>0</v>
      </c>
    </row>
    <row r="266" spans="1:5" x14ac:dyDescent="0.25">
      <c r="A266" s="32">
        <v>265</v>
      </c>
      <c r="B266" s="32" t="s">
        <v>9359</v>
      </c>
      <c r="C266" s="32" t="s">
        <v>6870</v>
      </c>
      <c r="D266" s="32">
        <v>5</v>
      </c>
      <c r="E266" s="32">
        <v>0</v>
      </c>
    </row>
    <row r="267" spans="1:5" x14ac:dyDescent="0.25">
      <c r="A267">
        <v>266</v>
      </c>
      <c r="B267" t="s">
        <v>9359</v>
      </c>
      <c r="C267" t="s">
        <v>6872</v>
      </c>
      <c r="D267">
        <v>5</v>
      </c>
      <c r="E267">
        <v>0</v>
      </c>
    </row>
    <row r="268" spans="1:5" x14ac:dyDescent="0.25">
      <c r="A268" s="32">
        <v>267</v>
      </c>
      <c r="B268" s="32" t="s">
        <v>9359</v>
      </c>
      <c r="C268" s="32" t="s">
        <v>14</v>
      </c>
      <c r="D268" s="32">
        <v>6</v>
      </c>
      <c r="E268" s="32">
        <v>0</v>
      </c>
    </row>
    <row r="269" spans="1:5" x14ac:dyDescent="0.25">
      <c r="A269">
        <v>268</v>
      </c>
      <c r="B269" t="s">
        <v>9359</v>
      </c>
      <c r="C269" t="s">
        <v>15</v>
      </c>
      <c r="D269">
        <v>3</v>
      </c>
      <c r="E269">
        <v>0</v>
      </c>
    </row>
    <row r="270" spans="1:5" x14ac:dyDescent="0.25">
      <c r="A270" s="32">
        <v>269</v>
      </c>
      <c r="B270" s="32" t="s">
        <v>9359</v>
      </c>
      <c r="C270" s="32" t="s">
        <v>39</v>
      </c>
      <c r="D270" s="32">
        <v>5</v>
      </c>
      <c r="E270" s="32">
        <v>0</v>
      </c>
    </row>
    <row r="271" spans="1:5" x14ac:dyDescent="0.25">
      <c r="A271">
        <v>270</v>
      </c>
      <c r="B271" t="s">
        <v>9359</v>
      </c>
      <c r="C271" t="s">
        <v>40</v>
      </c>
      <c r="D271">
        <v>5</v>
      </c>
      <c r="E271">
        <v>0</v>
      </c>
    </row>
    <row r="272" spans="1:5" x14ac:dyDescent="0.25">
      <c r="A272" s="32">
        <v>271</v>
      </c>
      <c r="B272" s="32" t="s">
        <v>9359</v>
      </c>
      <c r="C272" s="32" t="s">
        <v>43</v>
      </c>
      <c r="D272" s="32">
        <v>5</v>
      </c>
      <c r="E272" s="32">
        <v>0</v>
      </c>
    </row>
    <row r="273" spans="1:5" x14ac:dyDescent="0.25">
      <c r="A273">
        <v>272</v>
      </c>
      <c r="B273" t="s">
        <v>9359</v>
      </c>
      <c r="C273" t="s">
        <v>44</v>
      </c>
      <c r="D273">
        <v>12</v>
      </c>
      <c r="E273">
        <v>0</v>
      </c>
    </row>
    <row r="274" spans="1:5" x14ac:dyDescent="0.25">
      <c r="A274" s="32">
        <v>273</v>
      </c>
      <c r="B274" s="32" t="s">
        <v>9359</v>
      </c>
      <c r="C274" s="32" t="s">
        <v>18</v>
      </c>
      <c r="D274" s="32">
        <v>12</v>
      </c>
      <c r="E274" s="32">
        <v>0</v>
      </c>
    </row>
    <row r="275" spans="1:5" x14ac:dyDescent="0.25">
      <c r="A275">
        <v>274</v>
      </c>
      <c r="B275" t="s">
        <v>9359</v>
      </c>
      <c r="C275" t="s">
        <v>41</v>
      </c>
      <c r="D275">
        <v>12</v>
      </c>
      <c r="E275">
        <v>0</v>
      </c>
    </row>
    <row r="276" spans="1:5" x14ac:dyDescent="0.25">
      <c r="A276" s="32">
        <v>275</v>
      </c>
      <c r="B276" s="32" t="s">
        <v>9359</v>
      </c>
      <c r="C276" s="32" t="s">
        <v>45</v>
      </c>
      <c r="D276" s="32">
        <v>4</v>
      </c>
      <c r="E276" s="32">
        <v>0</v>
      </c>
    </row>
    <row r="277" spans="1:5" x14ac:dyDescent="0.25">
      <c r="A277">
        <v>276</v>
      </c>
      <c r="B277" t="s">
        <v>9359</v>
      </c>
      <c r="C277" t="s">
        <v>76</v>
      </c>
      <c r="D277">
        <v>4</v>
      </c>
      <c r="E277">
        <v>0</v>
      </c>
    </row>
    <row r="278" spans="1:5" x14ac:dyDescent="0.25">
      <c r="A278" s="32">
        <v>277</v>
      </c>
      <c r="B278" s="32" t="s">
        <v>9359</v>
      </c>
      <c r="C278" s="32" t="s">
        <v>100</v>
      </c>
      <c r="D278" s="32">
        <v>4</v>
      </c>
      <c r="E278" s="32">
        <v>0</v>
      </c>
    </row>
    <row r="279" spans="1:5" x14ac:dyDescent="0.25">
      <c r="A279">
        <v>278</v>
      </c>
      <c r="B279" t="s">
        <v>9359</v>
      </c>
      <c r="C279" t="s">
        <v>96</v>
      </c>
      <c r="D279">
        <v>4</v>
      </c>
      <c r="E279">
        <v>0</v>
      </c>
    </row>
    <row r="280" spans="1:5" x14ac:dyDescent="0.25">
      <c r="A280" s="32">
        <v>279</v>
      </c>
      <c r="B280" s="32" t="s">
        <v>9359</v>
      </c>
      <c r="C280" s="32" t="s">
        <v>46</v>
      </c>
      <c r="D280" s="32">
        <v>4</v>
      </c>
      <c r="E280" s="32">
        <v>0</v>
      </c>
    </row>
    <row r="281" spans="1:5" x14ac:dyDescent="0.25">
      <c r="A281">
        <v>280</v>
      </c>
      <c r="B281" t="s">
        <v>9359</v>
      </c>
      <c r="C281" t="s">
        <v>47</v>
      </c>
      <c r="D281">
        <v>4</v>
      </c>
      <c r="E281">
        <v>0</v>
      </c>
    </row>
    <row r="282" spans="1:5" x14ac:dyDescent="0.25">
      <c r="A282" s="32">
        <v>281</v>
      </c>
      <c r="B282" s="32" t="s">
        <v>9359</v>
      </c>
      <c r="C282" s="32" t="s">
        <v>57</v>
      </c>
      <c r="D282" s="32">
        <v>4</v>
      </c>
      <c r="E282" s="32">
        <v>0</v>
      </c>
    </row>
    <row r="283" spans="1:5" x14ac:dyDescent="0.25">
      <c r="A283">
        <v>282</v>
      </c>
      <c r="B283" t="s">
        <v>9359</v>
      </c>
      <c r="C283" t="s">
        <v>35</v>
      </c>
      <c r="D283">
        <v>4</v>
      </c>
      <c r="E283">
        <v>0</v>
      </c>
    </row>
    <row r="284" spans="1:5" x14ac:dyDescent="0.25">
      <c r="A284" s="32">
        <v>283</v>
      </c>
      <c r="B284" s="32" t="s">
        <v>9359</v>
      </c>
      <c r="C284" s="32" t="s">
        <v>36</v>
      </c>
      <c r="D284" s="32">
        <v>8</v>
      </c>
      <c r="E284" s="32">
        <v>0</v>
      </c>
    </row>
    <row r="285" spans="1:5" x14ac:dyDescent="0.25">
      <c r="A285">
        <v>284</v>
      </c>
      <c r="B285" t="s">
        <v>9359</v>
      </c>
      <c r="C285" t="s">
        <v>48</v>
      </c>
      <c r="D285">
        <v>8</v>
      </c>
      <c r="E285">
        <v>0</v>
      </c>
    </row>
    <row r="286" spans="1:5" x14ac:dyDescent="0.25">
      <c r="A286" s="32">
        <v>285</v>
      </c>
      <c r="B286" s="32" t="s">
        <v>9359</v>
      </c>
      <c r="C286" s="32" t="s">
        <v>49</v>
      </c>
      <c r="D286" s="32">
        <v>3</v>
      </c>
      <c r="E286" s="32">
        <v>0</v>
      </c>
    </row>
    <row r="287" spans="1:5" x14ac:dyDescent="0.25">
      <c r="A287">
        <v>286</v>
      </c>
      <c r="B287" t="s">
        <v>9359</v>
      </c>
      <c r="C287" t="s">
        <v>27</v>
      </c>
      <c r="D287">
        <v>5</v>
      </c>
      <c r="E287">
        <v>0</v>
      </c>
    </row>
    <row r="288" spans="1:5" x14ac:dyDescent="0.25">
      <c r="A288" s="32">
        <v>287</v>
      </c>
      <c r="B288" s="32" t="s">
        <v>9359</v>
      </c>
      <c r="C288" s="32" t="s">
        <v>29</v>
      </c>
      <c r="D288" s="32">
        <v>3</v>
      </c>
      <c r="E288" s="32">
        <v>0</v>
      </c>
    </row>
    <row r="289" spans="1:5" x14ac:dyDescent="0.25">
      <c r="A289">
        <v>288</v>
      </c>
      <c r="B289" t="s">
        <v>9359</v>
      </c>
      <c r="C289" t="s">
        <v>50</v>
      </c>
      <c r="D289">
        <v>24</v>
      </c>
      <c r="E289">
        <v>0</v>
      </c>
    </row>
    <row r="290" spans="1:5" x14ac:dyDescent="0.25">
      <c r="A290" s="32">
        <v>289</v>
      </c>
      <c r="B290" s="32" t="s">
        <v>9360</v>
      </c>
      <c r="C290" s="32" t="s">
        <v>50</v>
      </c>
      <c r="D290" s="32">
        <v>20</v>
      </c>
      <c r="E290" s="32">
        <v>0</v>
      </c>
    </row>
    <row r="291" spans="1:5" x14ac:dyDescent="0.25">
      <c r="A291">
        <v>290</v>
      </c>
      <c r="B291" t="s">
        <v>9360</v>
      </c>
      <c r="C291" t="s">
        <v>51</v>
      </c>
      <c r="D291">
        <v>10</v>
      </c>
      <c r="E291">
        <v>0</v>
      </c>
    </row>
    <row r="292" spans="1:5" x14ac:dyDescent="0.25">
      <c r="A292" s="32">
        <v>291</v>
      </c>
      <c r="B292" s="32" t="s">
        <v>9360</v>
      </c>
      <c r="C292" s="32" t="s">
        <v>29</v>
      </c>
      <c r="D292" s="32">
        <v>6</v>
      </c>
      <c r="E292" s="32">
        <v>0</v>
      </c>
    </row>
    <row r="293" spans="1:5" x14ac:dyDescent="0.25">
      <c r="A293">
        <v>292</v>
      </c>
      <c r="B293" t="s">
        <v>9360</v>
      </c>
      <c r="C293" t="s">
        <v>91</v>
      </c>
      <c r="D293">
        <v>10</v>
      </c>
      <c r="E293">
        <v>0</v>
      </c>
    </row>
    <row r="294" spans="1:5" x14ac:dyDescent="0.25">
      <c r="A294" s="32">
        <v>293</v>
      </c>
      <c r="B294" s="32" t="s">
        <v>9360</v>
      </c>
      <c r="C294" s="32" t="s">
        <v>6892</v>
      </c>
      <c r="D294" s="32">
        <v>30</v>
      </c>
      <c r="E294" s="32">
        <v>0</v>
      </c>
    </row>
    <row r="295" spans="1:5" x14ac:dyDescent="0.25">
      <c r="A295">
        <v>294</v>
      </c>
      <c r="B295" t="s">
        <v>9360</v>
      </c>
      <c r="C295" t="s">
        <v>20</v>
      </c>
      <c r="D295">
        <v>20</v>
      </c>
      <c r="E295">
        <v>0</v>
      </c>
    </row>
    <row r="296" spans="1:5" x14ac:dyDescent="0.25">
      <c r="A296" s="32">
        <v>295</v>
      </c>
      <c r="B296" s="32" t="s">
        <v>9360</v>
      </c>
      <c r="C296" s="32" t="s">
        <v>6925</v>
      </c>
      <c r="D296" s="32">
        <v>10</v>
      </c>
      <c r="E296" s="32">
        <v>0</v>
      </c>
    </row>
    <row r="297" spans="1:5" x14ac:dyDescent="0.25">
      <c r="A297">
        <v>296</v>
      </c>
      <c r="B297" t="s">
        <v>9360</v>
      </c>
      <c r="C297" t="s">
        <v>51</v>
      </c>
      <c r="D297">
        <v>12</v>
      </c>
      <c r="E297">
        <v>0</v>
      </c>
    </row>
    <row r="298" spans="1:5" x14ac:dyDescent="0.25">
      <c r="A298" s="32">
        <v>297</v>
      </c>
      <c r="B298" s="32" t="s">
        <v>9360</v>
      </c>
      <c r="C298" s="32" t="s">
        <v>6928</v>
      </c>
      <c r="D298" s="32">
        <v>15</v>
      </c>
      <c r="E298" s="32">
        <v>0</v>
      </c>
    </row>
    <row r="299" spans="1:5" x14ac:dyDescent="0.25">
      <c r="A299">
        <v>298</v>
      </c>
      <c r="B299" t="s">
        <v>9360</v>
      </c>
      <c r="C299" t="s">
        <v>26</v>
      </c>
      <c r="D299">
        <v>24</v>
      </c>
      <c r="E299">
        <v>0</v>
      </c>
    </row>
    <row r="300" spans="1:5" x14ac:dyDescent="0.25">
      <c r="A300" s="32">
        <v>299</v>
      </c>
      <c r="B300" s="32" t="s">
        <v>9360</v>
      </c>
      <c r="C300" s="32" t="s">
        <v>6870</v>
      </c>
      <c r="D300" s="32">
        <v>5</v>
      </c>
      <c r="E300" s="32">
        <v>0</v>
      </c>
    </row>
    <row r="301" spans="1:5" x14ac:dyDescent="0.25">
      <c r="A301">
        <v>300</v>
      </c>
      <c r="B301" t="s">
        <v>9360</v>
      </c>
      <c r="C301" t="s">
        <v>52</v>
      </c>
      <c r="D301">
        <v>8</v>
      </c>
      <c r="E301">
        <v>0</v>
      </c>
    </row>
    <row r="302" spans="1:5" x14ac:dyDescent="0.25">
      <c r="A302" s="32">
        <v>301</v>
      </c>
      <c r="B302" s="32" t="s">
        <v>9360</v>
      </c>
      <c r="C302" s="32" t="s">
        <v>73</v>
      </c>
      <c r="D302" s="32">
        <v>30</v>
      </c>
      <c r="E302" s="32">
        <v>0</v>
      </c>
    </row>
    <row r="303" spans="1:5" x14ac:dyDescent="0.25">
      <c r="A303">
        <v>302</v>
      </c>
      <c r="B303" t="s">
        <v>9360</v>
      </c>
      <c r="C303" t="s">
        <v>85</v>
      </c>
      <c r="D303">
        <v>12</v>
      </c>
      <c r="E303">
        <v>0</v>
      </c>
    </row>
    <row r="304" spans="1:5" x14ac:dyDescent="0.25">
      <c r="A304" s="32">
        <v>303</v>
      </c>
      <c r="B304" s="32" t="s">
        <v>9360</v>
      </c>
      <c r="C304" s="32" t="s">
        <v>86</v>
      </c>
      <c r="D304" s="32">
        <v>8</v>
      </c>
      <c r="E304" s="32">
        <v>0</v>
      </c>
    </row>
    <row r="305" spans="1:5" x14ac:dyDescent="0.25">
      <c r="A305">
        <v>304</v>
      </c>
      <c r="B305" t="s">
        <v>9360</v>
      </c>
      <c r="C305" t="s">
        <v>53</v>
      </c>
      <c r="D305">
        <v>25</v>
      </c>
      <c r="E305">
        <v>0</v>
      </c>
    </row>
    <row r="306" spans="1:5" x14ac:dyDescent="0.25">
      <c r="A306" s="32">
        <v>305</v>
      </c>
      <c r="B306" s="32" t="s">
        <v>9360</v>
      </c>
      <c r="C306" s="32" t="s">
        <v>73</v>
      </c>
      <c r="D306" s="32">
        <v>10</v>
      </c>
      <c r="E306" s="32">
        <v>0</v>
      </c>
    </row>
    <row r="307" spans="1:5" x14ac:dyDescent="0.25">
      <c r="A307">
        <v>306</v>
      </c>
      <c r="B307" t="s">
        <v>9360</v>
      </c>
      <c r="C307" t="s">
        <v>85</v>
      </c>
      <c r="D307">
        <v>8</v>
      </c>
      <c r="E307">
        <v>0</v>
      </c>
    </row>
    <row r="308" spans="1:5" x14ac:dyDescent="0.25">
      <c r="A308" s="32">
        <v>307</v>
      </c>
      <c r="B308" s="32" t="s">
        <v>9360</v>
      </c>
      <c r="C308" s="32" t="s">
        <v>86</v>
      </c>
      <c r="D308" s="32">
        <v>10</v>
      </c>
      <c r="E308" s="32">
        <v>0</v>
      </c>
    </row>
    <row r="309" spans="1:5" x14ac:dyDescent="0.25">
      <c r="A309">
        <v>308</v>
      </c>
      <c r="B309" t="s">
        <v>9360</v>
      </c>
      <c r="C309" t="s">
        <v>54</v>
      </c>
      <c r="D309">
        <v>5</v>
      </c>
      <c r="E309">
        <v>0</v>
      </c>
    </row>
    <row r="310" spans="1:5" x14ac:dyDescent="0.25">
      <c r="A310" s="32">
        <v>309</v>
      </c>
      <c r="B310" s="32" t="s">
        <v>9360</v>
      </c>
      <c r="C310" s="32" t="s">
        <v>55</v>
      </c>
      <c r="D310" s="32">
        <v>6</v>
      </c>
      <c r="E310" s="32">
        <v>0</v>
      </c>
    </row>
    <row r="311" spans="1:5" x14ac:dyDescent="0.25">
      <c r="A311">
        <v>310</v>
      </c>
      <c r="B311" t="s">
        <v>9360</v>
      </c>
      <c r="C311" t="s">
        <v>6966</v>
      </c>
      <c r="D311">
        <v>12</v>
      </c>
      <c r="E311">
        <v>0</v>
      </c>
    </row>
    <row r="312" spans="1:5" x14ac:dyDescent="0.25">
      <c r="A312" s="32">
        <v>311</v>
      </c>
      <c r="B312" s="32" t="s">
        <v>9360</v>
      </c>
      <c r="C312" s="32" t="s">
        <v>56</v>
      </c>
      <c r="D312" s="32">
        <v>3</v>
      </c>
      <c r="E312" s="32">
        <v>0</v>
      </c>
    </row>
    <row r="313" spans="1:5" x14ac:dyDescent="0.25">
      <c r="A313">
        <v>312</v>
      </c>
      <c r="B313" t="s">
        <v>9360</v>
      </c>
      <c r="C313" t="s">
        <v>6944</v>
      </c>
      <c r="D313">
        <v>12</v>
      </c>
      <c r="E313">
        <v>0</v>
      </c>
    </row>
    <row r="314" spans="1:5" x14ac:dyDescent="0.25">
      <c r="A314" s="32">
        <v>313</v>
      </c>
      <c r="B314" s="32" t="s">
        <v>9360</v>
      </c>
      <c r="C314" s="32" t="s">
        <v>57</v>
      </c>
      <c r="D314" s="32">
        <v>6</v>
      </c>
      <c r="E314" s="32">
        <v>0</v>
      </c>
    </row>
    <row r="315" spans="1:5" x14ac:dyDescent="0.25">
      <c r="A315">
        <v>314</v>
      </c>
      <c r="B315" t="s">
        <v>9361</v>
      </c>
      <c r="C315" t="s">
        <v>6998</v>
      </c>
      <c r="D315">
        <v>48</v>
      </c>
      <c r="E315">
        <v>0</v>
      </c>
    </row>
    <row r="316" spans="1:5" x14ac:dyDescent="0.25">
      <c r="A316" s="32">
        <v>315</v>
      </c>
      <c r="B316" s="32" t="s">
        <v>9361</v>
      </c>
      <c r="C316" s="32" t="s">
        <v>7000</v>
      </c>
      <c r="D316" s="32">
        <v>32</v>
      </c>
      <c r="E316" s="32">
        <v>0</v>
      </c>
    </row>
    <row r="317" spans="1:5" x14ac:dyDescent="0.25">
      <c r="A317">
        <v>316</v>
      </c>
      <c r="B317" t="s">
        <v>9361</v>
      </c>
      <c r="C317" t="s">
        <v>7002</v>
      </c>
      <c r="D317">
        <v>48</v>
      </c>
      <c r="E317">
        <v>0</v>
      </c>
    </row>
    <row r="318" spans="1:5" x14ac:dyDescent="0.25">
      <c r="A318" s="32">
        <v>317</v>
      </c>
      <c r="B318" s="32" t="s">
        <v>9361</v>
      </c>
      <c r="C318" s="32" t="s">
        <v>7004</v>
      </c>
      <c r="D318" s="32">
        <v>6</v>
      </c>
      <c r="E318" s="32">
        <v>0</v>
      </c>
    </row>
    <row r="319" spans="1:5" x14ac:dyDescent="0.25">
      <c r="A319">
        <v>318</v>
      </c>
      <c r="B319" t="s">
        <v>9361</v>
      </c>
      <c r="C319" t="s">
        <v>7006</v>
      </c>
      <c r="D319">
        <v>6</v>
      </c>
      <c r="E319">
        <v>0</v>
      </c>
    </row>
    <row r="320" spans="1:5" x14ac:dyDescent="0.25">
      <c r="A320" s="32">
        <v>319</v>
      </c>
      <c r="B320" s="32" t="s">
        <v>9361</v>
      </c>
      <c r="C320" s="32" t="s">
        <v>7008</v>
      </c>
      <c r="D320" s="32">
        <v>10</v>
      </c>
      <c r="E320" s="32">
        <v>0</v>
      </c>
    </row>
    <row r="321" spans="1:5" x14ac:dyDescent="0.25">
      <c r="A321">
        <v>320</v>
      </c>
      <c r="B321" t="s">
        <v>9361</v>
      </c>
      <c r="C321" t="s">
        <v>53</v>
      </c>
      <c r="D321">
        <v>10</v>
      </c>
      <c r="E321">
        <v>0</v>
      </c>
    </row>
    <row r="322" spans="1:5" x14ac:dyDescent="0.25">
      <c r="A322" s="32">
        <v>321</v>
      </c>
      <c r="B322" s="32" t="s">
        <v>9361</v>
      </c>
      <c r="C322" s="32" t="s">
        <v>65</v>
      </c>
      <c r="D322" s="32">
        <v>24</v>
      </c>
      <c r="E322" s="32">
        <v>0</v>
      </c>
    </row>
    <row r="323" spans="1:5" x14ac:dyDescent="0.25">
      <c r="A323">
        <v>322</v>
      </c>
      <c r="B323" t="s">
        <v>9361</v>
      </c>
      <c r="C323" t="s">
        <v>52</v>
      </c>
      <c r="D323">
        <v>18</v>
      </c>
      <c r="E323">
        <v>0</v>
      </c>
    </row>
    <row r="324" spans="1:5" x14ac:dyDescent="0.25">
      <c r="A324" s="32">
        <v>323</v>
      </c>
      <c r="B324" s="32" t="s">
        <v>9361</v>
      </c>
      <c r="C324" s="32" t="s">
        <v>58</v>
      </c>
      <c r="D324" s="32">
        <v>24</v>
      </c>
      <c r="E324" s="32">
        <v>0</v>
      </c>
    </row>
    <row r="325" spans="1:5" x14ac:dyDescent="0.25">
      <c r="A325">
        <v>324</v>
      </c>
      <c r="B325" t="s">
        <v>9361</v>
      </c>
      <c r="C325" t="s">
        <v>59</v>
      </c>
      <c r="D325">
        <v>30</v>
      </c>
      <c r="E325">
        <v>0</v>
      </c>
    </row>
    <row r="326" spans="1:5" x14ac:dyDescent="0.25">
      <c r="A326" s="32">
        <v>325</v>
      </c>
      <c r="B326" s="32" t="s">
        <v>9361</v>
      </c>
      <c r="C326" s="32" t="s">
        <v>31</v>
      </c>
      <c r="D326" s="32">
        <v>30</v>
      </c>
      <c r="E326" s="32">
        <v>0</v>
      </c>
    </row>
    <row r="327" spans="1:5" x14ac:dyDescent="0.25">
      <c r="A327">
        <v>326</v>
      </c>
      <c r="B327" t="s">
        <v>9361</v>
      </c>
      <c r="C327" t="s">
        <v>53</v>
      </c>
      <c r="D327">
        <v>3</v>
      </c>
      <c r="E327">
        <v>0</v>
      </c>
    </row>
    <row r="328" spans="1:5" x14ac:dyDescent="0.25">
      <c r="A328" s="32">
        <v>327</v>
      </c>
      <c r="B328" s="32" t="s">
        <v>9361</v>
      </c>
      <c r="C328" s="32" t="s">
        <v>65</v>
      </c>
      <c r="D328" s="32">
        <v>4</v>
      </c>
      <c r="E328" s="32">
        <v>0</v>
      </c>
    </row>
    <row r="329" spans="1:5" x14ac:dyDescent="0.25">
      <c r="A329">
        <v>328</v>
      </c>
      <c r="B329" t="s">
        <v>9361</v>
      </c>
      <c r="C329" t="s">
        <v>48</v>
      </c>
      <c r="D329">
        <v>24</v>
      </c>
      <c r="E329">
        <v>0</v>
      </c>
    </row>
    <row r="330" spans="1:5" x14ac:dyDescent="0.25">
      <c r="A330" s="32">
        <v>329</v>
      </c>
      <c r="B330" s="32" t="s">
        <v>9361</v>
      </c>
      <c r="C330" s="32" t="s">
        <v>7000</v>
      </c>
      <c r="D330" s="32">
        <v>18</v>
      </c>
      <c r="E330" s="32">
        <v>0</v>
      </c>
    </row>
    <row r="331" spans="1:5" x14ac:dyDescent="0.25">
      <c r="A331">
        <v>330</v>
      </c>
      <c r="B331" t="s">
        <v>9361</v>
      </c>
      <c r="C331" t="s">
        <v>7002</v>
      </c>
      <c r="D331">
        <v>36</v>
      </c>
      <c r="E331">
        <v>0</v>
      </c>
    </row>
    <row r="332" spans="1:5" x14ac:dyDescent="0.25">
      <c r="A332" s="32">
        <v>331</v>
      </c>
      <c r="B332" s="32" t="s">
        <v>9361</v>
      </c>
      <c r="C332" s="32" t="s">
        <v>7004</v>
      </c>
      <c r="D332" s="32">
        <v>18</v>
      </c>
      <c r="E332" s="32">
        <v>0</v>
      </c>
    </row>
    <row r="333" spans="1:5" x14ac:dyDescent="0.25">
      <c r="A333">
        <v>332</v>
      </c>
      <c r="B333" t="s">
        <v>9361</v>
      </c>
      <c r="C333" t="s">
        <v>7006</v>
      </c>
      <c r="D333">
        <v>18</v>
      </c>
      <c r="E333">
        <v>0</v>
      </c>
    </row>
    <row r="334" spans="1:5" x14ac:dyDescent="0.25">
      <c r="A334" s="32">
        <v>333</v>
      </c>
      <c r="B334" s="32" t="s">
        <v>9361</v>
      </c>
      <c r="C334" s="32" t="s">
        <v>50</v>
      </c>
      <c r="D334" s="32">
        <v>10</v>
      </c>
      <c r="E334" s="32">
        <v>0</v>
      </c>
    </row>
    <row r="335" spans="1:5" x14ac:dyDescent="0.25">
      <c r="A335">
        <v>334</v>
      </c>
      <c r="B335" t="s">
        <v>9361</v>
      </c>
      <c r="C335" t="s">
        <v>82</v>
      </c>
      <c r="D335">
        <v>18</v>
      </c>
      <c r="E335">
        <v>0</v>
      </c>
    </row>
    <row r="336" spans="1:5" x14ac:dyDescent="0.25">
      <c r="A336" s="32">
        <v>335</v>
      </c>
      <c r="B336" s="32" t="s">
        <v>9361</v>
      </c>
      <c r="C336" s="32" t="s">
        <v>48</v>
      </c>
      <c r="D336" s="32">
        <v>12</v>
      </c>
      <c r="E336" s="32">
        <v>0</v>
      </c>
    </row>
    <row r="337" spans="1:5" x14ac:dyDescent="0.25">
      <c r="A337">
        <v>336</v>
      </c>
      <c r="B337" t="s">
        <v>9361</v>
      </c>
      <c r="C337" t="s">
        <v>35</v>
      </c>
      <c r="D337">
        <v>12</v>
      </c>
      <c r="E337">
        <v>0</v>
      </c>
    </row>
    <row r="338" spans="1:5" x14ac:dyDescent="0.25">
      <c r="A338" s="32">
        <v>337</v>
      </c>
      <c r="B338" s="32" t="s">
        <v>9362</v>
      </c>
      <c r="C338" s="32" t="s">
        <v>7178</v>
      </c>
      <c r="D338" s="32">
        <v>4</v>
      </c>
      <c r="E338" s="32">
        <v>0</v>
      </c>
    </row>
    <row r="339" spans="1:5" x14ac:dyDescent="0.25">
      <c r="A339">
        <v>338</v>
      </c>
      <c r="B339" t="s">
        <v>9362</v>
      </c>
      <c r="C339" t="s">
        <v>7179</v>
      </c>
      <c r="D339">
        <v>6</v>
      </c>
      <c r="E339">
        <v>0</v>
      </c>
    </row>
    <row r="340" spans="1:5" x14ac:dyDescent="0.25">
      <c r="A340" s="32">
        <v>339</v>
      </c>
      <c r="B340" s="32" t="s">
        <v>9362</v>
      </c>
      <c r="C340" s="32" t="s">
        <v>7180</v>
      </c>
      <c r="D340" s="32">
        <v>4</v>
      </c>
      <c r="E340" s="32">
        <v>0</v>
      </c>
    </row>
    <row r="341" spans="1:5" x14ac:dyDescent="0.25">
      <c r="A341">
        <v>340</v>
      </c>
      <c r="B341" t="s">
        <v>9362</v>
      </c>
      <c r="C341" t="s">
        <v>7181</v>
      </c>
      <c r="D341">
        <v>3</v>
      </c>
      <c r="E341">
        <v>0</v>
      </c>
    </row>
    <row r="342" spans="1:5" x14ac:dyDescent="0.25">
      <c r="A342" s="32">
        <v>341</v>
      </c>
      <c r="B342" s="32" t="s">
        <v>9362</v>
      </c>
      <c r="C342" s="32" t="s">
        <v>7182</v>
      </c>
      <c r="D342" s="32">
        <v>4</v>
      </c>
      <c r="E342" s="32">
        <v>0</v>
      </c>
    </row>
    <row r="343" spans="1:5" x14ac:dyDescent="0.25">
      <c r="A343">
        <v>342</v>
      </c>
      <c r="B343" t="s">
        <v>9362</v>
      </c>
      <c r="C343" t="s">
        <v>7183</v>
      </c>
      <c r="D343">
        <v>5</v>
      </c>
      <c r="E343">
        <v>0</v>
      </c>
    </row>
    <row r="344" spans="1:5" x14ac:dyDescent="0.25">
      <c r="A344" s="32">
        <v>343</v>
      </c>
      <c r="B344" s="32" t="s">
        <v>9362</v>
      </c>
      <c r="C344" s="32" t="s">
        <v>7184</v>
      </c>
      <c r="D344" s="32">
        <v>6</v>
      </c>
      <c r="E344" s="32">
        <v>0</v>
      </c>
    </row>
    <row r="345" spans="1:5" x14ac:dyDescent="0.25">
      <c r="A345">
        <v>344</v>
      </c>
      <c r="B345" t="s">
        <v>9362</v>
      </c>
      <c r="C345" t="s">
        <v>61</v>
      </c>
      <c r="D345">
        <v>8</v>
      </c>
      <c r="E345">
        <v>0</v>
      </c>
    </row>
    <row r="346" spans="1:5" x14ac:dyDescent="0.25">
      <c r="A346" s="32">
        <v>345</v>
      </c>
      <c r="B346" s="32" t="s">
        <v>9362</v>
      </c>
      <c r="C346" s="32" t="s">
        <v>26</v>
      </c>
      <c r="D346" s="32">
        <v>4</v>
      </c>
      <c r="E346" s="32">
        <v>0</v>
      </c>
    </row>
    <row r="347" spans="1:5" x14ac:dyDescent="0.25">
      <c r="A347">
        <v>346</v>
      </c>
      <c r="B347" t="s">
        <v>9362</v>
      </c>
      <c r="C347" t="s">
        <v>7045</v>
      </c>
      <c r="D347">
        <v>4</v>
      </c>
      <c r="E347">
        <v>0</v>
      </c>
    </row>
    <row r="348" spans="1:5" x14ac:dyDescent="0.25">
      <c r="A348" s="32">
        <v>347</v>
      </c>
      <c r="B348" s="32" t="s">
        <v>9362</v>
      </c>
      <c r="C348" s="32" t="s">
        <v>7047</v>
      </c>
      <c r="D348" s="32">
        <v>4</v>
      </c>
      <c r="E348" s="32">
        <v>0</v>
      </c>
    </row>
    <row r="349" spans="1:5" x14ac:dyDescent="0.25">
      <c r="A349">
        <v>348</v>
      </c>
      <c r="B349" t="s">
        <v>9362</v>
      </c>
      <c r="C349" t="s">
        <v>27</v>
      </c>
      <c r="D349">
        <v>5</v>
      </c>
      <c r="E349">
        <v>0</v>
      </c>
    </row>
    <row r="350" spans="1:5" x14ac:dyDescent="0.25">
      <c r="A350" s="32">
        <v>349</v>
      </c>
      <c r="B350" s="32" t="s">
        <v>9362</v>
      </c>
      <c r="C350" s="32" t="s">
        <v>48</v>
      </c>
      <c r="D350" s="32">
        <v>3</v>
      </c>
      <c r="E350" s="32">
        <v>0</v>
      </c>
    </row>
    <row r="351" spans="1:5" x14ac:dyDescent="0.25">
      <c r="A351">
        <v>350</v>
      </c>
      <c r="B351" t="s">
        <v>9362</v>
      </c>
      <c r="C351" t="s">
        <v>36</v>
      </c>
      <c r="D351">
        <v>6</v>
      </c>
      <c r="E351">
        <v>0</v>
      </c>
    </row>
    <row r="352" spans="1:5" x14ac:dyDescent="0.25">
      <c r="A352" s="32">
        <v>351</v>
      </c>
      <c r="B352" s="32" t="s">
        <v>9363</v>
      </c>
      <c r="C352" s="32" t="s">
        <v>13</v>
      </c>
      <c r="D352" s="32">
        <v>10</v>
      </c>
      <c r="E352" s="32">
        <v>0</v>
      </c>
    </row>
    <row r="353" spans="1:5" x14ac:dyDescent="0.25">
      <c r="A353">
        <v>352</v>
      </c>
      <c r="B353" t="s">
        <v>9363</v>
      </c>
      <c r="C353" t="s">
        <v>33</v>
      </c>
      <c r="D353">
        <v>48</v>
      </c>
      <c r="E353">
        <v>0</v>
      </c>
    </row>
    <row r="354" spans="1:5" x14ac:dyDescent="0.25">
      <c r="A354" s="32">
        <v>353</v>
      </c>
      <c r="B354" s="32" t="s">
        <v>9363</v>
      </c>
      <c r="C354" s="32" t="s">
        <v>34</v>
      </c>
      <c r="D354" s="32">
        <v>48</v>
      </c>
      <c r="E354" s="32">
        <v>0</v>
      </c>
    </row>
    <row r="355" spans="1:5" x14ac:dyDescent="0.25">
      <c r="A355">
        <v>354</v>
      </c>
      <c r="B355" t="s">
        <v>9364</v>
      </c>
      <c r="C355" t="s">
        <v>50</v>
      </c>
      <c r="D355">
        <v>4</v>
      </c>
      <c r="E355">
        <v>0</v>
      </c>
    </row>
    <row r="356" spans="1:5" x14ac:dyDescent="0.25">
      <c r="A356" s="32">
        <v>355</v>
      </c>
      <c r="B356" s="32" t="s">
        <v>9364</v>
      </c>
      <c r="C356" s="32" t="s">
        <v>13</v>
      </c>
      <c r="D356" s="32">
        <v>10</v>
      </c>
      <c r="E356" s="32">
        <v>0</v>
      </c>
    </row>
    <row r="357" spans="1:5" x14ac:dyDescent="0.25">
      <c r="A357">
        <v>356</v>
      </c>
      <c r="B357" t="s">
        <v>9364</v>
      </c>
      <c r="C357" t="s">
        <v>33</v>
      </c>
      <c r="D357">
        <v>20</v>
      </c>
      <c r="E357">
        <v>0</v>
      </c>
    </row>
    <row r="358" spans="1:5" x14ac:dyDescent="0.25">
      <c r="A358" s="32">
        <v>357</v>
      </c>
      <c r="B358" s="32" t="s">
        <v>9365</v>
      </c>
      <c r="C358" s="32" t="s">
        <v>16</v>
      </c>
      <c r="D358" s="32">
        <v>3</v>
      </c>
      <c r="E358" s="32">
        <v>0</v>
      </c>
    </row>
    <row r="359" spans="1:5" x14ac:dyDescent="0.25">
      <c r="A359">
        <v>358</v>
      </c>
      <c r="B359" t="s">
        <v>9365</v>
      </c>
      <c r="C359" t="s">
        <v>14</v>
      </c>
      <c r="D359">
        <v>10</v>
      </c>
      <c r="E359">
        <v>0</v>
      </c>
    </row>
    <row r="360" spans="1:5" x14ac:dyDescent="0.25">
      <c r="A360" s="32">
        <v>359</v>
      </c>
      <c r="B360" s="32" t="s">
        <v>9365</v>
      </c>
      <c r="C360" s="32" t="s">
        <v>15</v>
      </c>
      <c r="D360" s="32">
        <v>10</v>
      </c>
      <c r="E360" s="32">
        <v>0</v>
      </c>
    </row>
    <row r="361" spans="1:5" x14ac:dyDescent="0.25">
      <c r="A361">
        <v>360</v>
      </c>
      <c r="B361" t="s">
        <v>9365</v>
      </c>
      <c r="C361" t="s">
        <v>37</v>
      </c>
      <c r="D361">
        <v>10</v>
      </c>
      <c r="E361">
        <v>0</v>
      </c>
    </row>
    <row r="362" spans="1:5" x14ac:dyDescent="0.25">
      <c r="A362" s="32">
        <v>361</v>
      </c>
      <c r="B362" s="32" t="s">
        <v>9365</v>
      </c>
      <c r="C362" s="32" t="s">
        <v>38</v>
      </c>
      <c r="D362" s="32">
        <v>12</v>
      </c>
      <c r="E362" s="32">
        <v>0</v>
      </c>
    </row>
    <row r="363" spans="1:5" x14ac:dyDescent="0.25">
      <c r="A363">
        <v>362</v>
      </c>
      <c r="B363" t="s">
        <v>9365</v>
      </c>
      <c r="C363" t="s">
        <v>18</v>
      </c>
      <c r="D363">
        <v>5</v>
      </c>
      <c r="E363">
        <v>0</v>
      </c>
    </row>
    <row r="364" spans="1:5" x14ac:dyDescent="0.25">
      <c r="A364" s="32">
        <v>363</v>
      </c>
      <c r="B364" s="32" t="s">
        <v>9365</v>
      </c>
      <c r="C364" s="32" t="s">
        <v>41</v>
      </c>
      <c r="D364" s="32">
        <v>5</v>
      </c>
      <c r="E364" s="32">
        <v>0</v>
      </c>
    </row>
    <row r="365" spans="1:5" x14ac:dyDescent="0.25">
      <c r="A365">
        <v>364</v>
      </c>
      <c r="B365" t="s">
        <v>9365</v>
      </c>
      <c r="C365" t="s">
        <v>40</v>
      </c>
      <c r="D365">
        <v>6</v>
      </c>
      <c r="E365">
        <v>0</v>
      </c>
    </row>
    <row r="366" spans="1:5" x14ac:dyDescent="0.25">
      <c r="A366" s="32">
        <v>365</v>
      </c>
      <c r="B366" s="32" t="s">
        <v>9365</v>
      </c>
      <c r="C366" s="32" t="s">
        <v>62</v>
      </c>
      <c r="D366" s="32">
        <v>6</v>
      </c>
      <c r="E366" s="32">
        <v>0</v>
      </c>
    </row>
    <row r="367" spans="1:5" x14ac:dyDescent="0.25">
      <c r="A367">
        <v>366</v>
      </c>
      <c r="B367" t="s">
        <v>9365</v>
      </c>
      <c r="C367" t="s">
        <v>15</v>
      </c>
      <c r="D367">
        <v>10</v>
      </c>
      <c r="E367">
        <v>0</v>
      </c>
    </row>
    <row r="368" spans="1:5" x14ac:dyDescent="0.25">
      <c r="A368" s="32">
        <v>367</v>
      </c>
      <c r="B368" s="32" t="s">
        <v>9365</v>
      </c>
      <c r="C368" s="32" t="s">
        <v>51</v>
      </c>
      <c r="D368" s="32">
        <v>3</v>
      </c>
      <c r="E368" s="32">
        <v>0</v>
      </c>
    </row>
    <row r="369" spans="1:5" x14ac:dyDescent="0.25">
      <c r="A369">
        <v>368</v>
      </c>
      <c r="B369" t="s">
        <v>9366</v>
      </c>
      <c r="C369" t="s">
        <v>7212</v>
      </c>
      <c r="D369">
        <v>3</v>
      </c>
      <c r="E369">
        <v>5.89</v>
      </c>
    </row>
    <row r="370" spans="1:5" x14ac:dyDescent="0.25">
      <c r="A370" s="32">
        <v>369</v>
      </c>
      <c r="B370" s="32" t="s">
        <v>9366</v>
      </c>
      <c r="C370" s="32" t="s">
        <v>7214</v>
      </c>
      <c r="D370" s="32">
        <v>4</v>
      </c>
      <c r="E370" s="32">
        <v>0</v>
      </c>
    </row>
    <row r="371" spans="1:5" x14ac:dyDescent="0.25">
      <c r="A371">
        <v>370</v>
      </c>
      <c r="B371" t="s">
        <v>9366</v>
      </c>
      <c r="C371" t="s">
        <v>7215</v>
      </c>
      <c r="D371">
        <v>5</v>
      </c>
      <c r="E371">
        <v>0</v>
      </c>
    </row>
    <row r="372" spans="1:5" x14ac:dyDescent="0.25">
      <c r="A372" s="32">
        <v>371</v>
      </c>
      <c r="B372" s="32" t="s">
        <v>9366</v>
      </c>
      <c r="C372" s="32" t="s">
        <v>7217</v>
      </c>
      <c r="D372" s="32">
        <v>4</v>
      </c>
      <c r="E372" s="32">
        <v>0</v>
      </c>
    </row>
    <row r="373" spans="1:5" x14ac:dyDescent="0.25">
      <c r="A373">
        <v>372</v>
      </c>
      <c r="B373" t="s">
        <v>9366</v>
      </c>
      <c r="C373" t="s">
        <v>7219</v>
      </c>
      <c r="D373">
        <v>6</v>
      </c>
      <c r="E373">
        <v>0</v>
      </c>
    </row>
    <row r="374" spans="1:5" x14ac:dyDescent="0.25">
      <c r="A374" s="32">
        <v>373</v>
      </c>
      <c r="B374" s="32" t="s">
        <v>9366</v>
      </c>
      <c r="C374" s="32" t="s">
        <v>63</v>
      </c>
      <c r="D374" s="32">
        <v>4</v>
      </c>
      <c r="E374" s="32">
        <v>0</v>
      </c>
    </row>
    <row r="375" spans="1:5" x14ac:dyDescent="0.25">
      <c r="A375">
        <v>374</v>
      </c>
      <c r="B375" t="s">
        <v>9366</v>
      </c>
      <c r="C375" t="s">
        <v>6904</v>
      </c>
      <c r="D375">
        <v>5</v>
      </c>
      <c r="E375">
        <v>0</v>
      </c>
    </row>
    <row r="376" spans="1:5" x14ac:dyDescent="0.25">
      <c r="A376" s="32">
        <v>375</v>
      </c>
      <c r="B376" s="32" t="s">
        <v>9366</v>
      </c>
      <c r="C376" s="32" t="s">
        <v>6908</v>
      </c>
      <c r="D376" s="32">
        <v>6</v>
      </c>
      <c r="E376" s="32">
        <v>0</v>
      </c>
    </row>
    <row r="377" spans="1:5" x14ac:dyDescent="0.25">
      <c r="A377">
        <v>376</v>
      </c>
      <c r="B377" t="s">
        <v>9366</v>
      </c>
      <c r="C377" t="s">
        <v>64</v>
      </c>
      <c r="D377">
        <v>5</v>
      </c>
      <c r="E377">
        <v>0</v>
      </c>
    </row>
    <row r="378" spans="1:5" x14ac:dyDescent="0.25">
      <c r="A378" s="32">
        <v>377</v>
      </c>
      <c r="B378" s="32" t="s">
        <v>9366</v>
      </c>
      <c r="C378" s="32" t="s">
        <v>14</v>
      </c>
      <c r="D378" s="32">
        <v>4</v>
      </c>
      <c r="E378" s="32">
        <v>0</v>
      </c>
    </row>
    <row r="379" spans="1:5" x14ac:dyDescent="0.25">
      <c r="A379">
        <v>378</v>
      </c>
      <c r="B379" t="s">
        <v>9366</v>
      </c>
      <c r="C379" t="s">
        <v>15</v>
      </c>
      <c r="D379">
        <v>4</v>
      </c>
      <c r="E379">
        <v>0</v>
      </c>
    </row>
    <row r="380" spans="1:5" x14ac:dyDescent="0.25">
      <c r="A380" s="32">
        <v>379</v>
      </c>
      <c r="B380" s="32" t="s">
        <v>9366</v>
      </c>
      <c r="C380" s="32" t="s">
        <v>13</v>
      </c>
      <c r="D380" s="32">
        <v>12</v>
      </c>
      <c r="E380" s="32">
        <v>0</v>
      </c>
    </row>
    <row r="381" spans="1:5" x14ac:dyDescent="0.25">
      <c r="A381">
        <v>380</v>
      </c>
      <c r="B381" t="s">
        <v>9366</v>
      </c>
      <c r="C381" t="s">
        <v>65</v>
      </c>
      <c r="D381">
        <v>6</v>
      </c>
      <c r="E381">
        <v>0</v>
      </c>
    </row>
    <row r="382" spans="1:5" x14ac:dyDescent="0.25">
      <c r="A382" s="32">
        <v>381</v>
      </c>
      <c r="B382" s="32" t="s">
        <v>9366</v>
      </c>
      <c r="C382" s="32" t="s">
        <v>66</v>
      </c>
      <c r="D382" s="32">
        <v>5</v>
      </c>
      <c r="E382" s="32">
        <v>0</v>
      </c>
    </row>
    <row r="383" spans="1:5" x14ac:dyDescent="0.25">
      <c r="A383">
        <v>382</v>
      </c>
      <c r="B383" t="s">
        <v>9366</v>
      </c>
      <c r="C383" t="s">
        <v>67</v>
      </c>
      <c r="D383">
        <v>3</v>
      </c>
      <c r="E383">
        <v>0</v>
      </c>
    </row>
    <row r="384" spans="1:5" x14ac:dyDescent="0.25">
      <c r="A384" s="32">
        <v>383</v>
      </c>
      <c r="B384" s="32" t="s">
        <v>9366</v>
      </c>
      <c r="C384" s="32" t="s">
        <v>12</v>
      </c>
      <c r="D384" s="32">
        <v>30</v>
      </c>
      <c r="E384" s="32">
        <v>0</v>
      </c>
    </row>
    <row r="385" spans="1:5" x14ac:dyDescent="0.25">
      <c r="A385">
        <v>384</v>
      </c>
      <c r="B385" t="s">
        <v>9366</v>
      </c>
      <c r="C385" t="s">
        <v>25</v>
      </c>
      <c r="D385">
        <v>8</v>
      </c>
      <c r="E385">
        <v>0</v>
      </c>
    </row>
    <row r="386" spans="1:5" x14ac:dyDescent="0.25">
      <c r="A386" s="32">
        <v>385</v>
      </c>
      <c r="B386" s="32" t="s">
        <v>9366</v>
      </c>
      <c r="C386" s="32" t="s">
        <v>7251</v>
      </c>
      <c r="D386" s="32">
        <v>6</v>
      </c>
      <c r="E386" s="32">
        <v>0</v>
      </c>
    </row>
    <row r="387" spans="1:5" x14ac:dyDescent="0.25">
      <c r="A387">
        <v>386</v>
      </c>
      <c r="B387" t="s">
        <v>9366</v>
      </c>
      <c r="C387" t="s">
        <v>7253</v>
      </c>
      <c r="D387">
        <v>5</v>
      </c>
      <c r="E387">
        <v>0</v>
      </c>
    </row>
    <row r="388" spans="1:5" x14ac:dyDescent="0.25">
      <c r="A388" s="32">
        <v>387</v>
      </c>
      <c r="B388" s="32" t="s">
        <v>9366</v>
      </c>
      <c r="C388" s="32" t="s">
        <v>7255</v>
      </c>
      <c r="D388" s="32">
        <v>5</v>
      </c>
      <c r="E388" s="32">
        <v>0</v>
      </c>
    </row>
    <row r="389" spans="1:5" x14ac:dyDescent="0.25">
      <c r="A389">
        <v>388</v>
      </c>
      <c r="B389" t="s">
        <v>9366</v>
      </c>
      <c r="C389" t="s">
        <v>7257</v>
      </c>
      <c r="D389">
        <v>6</v>
      </c>
      <c r="E389">
        <v>0</v>
      </c>
    </row>
    <row r="390" spans="1:5" x14ac:dyDescent="0.25">
      <c r="A390" s="32">
        <v>389</v>
      </c>
      <c r="B390" s="32" t="s">
        <v>9366</v>
      </c>
      <c r="C390" s="32" t="s">
        <v>7259</v>
      </c>
      <c r="D390" s="32">
        <v>24</v>
      </c>
      <c r="E390" s="32">
        <v>0</v>
      </c>
    </row>
    <row r="391" spans="1:5" x14ac:dyDescent="0.25">
      <c r="A391">
        <v>390</v>
      </c>
      <c r="B391" t="s">
        <v>9366</v>
      </c>
      <c r="C391" t="s">
        <v>22</v>
      </c>
      <c r="D391">
        <v>4</v>
      </c>
      <c r="E391">
        <v>0</v>
      </c>
    </row>
    <row r="392" spans="1:5" x14ac:dyDescent="0.25">
      <c r="A392" s="32">
        <v>391</v>
      </c>
      <c r="B392" s="32" t="s">
        <v>9366</v>
      </c>
      <c r="C392" s="32" t="s">
        <v>14</v>
      </c>
      <c r="D392" s="32">
        <v>5</v>
      </c>
      <c r="E392" s="32">
        <v>0</v>
      </c>
    </row>
    <row r="393" spans="1:5" x14ac:dyDescent="0.25">
      <c r="A393">
        <v>392</v>
      </c>
      <c r="B393" t="s">
        <v>9366</v>
      </c>
      <c r="C393" t="s">
        <v>15</v>
      </c>
      <c r="D393">
        <v>3</v>
      </c>
      <c r="E393">
        <v>0</v>
      </c>
    </row>
    <row r="394" spans="1:5" x14ac:dyDescent="0.25">
      <c r="A394" s="32">
        <v>393</v>
      </c>
      <c r="B394" s="32" t="s">
        <v>9366</v>
      </c>
      <c r="C394" s="32" t="s">
        <v>23</v>
      </c>
      <c r="D394" s="32">
        <v>5</v>
      </c>
      <c r="E394" s="32">
        <v>0</v>
      </c>
    </row>
    <row r="395" spans="1:5" x14ac:dyDescent="0.25">
      <c r="A395">
        <v>394</v>
      </c>
      <c r="B395" t="s">
        <v>9366</v>
      </c>
      <c r="C395" t="s">
        <v>24</v>
      </c>
      <c r="D395">
        <v>4</v>
      </c>
      <c r="E395">
        <v>0</v>
      </c>
    </row>
    <row r="396" spans="1:5" x14ac:dyDescent="0.25">
      <c r="A396" s="32">
        <v>395</v>
      </c>
      <c r="B396" s="32" t="s">
        <v>9366</v>
      </c>
      <c r="C396" s="32" t="s">
        <v>40</v>
      </c>
      <c r="D396" s="32">
        <v>4</v>
      </c>
      <c r="E396" s="32">
        <v>0</v>
      </c>
    </row>
    <row r="397" spans="1:5" x14ac:dyDescent="0.25">
      <c r="A397">
        <v>396</v>
      </c>
      <c r="B397" t="s">
        <v>9366</v>
      </c>
      <c r="C397" t="s">
        <v>39</v>
      </c>
      <c r="D397">
        <v>6</v>
      </c>
      <c r="E397">
        <v>0</v>
      </c>
    </row>
    <row r="398" spans="1:5" x14ac:dyDescent="0.25">
      <c r="A398" s="32">
        <v>397</v>
      </c>
      <c r="B398" s="32" t="s">
        <v>9366</v>
      </c>
      <c r="C398" s="32" t="s">
        <v>7155</v>
      </c>
      <c r="D398" s="32">
        <v>6</v>
      </c>
      <c r="E398" s="32">
        <v>0</v>
      </c>
    </row>
    <row r="399" spans="1:5" x14ac:dyDescent="0.25">
      <c r="A399">
        <v>398</v>
      </c>
      <c r="B399" t="s">
        <v>9367</v>
      </c>
      <c r="C399" t="s">
        <v>13</v>
      </c>
      <c r="D399">
        <v>27</v>
      </c>
      <c r="E399">
        <v>0</v>
      </c>
    </row>
    <row r="400" spans="1:5" x14ac:dyDescent="0.25">
      <c r="A400" s="32">
        <v>399</v>
      </c>
      <c r="B400" s="32" t="s">
        <v>9368</v>
      </c>
      <c r="C400" s="32" t="s">
        <v>69</v>
      </c>
      <c r="D400" s="32">
        <v>15</v>
      </c>
      <c r="E400" s="32">
        <v>11.16</v>
      </c>
    </row>
    <row r="401" spans="1:5" x14ac:dyDescent="0.25">
      <c r="A401">
        <v>400</v>
      </c>
      <c r="B401" t="s">
        <v>9368</v>
      </c>
      <c r="C401" t="s">
        <v>14</v>
      </c>
      <c r="D401">
        <v>9</v>
      </c>
      <c r="E401">
        <v>0</v>
      </c>
    </row>
    <row r="402" spans="1:5" x14ac:dyDescent="0.25">
      <c r="A402" s="32">
        <v>401</v>
      </c>
      <c r="B402" s="32" t="s">
        <v>9368</v>
      </c>
      <c r="C402" s="32" t="s">
        <v>15</v>
      </c>
      <c r="D402" s="32">
        <v>30</v>
      </c>
      <c r="E402" s="32">
        <v>0</v>
      </c>
    </row>
    <row r="403" spans="1:5" x14ac:dyDescent="0.25">
      <c r="A403">
        <v>402</v>
      </c>
      <c r="B403" t="s">
        <v>9368</v>
      </c>
      <c r="C403" t="s">
        <v>19</v>
      </c>
      <c r="D403">
        <v>10</v>
      </c>
      <c r="E403">
        <v>0</v>
      </c>
    </row>
    <row r="404" spans="1:5" x14ac:dyDescent="0.25">
      <c r="A404" s="32">
        <v>403</v>
      </c>
      <c r="B404" s="32" t="s">
        <v>9368</v>
      </c>
      <c r="C404" s="32" t="s">
        <v>7157</v>
      </c>
      <c r="D404" s="32">
        <v>20</v>
      </c>
      <c r="E404" s="32">
        <v>0</v>
      </c>
    </row>
    <row r="405" spans="1:5" x14ac:dyDescent="0.25">
      <c r="A405">
        <v>404</v>
      </c>
      <c r="B405" t="s">
        <v>9368</v>
      </c>
      <c r="C405" t="s">
        <v>108</v>
      </c>
      <c r="D405">
        <v>30</v>
      </c>
      <c r="E405">
        <v>0</v>
      </c>
    </row>
    <row r="406" spans="1:5" x14ac:dyDescent="0.25">
      <c r="A406" s="32">
        <v>405</v>
      </c>
      <c r="B406" s="32" t="s">
        <v>9368</v>
      </c>
      <c r="C406" s="32" t="s">
        <v>7155</v>
      </c>
      <c r="D406" s="32">
        <v>18</v>
      </c>
      <c r="E406" s="32">
        <v>0</v>
      </c>
    </row>
    <row r="407" spans="1:5" x14ac:dyDescent="0.25">
      <c r="A407">
        <v>406</v>
      </c>
      <c r="B407" t="s">
        <v>9352</v>
      </c>
      <c r="C407" t="s">
        <v>7157</v>
      </c>
      <c r="D407">
        <v>6</v>
      </c>
      <c r="E407">
        <v>0</v>
      </c>
    </row>
    <row r="408" spans="1:5" x14ac:dyDescent="0.25">
      <c r="A408" s="32">
        <v>407</v>
      </c>
      <c r="B408" s="32" t="s">
        <v>9368</v>
      </c>
      <c r="C408" s="32" t="s">
        <v>20</v>
      </c>
      <c r="D408" s="32">
        <v>10</v>
      </c>
      <c r="E408" s="32">
        <v>0</v>
      </c>
    </row>
    <row r="409" spans="1:5" x14ac:dyDescent="0.25">
      <c r="A409">
        <v>408</v>
      </c>
      <c r="B409" t="s">
        <v>9368</v>
      </c>
      <c r="C409" t="s">
        <v>7241</v>
      </c>
      <c r="D409">
        <v>12</v>
      </c>
      <c r="E409">
        <v>0</v>
      </c>
    </row>
    <row r="410" spans="1:5" x14ac:dyDescent="0.25">
      <c r="A410" s="32">
        <v>409</v>
      </c>
      <c r="B410" s="32" t="s">
        <v>9368</v>
      </c>
      <c r="C410" s="32" t="s">
        <v>70</v>
      </c>
      <c r="D410" s="32">
        <v>9</v>
      </c>
      <c r="E410" s="32">
        <v>0</v>
      </c>
    </row>
    <row r="411" spans="1:5" x14ac:dyDescent="0.25">
      <c r="A411">
        <v>410</v>
      </c>
      <c r="B411" t="s">
        <v>9368</v>
      </c>
      <c r="C411" t="s">
        <v>15</v>
      </c>
      <c r="D411">
        <v>12</v>
      </c>
      <c r="E411">
        <v>0</v>
      </c>
    </row>
    <row r="412" spans="1:5" x14ac:dyDescent="0.25">
      <c r="A412" s="32">
        <v>411</v>
      </c>
      <c r="B412" s="32" t="s">
        <v>9368</v>
      </c>
      <c r="C412" s="32" t="s">
        <v>71</v>
      </c>
      <c r="D412" s="32">
        <v>3</v>
      </c>
      <c r="E412" s="32">
        <v>0</v>
      </c>
    </row>
    <row r="413" spans="1:5" x14ac:dyDescent="0.25">
      <c r="A413">
        <v>412</v>
      </c>
      <c r="B413" t="s">
        <v>9369</v>
      </c>
      <c r="C413" t="s">
        <v>7051</v>
      </c>
      <c r="D413">
        <v>6</v>
      </c>
      <c r="E413">
        <v>0</v>
      </c>
    </row>
    <row r="414" spans="1:5" x14ac:dyDescent="0.25">
      <c r="A414" s="32">
        <v>413</v>
      </c>
      <c r="B414" s="32" t="s">
        <v>9369</v>
      </c>
      <c r="C414" s="32" t="s">
        <v>7053</v>
      </c>
      <c r="D414" s="32">
        <v>6</v>
      </c>
      <c r="E414" s="32">
        <v>0</v>
      </c>
    </row>
    <row r="415" spans="1:5" x14ac:dyDescent="0.25">
      <c r="A415">
        <v>414</v>
      </c>
      <c r="B415" t="s">
        <v>9369</v>
      </c>
      <c r="C415" t="s">
        <v>7055</v>
      </c>
      <c r="D415">
        <v>4</v>
      </c>
      <c r="E415">
        <v>0</v>
      </c>
    </row>
    <row r="416" spans="1:5" x14ac:dyDescent="0.25">
      <c r="A416" s="32">
        <v>415</v>
      </c>
      <c r="B416" s="32" t="s">
        <v>9369</v>
      </c>
      <c r="C416" s="32" t="s">
        <v>7057</v>
      </c>
      <c r="D416" s="32">
        <v>3</v>
      </c>
      <c r="E416" s="32">
        <v>0</v>
      </c>
    </row>
    <row r="417" spans="1:5" x14ac:dyDescent="0.25">
      <c r="A417">
        <v>416</v>
      </c>
      <c r="B417" t="s">
        <v>9369</v>
      </c>
      <c r="C417" t="s">
        <v>7059</v>
      </c>
      <c r="D417">
        <v>4</v>
      </c>
      <c r="E417">
        <v>30</v>
      </c>
    </row>
    <row r="418" spans="1:5" x14ac:dyDescent="0.25">
      <c r="A418" s="32">
        <v>417</v>
      </c>
      <c r="B418" s="32" t="s">
        <v>9369</v>
      </c>
      <c r="C418" s="32" t="s">
        <v>7061</v>
      </c>
      <c r="D418" s="32">
        <v>24</v>
      </c>
      <c r="E418" s="32">
        <v>0</v>
      </c>
    </row>
    <row r="419" spans="1:5" x14ac:dyDescent="0.25">
      <c r="A419">
        <v>418</v>
      </c>
      <c r="B419" t="s">
        <v>9369</v>
      </c>
      <c r="C419" t="s">
        <v>7063</v>
      </c>
      <c r="D419">
        <v>4</v>
      </c>
      <c r="E419">
        <v>0</v>
      </c>
    </row>
    <row r="420" spans="1:5" x14ac:dyDescent="0.25">
      <c r="A420" s="32">
        <v>419</v>
      </c>
      <c r="B420" s="32" t="s">
        <v>9369</v>
      </c>
      <c r="C420" s="32" t="s">
        <v>7065</v>
      </c>
      <c r="D420" s="32">
        <v>5</v>
      </c>
      <c r="E420" s="32">
        <v>0</v>
      </c>
    </row>
    <row r="421" spans="1:5" x14ac:dyDescent="0.25">
      <c r="A421">
        <v>420</v>
      </c>
      <c r="B421" t="s">
        <v>9369</v>
      </c>
      <c r="C421" t="s">
        <v>7067</v>
      </c>
      <c r="D421">
        <v>10</v>
      </c>
      <c r="E421">
        <v>0</v>
      </c>
    </row>
    <row r="422" spans="1:5" x14ac:dyDescent="0.25">
      <c r="A422" s="32">
        <v>421</v>
      </c>
      <c r="B422" s="32" t="s">
        <v>9369</v>
      </c>
      <c r="C422" s="32" t="s">
        <v>7069</v>
      </c>
      <c r="D422" s="32">
        <v>10</v>
      </c>
      <c r="E422" s="32">
        <v>0</v>
      </c>
    </row>
    <row r="423" spans="1:5" x14ac:dyDescent="0.25">
      <c r="A423">
        <v>422</v>
      </c>
      <c r="B423" t="s">
        <v>9369</v>
      </c>
      <c r="C423" t="s">
        <v>32</v>
      </c>
      <c r="D423">
        <v>10</v>
      </c>
      <c r="E423">
        <v>0</v>
      </c>
    </row>
    <row r="424" spans="1:5" x14ac:dyDescent="0.25">
      <c r="A424" s="32">
        <v>423</v>
      </c>
      <c r="B424" s="32" t="s">
        <v>9369</v>
      </c>
      <c r="C424" s="32" t="s">
        <v>72</v>
      </c>
      <c r="D424" s="32">
        <v>10</v>
      </c>
      <c r="E424" s="32">
        <v>0</v>
      </c>
    </row>
    <row r="425" spans="1:5" x14ac:dyDescent="0.25">
      <c r="A425">
        <v>424</v>
      </c>
      <c r="B425" t="s">
        <v>9369</v>
      </c>
      <c r="C425" t="s">
        <v>19</v>
      </c>
      <c r="D425">
        <v>12</v>
      </c>
      <c r="E425">
        <v>0</v>
      </c>
    </row>
    <row r="426" spans="1:5" x14ac:dyDescent="0.25">
      <c r="A426" s="32">
        <v>425</v>
      </c>
      <c r="B426" s="32" t="s">
        <v>9369</v>
      </c>
      <c r="C426" s="32" t="s">
        <v>36</v>
      </c>
      <c r="D426" s="32">
        <v>6</v>
      </c>
      <c r="E426" s="32">
        <v>0</v>
      </c>
    </row>
    <row r="427" spans="1:5" x14ac:dyDescent="0.25">
      <c r="A427">
        <v>426</v>
      </c>
      <c r="B427" t="s">
        <v>9369</v>
      </c>
      <c r="C427" t="s">
        <v>7303</v>
      </c>
      <c r="D427">
        <v>8</v>
      </c>
      <c r="E427">
        <v>0</v>
      </c>
    </row>
    <row r="428" spans="1:5" x14ac:dyDescent="0.25">
      <c r="A428" s="32">
        <v>427</v>
      </c>
      <c r="B428" s="32" t="s">
        <v>9369</v>
      </c>
      <c r="C428" s="32" t="s">
        <v>7305</v>
      </c>
      <c r="D428" s="32">
        <v>8</v>
      </c>
      <c r="E428" s="32">
        <v>0</v>
      </c>
    </row>
    <row r="429" spans="1:5" x14ac:dyDescent="0.25">
      <c r="A429">
        <v>428</v>
      </c>
      <c r="B429" t="s">
        <v>9369</v>
      </c>
      <c r="C429" t="s">
        <v>7307</v>
      </c>
      <c r="D429">
        <v>6</v>
      </c>
      <c r="E429">
        <v>0</v>
      </c>
    </row>
    <row r="430" spans="1:5" x14ac:dyDescent="0.25">
      <c r="A430" s="32">
        <v>429</v>
      </c>
      <c r="B430" s="32" t="s">
        <v>9369</v>
      </c>
      <c r="C430" s="32" t="s">
        <v>73</v>
      </c>
      <c r="D430" s="32">
        <v>10</v>
      </c>
      <c r="E430" s="32">
        <v>0</v>
      </c>
    </row>
    <row r="431" spans="1:5" x14ac:dyDescent="0.25">
      <c r="A431">
        <v>430</v>
      </c>
      <c r="B431" t="s">
        <v>9369</v>
      </c>
      <c r="C431" t="s">
        <v>7157</v>
      </c>
      <c r="D431">
        <v>10</v>
      </c>
      <c r="E431">
        <v>0</v>
      </c>
    </row>
    <row r="432" spans="1:5" x14ac:dyDescent="0.25">
      <c r="A432" s="32">
        <v>431</v>
      </c>
      <c r="B432" s="32" t="s">
        <v>9369</v>
      </c>
      <c r="C432" s="32" t="s">
        <v>74</v>
      </c>
      <c r="D432" s="32">
        <v>10</v>
      </c>
      <c r="E432" s="32">
        <v>0</v>
      </c>
    </row>
    <row r="433" spans="1:5" x14ac:dyDescent="0.25">
      <c r="A433">
        <v>432</v>
      </c>
      <c r="B433" t="s">
        <v>9369</v>
      </c>
      <c r="C433" t="s">
        <v>75</v>
      </c>
      <c r="D433">
        <v>10</v>
      </c>
      <c r="E433">
        <v>0</v>
      </c>
    </row>
    <row r="434" spans="1:5" x14ac:dyDescent="0.25">
      <c r="A434" s="32">
        <v>433</v>
      </c>
      <c r="B434" s="32" t="s">
        <v>9369</v>
      </c>
      <c r="C434" s="32" t="s">
        <v>15</v>
      </c>
      <c r="D434" s="32">
        <v>10</v>
      </c>
      <c r="E434" s="32">
        <v>0</v>
      </c>
    </row>
    <row r="435" spans="1:5" x14ac:dyDescent="0.25">
      <c r="A435">
        <v>434</v>
      </c>
      <c r="B435" t="s">
        <v>9369</v>
      </c>
      <c r="C435" t="s">
        <v>76</v>
      </c>
      <c r="D435">
        <v>10</v>
      </c>
      <c r="E435">
        <v>0</v>
      </c>
    </row>
    <row r="436" spans="1:5" x14ac:dyDescent="0.25">
      <c r="A436" s="32">
        <v>435</v>
      </c>
      <c r="B436" s="32" t="s">
        <v>9369</v>
      </c>
      <c r="C436" s="32" t="s">
        <v>7026</v>
      </c>
      <c r="D436" s="32">
        <v>10</v>
      </c>
      <c r="E436" s="32">
        <v>0</v>
      </c>
    </row>
    <row r="437" spans="1:5" x14ac:dyDescent="0.25">
      <c r="A437">
        <v>436</v>
      </c>
      <c r="B437" t="s">
        <v>9369</v>
      </c>
      <c r="C437" t="s">
        <v>71</v>
      </c>
      <c r="D437">
        <v>10</v>
      </c>
      <c r="E437">
        <v>0</v>
      </c>
    </row>
    <row r="438" spans="1:5" x14ac:dyDescent="0.25">
      <c r="A438" s="32">
        <v>437</v>
      </c>
      <c r="B438" s="32" t="s">
        <v>9369</v>
      </c>
      <c r="C438" s="32" t="s">
        <v>94</v>
      </c>
      <c r="D438" s="32">
        <v>10</v>
      </c>
      <c r="E438" s="32">
        <v>0</v>
      </c>
    </row>
    <row r="439" spans="1:5" x14ac:dyDescent="0.25">
      <c r="A439">
        <v>438</v>
      </c>
      <c r="B439" t="s">
        <v>9369</v>
      </c>
      <c r="C439" t="s">
        <v>101</v>
      </c>
      <c r="D439">
        <v>10</v>
      </c>
      <c r="E439">
        <v>0</v>
      </c>
    </row>
    <row r="440" spans="1:5" x14ac:dyDescent="0.25">
      <c r="A440" s="32">
        <v>439</v>
      </c>
      <c r="B440" s="32" t="s">
        <v>9369</v>
      </c>
      <c r="C440" s="32" t="s">
        <v>12</v>
      </c>
      <c r="D440" s="32">
        <v>10</v>
      </c>
      <c r="E440" s="32">
        <v>0</v>
      </c>
    </row>
    <row r="441" spans="1:5" x14ac:dyDescent="0.25">
      <c r="A441">
        <v>440</v>
      </c>
      <c r="B441" t="s">
        <v>9369</v>
      </c>
      <c r="C441" t="s">
        <v>40</v>
      </c>
      <c r="D441">
        <v>10</v>
      </c>
      <c r="E441">
        <v>0</v>
      </c>
    </row>
    <row r="442" spans="1:5" x14ac:dyDescent="0.25">
      <c r="A442" s="32">
        <v>441</v>
      </c>
      <c r="B442" s="32" t="s">
        <v>9369</v>
      </c>
      <c r="C442" s="32" t="s">
        <v>77</v>
      </c>
      <c r="D442" s="32">
        <v>10</v>
      </c>
      <c r="E442" s="32">
        <v>0</v>
      </c>
    </row>
    <row r="443" spans="1:5" x14ac:dyDescent="0.25">
      <c r="A443">
        <v>442</v>
      </c>
      <c r="B443" t="s">
        <v>9370</v>
      </c>
      <c r="C443" t="s">
        <v>7042</v>
      </c>
      <c r="D443">
        <v>5</v>
      </c>
      <c r="E443">
        <v>0</v>
      </c>
    </row>
    <row r="444" spans="1:5" x14ac:dyDescent="0.25">
      <c r="A444" s="32">
        <v>443</v>
      </c>
      <c r="B444" s="32" t="s">
        <v>9370</v>
      </c>
      <c r="C444" s="32" t="s">
        <v>26</v>
      </c>
      <c r="D444" s="32">
        <v>3</v>
      </c>
      <c r="E444" s="32">
        <v>0</v>
      </c>
    </row>
    <row r="445" spans="1:5" x14ac:dyDescent="0.25">
      <c r="A445">
        <v>444</v>
      </c>
      <c r="B445" t="s">
        <v>9370</v>
      </c>
      <c r="C445" t="s">
        <v>7045</v>
      </c>
      <c r="D445">
        <v>6</v>
      </c>
      <c r="E445">
        <v>0</v>
      </c>
    </row>
    <row r="446" spans="1:5" x14ac:dyDescent="0.25">
      <c r="A446" s="32">
        <v>445</v>
      </c>
      <c r="B446" s="32" t="s">
        <v>9370</v>
      </c>
      <c r="C446" s="32" t="s">
        <v>7047</v>
      </c>
      <c r="D446" s="32">
        <v>6</v>
      </c>
      <c r="E446" s="32">
        <v>0</v>
      </c>
    </row>
    <row r="447" spans="1:5" x14ac:dyDescent="0.25">
      <c r="A447">
        <v>446</v>
      </c>
      <c r="B447" t="s">
        <v>9370</v>
      </c>
      <c r="C447" t="s">
        <v>78</v>
      </c>
      <c r="D447">
        <v>6</v>
      </c>
      <c r="E447">
        <v>0</v>
      </c>
    </row>
    <row r="448" spans="1:5" x14ac:dyDescent="0.25">
      <c r="A448" s="32">
        <v>447</v>
      </c>
      <c r="B448" s="32" t="s">
        <v>9370</v>
      </c>
      <c r="C448" s="32" t="s">
        <v>7006</v>
      </c>
      <c r="D448" s="32">
        <v>5</v>
      </c>
      <c r="E448" s="32">
        <v>0</v>
      </c>
    </row>
    <row r="449" spans="1:5" x14ac:dyDescent="0.25">
      <c r="A449">
        <v>448</v>
      </c>
      <c r="B449" t="s">
        <v>9370</v>
      </c>
      <c r="C449" t="s">
        <v>7008</v>
      </c>
      <c r="D449">
        <v>4</v>
      </c>
      <c r="E449">
        <v>0</v>
      </c>
    </row>
    <row r="450" spans="1:5" x14ac:dyDescent="0.25">
      <c r="A450" s="32">
        <v>449</v>
      </c>
      <c r="B450" s="32" t="s">
        <v>9370</v>
      </c>
      <c r="C450" s="32" t="s">
        <v>53</v>
      </c>
      <c r="D450" s="32">
        <v>4</v>
      </c>
      <c r="E450" s="32">
        <v>0</v>
      </c>
    </row>
    <row r="451" spans="1:5" x14ac:dyDescent="0.25">
      <c r="A451">
        <v>450</v>
      </c>
      <c r="B451" t="s">
        <v>9370</v>
      </c>
      <c r="C451" t="s">
        <v>65</v>
      </c>
      <c r="D451">
        <v>6</v>
      </c>
      <c r="E451">
        <v>0</v>
      </c>
    </row>
    <row r="452" spans="1:5" x14ac:dyDescent="0.25">
      <c r="A452" s="32">
        <v>451</v>
      </c>
      <c r="B452" s="32" t="s">
        <v>9370</v>
      </c>
      <c r="C452" s="32" t="s">
        <v>7012</v>
      </c>
      <c r="D452" s="32">
        <v>3</v>
      </c>
      <c r="E452" s="32">
        <v>0</v>
      </c>
    </row>
    <row r="453" spans="1:5" x14ac:dyDescent="0.25">
      <c r="A453">
        <v>452</v>
      </c>
      <c r="B453" t="s">
        <v>9370</v>
      </c>
      <c r="C453" t="s">
        <v>7014</v>
      </c>
      <c r="D453">
        <v>10</v>
      </c>
      <c r="E453">
        <v>0</v>
      </c>
    </row>
    <row r="454" spans="1:5" x14ac:dyDescent="0.25">
      <c r="A454" s="32">
        <v>453</v>
      </c>
      <c r="B454" s="32" t="s">
        <v>9370</v>
      </c>
      <c r="C454" s="32" t="s">
        <v>7016</v>
      </c>
      <c r="D454" s="32">
        <v>10</v>
      </c>
      <c r="E454" s="32">
        <v>0</v>
      </c>
    </row>
    <row r="455" spans="1:5" x14ac:dyDescent="0.25">
      <c r="A455">
        <v>454</v>
      </c>
      <c r="B455" t="s">
        <v>9370</v>
      </c>
      <c r="C455" t="s">
        <v>45</v>
      </c>
      <c r="D455">
        <v>10</v>
      </c>
      <c r="E455">
        <v>0</v>
      </c>
    </row>
    <row r="456" spans="1:5" x14ac:dyDescent="0.25">
      <c r="A456" s="32">
        <v>455</v>
      </c>
      <c r="B456" s="32" t="s">
        <v>9370</v>
      </c>
      <c r="C456" s="32" t="s">
        <v>27</v>
      </c>
      <c r="D456" s="32">
        <v>10</v>
      </c>
      <c r="E456" s="32">
        <v>0</v>
      </c>
    </row>
    <row r="457" spans="1:5" x14ac:dyDescent="0.25">
      <c r="A457">
        <v>456</v>
      </c>
      <c r="B457" t="s">
        <v>9370</v>
      </c>
      <c r="C457" t="s">
        <v>12</v>
      </c>
      <c r="D457">
        <v>10</v>
      </c>
      <c r="E457">
        <v>0</v>
      </c>
    </row>
    <row r="458" spans="1:5" x14ac:dyDescent="0.25">
      <c r="A458" s="32">
        <v>457</v>
      </c>
      <c r="B458" s="32" t="s">
        <v>9370</v>
      </c>
      <c r="C458" s="32" t="s">
        <v>36</v>
      </c>
      <c r="D458" s="32">
        <v>6</v>
      </c>
      <c r="E458" s="32">
        <v>0</v>
      </c>
    </row>
    <row r="459" spans="1:5" x14ac:dyDescent="0.25">
      <c r="A459">
        <v>458</v>
      </c>
      <c r="B459" t="s">
        <v>9370</v>
      </c>
      <c r="C459" t="s">
        <v>7026</v>
      </c>
      <c r="D459">
        <v>4</v>
      </c>
      <c r="E459">
        <v>0</v>
      </c>
    </row>
    <row r="460" spans="1:5" x14ac:dyDescent="0.25">
      <c r="A460" s="32">
        <v>459</v>
      </c>
      <c r="B460" s="32" t="s">
        <v>9370</v>
      </c>
      <c r="C460" s="32" t="s">
        <v>71</v>
      </c>
      <c r="D460" s="32">
        <v>10</v>
      </c>
      <c r="E460" s="32">
        <v>0</v>
      </c>
    </row>
    <row r="461" spans="1:5" x14ac:dyDescent="0.25">
      <c r="A461">
        <v>460</v>
      </c>
      <c r="B461" t="s">
        <v>9370</v>
      </c>
      <c r="C461" t="s">
        <v>28</v>
      </c>
      <c r="D461">
        <v>12</v>
      </c>
      <c r="E461">
        <v>0</v>
      </c>
    </row>
    <row r="462" spans="1:5" x14ac:dyDescent="0.25">
      <c r="A462" s="32">
        <v>461</v>
      </c>
      <c r="B462" s="32" t="s">
        <v>9370</v>
      </c>
      <c r="C462" s="32" t="s">
        <v>76</v>
      </c>
      <c r="D462" s="32">
        <v>8</v>
      </c>
      <c r="E462" s="32">
        <v>0</v>
      </c>
    </row>
    <row r="463" spans="1:5" x14ac:dyDescent="0.25">
      <c r="A463">
        <v>462</v>
      </c>
      <c r="B463" t="s">
        <v>9370</v>
      </c>
      <c r="C463" t="s">
        <v>7042</v>
      </c>
      <c r="D463">
        <v>20</v>
      </c>
      <c r="E463">
        <v>0</v>
      </c>
    </row>
    <row r="464" spans="1:5" x14ac:dyDescent="0.25">
      <c r="A464" s="32">
        <v>463</v>
      </c>
      <c r="B464" s="32" t="s">
        <v>9370</v>
      </c>
      <c r="C464" s="32" t="s">
        <v>26</v>
      </c>
      <c r="D464" s="32">
        <v>35</v>
      </c>
      <c r="E464" s="32">
        <v>0</v>
      </c>
    </row>
    <row r="465" spans="1:5" x14ac:dyDescent="0.25">
      <c r="A465">
        <v>464</v>
      </c>
      <c r="B465" t="s">
        <v>9370</v>
      </c>
      <c r="C465" t="s">
        <v>7045</v>
      </c>
      <c r="D465">
        <v>5</v>
      </c>
      <c r="E465">
        <v>0</v>
      </c>
    </row>
    <row r="466" spans="1:5" x14ac:dyDescent="0.25">
      <c r="A466" s="32">
        <v>465</v>
      </c>
      <c r="B466" s="32" t="s">
        <v>9370</v>
      </c>
      <c r="C466" s="32" t="s">
        <v>7047</v>
      </c>
      <c r="D466" s="32">
        <v>12</v>
      </c>
      <c r="E466" s="32">
        <v>0</v>
      </c>
    </row>
    <row r="467" spans="1:5" x14ac:dyDescent="0.25">
      <c r="A467">
        <v>466</v>
      </c>
      <c r="B467" t="s">
        <v>9370</v>
      </c>
      <c r="C467" t="s">
        <v>7172</v>
      </c>
      <c r="D467">
        <v>4</v>
      </c>
      <c r="E467">
        <v>0</v>
      </c>
    </row>
    <row r="468" spans="1:5" x14ac:dyDescent="0.25">
      <c r="A468" s="32">
        <v>467</v>
      </c>
      <c r="B468" s="32" t="s">
        <v>9370</v>
      </c>
      <c r="C468" s="32" t="s">
        <v>7174</v>
      </c>
      <c r="D468" s="32">
        <v>12</v>
      </c>
      <c r="E468" s="32">
        <v>0</v>
      </c>
    </row>
    <row r="469" spans="1:5" x14ac:dyDescent="0.25">
      <c r="A469">
        <v>468</v>
      </c>
      <c r="B469" t="s">
        <v>9370</v>
      </c>
      <c r="C469" t="s">
        <v>7176</v>
      </c>
      <c r="D469">
        <v>9</v>
      </c>
      <c r="E469">
        <v>0</v>
      </c>
    </row>
    <row r="470" spans="1:5" x14ac:dyDescent="0.25">
      <c r="A470" s="32">
        <v>469</v>
      </c>
      <c r="B470" s="32" t="s">
        <v>9370</v>
      </c>
      <c r="C470" s="32" t="s">
        <v>7178</v>
      </c>
      <c r="D470" s="32">
        <v>4</v>
      </c>
      <c r="E470" s="32">
        <v>0</v>
      </c>
    </row>
    <row r="471" spans="1:5" x14ac:dyDescent="0.25">
      <c r="A471">
        <v>470</v>
      </c>
      <c r="B471" t="s">
        <v>9371</v>
      </c>
      <c r="C471" t="s">
        <v>7179</v>
      </c>
      <c r="D471">
        <v>10</v>
      </c>
      <c r="E471">
        <v>0</v>
      </c>
    </row>
    <row r="472" spans="1:5" x14ac:dyDescent="0.25">
      <c r="A472" s="32">
        <v>471</v>
      </c>
      <c r="B472" s="32" t="s">
        <v>9352</v>
      </c>
      <c r="C472" s="32" t="s">
        <v>7180</v>
      </c>
      <c r="D472" s="32">
        <v>5</v>
      </c>
      <c r="E472" s="32">
        <v>0</v>
      </c>
    </row>
    <row r="473" spans="1:5" x14ac:dyDescent="0.25">
      <c r="A473">
        <v>472</v>
      </c>
      <c r="B473" t="s">
        <v>9352</v>
      </c>
      <c r="C473" t="s">
        <v>7181</v>
      </c>
      <c r="D473">
        <v>4</v>
      </c>
      <c r="E473">
        <v>190</v>
      </c>
    </row>
    <row r="474" spans="1:5" x14ac:dyDescent="0.25">
      <c r="A474" s="32">
        <v>473</v>
      </c>
      <c r="B474" s="32" t="s">
        <v>9372</v>
      </c>
      <c r="C474" s="32" t="s">
        <v>7182</v>
      </c>
      <c r="D474" s="32">
        <v>10</v>
      </c>
      <c r="E474" s="32">
        <v>0</v>
      </c>
    </row>
    <row r="475" spans="1:5" x14ac:dyDescent="0.25">
      <c r="A475">
        <v>474</v>
      </c>
      <c r="B475" t="s">
        <v>9372</v>
      </c>
      <c r="C475" t="s">
        <v>7183</v>
      </c>
      <c r="D475">
        <v>10</v>
      </c>
      <c r="E475">
        <v>0</v>
      </c>
    </row>
    <row r="476" spans="1:5" x14ac:dyDescent="0.25">
      <c r="A476" s="32">
        <v>475</v>
      </c>
      <c r="B476" s="32" t="s">
        <v>9372</v>
      </c>
      <c r="C476" s="32" t="s">
        <v>7184</v>
      </c>
      <c r="D476" s="32">
        <v>60</v>
      </c>
      <c r="E476" s="32">
        <v>0</v>
      </c>
    </row>
    <row r="477" spans="1:5" x14ac:dyDescent="0.25">
      <c r="A477">
        <v>476</v>
      </c>
      <c r="B477" t="s">
        <v>9372</v>
      </c>
      <c r="C477" t="s">
        <v>7185</v>
      </c>
      <c r="D477">
        <v>30</v>
      </c>
      <c r="E477">
        <v>0</v>
      </c>
    </row>
    <row r="478" spans="1:5" x14ac:dyDescent="0.25">
      <c r="A478" s="32">
        <v>477</v>
      </c>
      <c r="B478" s="32" t="s">
        <v>9372</v>
      </c>
      <c r="C478" s="32" t="s">
        <v>7186</v>
      </c>
      <c r="D478" s="32">
        <v>12</v>
      </c>
      <c r="E478" s="32">
        <v>0</v>
      </c>
    </row>
    <row r="479" spans="1:5" x14ac:dyDescent="0.25">
      <c r="A479">
        <v>478</v>
      </c>
      <c r="B479" t="s">
        <v>9372</v>
      </c>
      <c r="C479" t="s">
        <v>7187</v>
      </c>
      <c r="D479">
        <v>12</v>
      </c>
      <c r="E479">
        <v>0</v>
      </c>
    </row>
    <row r="480" spans="1:5" x14ac:dyDescent="0.25">
      <c r="A480" s="32">
        <v>479</v>
      </c>
      <c r="B480" s="32" t="s">
        <v>9372</v>
      </c>
      <c r="C480" s="32" t="s">
        <v>7188</v>
      </c>
      <c r="D480" s="32">
        <v>15</v>
      </c>
      <c r="E480" s="32">
        <v>0</v>
      </c>
    </row>
    <row r="481" spans="1:5" x14ac:dyDescent="0.25">
      <c r="A481">
        <v>480</v>
      </c>
      <c r="B481" t="s">
        <v>9373</v>
      </c>
      <c r="C481" t="s">
        <v>7190</v>
      </c>
      <c r="D481">
        <v>10</v>
      </c>
      <c r="E481">
        <v>0</v>
      </c>
    </row>
    <row r="482" spans="1:5" x14ac:dyDescent="0.25">
      <c r="A482" s="32">
        <v>481</v>
      </c>
      <c r="B482" s="32" t="s">
        <v>9373</v>
      </c>
      <c r="C482" s="32" t="s">
        <v>7192</v>
      </c>
      <c r="D482" s="32">
        <v>12</v>
      </c>
      <c r="E482" s="32">
        <v>0</v>
      </c>
    </row>
    <row r="483" spans="1:5" x14ac:dyDescent="0.25">
      <c r="A483">
        <v>482</v>
      </c>
      <c r="B483" t="s">
        <v>9374</v>
      </c>
      <c r="C483" t="s">
        <v>7194</v>
      </c>
      <c r="D483">
        <v>30</v>
      </c>
      <c r="E483">
        <v>0</v>
      </c>
    </row>
    <row r="484" spans="1:5" x14ac:dyDescent="0.25">
      <c r="A484" s="32">
        <v>483</v>
      </c>
      <c r="B484" s="32" t="s">
        <v>9374</v>
      </c>
      <c r="C484" s="32" t="s">
        <v>7196</v>
      </c>
      <c r="D484" s="32">
        <v>10</v>
      </c>
      <c r="E484" s="32">
        <v>0</v>
      </c>
    </row>
    <row r="485" spans="1:5" x14ac:dyDescent="0.25">
      <c r="A485">
        <v>484</v>
      </c>
      <c r="B485" t="s">
        <v>9375</v>
      </c>
      <c r="C485" t="s">
        <v>7198</v>
      </c>
      <c r="D485">
        <v>16</v>
      </c>
      <c r="E485">
        <v>0</v>
      </c>
    </row>
    <row r="486" spans="1:5" x14ac:dyDescent="0.25">
      <c r="A486" s="32">
        <v>485</v>
      </c>
      <c r="B486" s="32" t="s">
        <v>9375</v>
      </c>
      <c r="C486" s="32" t="s">
        <v>7200</v>
      </c>
      <c r="D486" s="32">
        <v>16</v>
      </c>
      <c r="E486" s="32">
        <v>0</v>
      </c>
    </row>
    <row r="487" spans="1:5" x14ac:dyDescent="0.25">
      <c r="A487">
        <v>486</v>
      </c>
      <c r="B487" t="s">
        <v>9375</v>
      </c>
      <c r="C487" t="s">
        <v>7202</v>
      </c>
      <c r="D487">
        <v>24</v>
      </c>
      <c r="E487">
        <v>0</v>
      </c>
    </row>
    <row r="488" spans="1:5" x14ac:dyDescent="0.25">
      <c r="A488" s="32">
        <v>487</v>
      </c>
      <c r="B488" s="32" t="s">
        <v>9375</v>
      </c>
      <c r="C488" s="32" t="s">
        <v>7204</v>
      </c>
      <c r="D488" s="32">
        <v>48</v>
      </c>
      <c r="E488" s="32">
        <v>0</v>
      </c>
    </row>
    <row r="489" spans="1:5" x14ac:dyDescent="0.25">
      <c r="A489">
        <v>488</v>
      </c>
      <c r="B489" t="s">
        <v>9375</v>
      </c>
      <c r="C489" t="s">
        <v>7206</v>
      </c>
      <c r="D489">
        <v>8</v>
      </c>
      <c r="E489">
        <v>0</v>
      </c>
    </row>
    <row r="490" spans="1:5" x14ac:dyDescent="0.25">
      <c r="A490" s="32">
        <v>489</v>
      </c>
      <c r="B490" s="32" t="s">
        <v>9376</v>
      </c>
      <c r="C490" s="32" t="s">
        <v>7208</v>
      </c>
      <c r="D490" s="32">
        <v>24</v>
      </c>
      <c r="E490" s="32">
        <v>0</v>
      </c>
    </row>
    <row r="491" spans="1:5" x14ac:dyDescent="0.25">
      <c r="A491">
        <v>490</v>
      </c>
      <c r="B491" t="s">
        <v>9377</v>
      </c>
      <c r="C491" t="s">
        <v>7210</v>
      </c>
      <c r="D491">
        <v>50</v>
      </c>
      <c r="E491">
        <v>0</v>
      </c>
    </row>
    <row r="492" spans="1:5" x14ac:dyDescent="0.25">
      <c r="A492" s="32">
        <v>491</v>
      </c>
      <c r="B492" s="32" t="s">
        <v>9378</v>
      </c>
      <c r="C492" s="32" t="s">
        <v>7212</v>
      </c>
      <c r="D492" s="32">
        <v>10</v>
      </c>
      <c r="E492" s="32">
        <v>0</v>
      </c>
    </row>
    <row r="493" spans="1:5" x14ac:dyDescent="0.25">
      <c r="A493">
        <v>492</v>
      </c>
      <c r="B493" t="s">
        <v>9379</v>
      </c>
      <c r="C493" t="s">
        <v>7214</v>
      </c>
      <c r="D493">
        <v>10</v>
      </c>
      <c r="E493">
        <v>0</v>
      </c>
    </row>
    <row r="494" spans="1:5" x14ac:dyDescent="0.25">
      <c r="A494" s="32">
        <v>493</v>
      </c>
      <c r="B494" s="32" t="s">
        <v>9380</v>
      </c>
      <c r="C494" s="32" t="s">
        <v>7215</v>
      </c>
      <c r="D494" s="32">
        <v>10</v>
      </c>
      <c r="E494" s="32">
        <v>0</v>
      </c>
    </row>
    <row r="495" spans="1:5" x14ac:dyDescent="0.25">
      <c r="A495">
        <v>494</v>
      </c>
      <c r="B495" t="s">
        <v>9380</v>
      </c>
      <c r="C495" t="s">
        <v>7217</v>
      </c>
      <c r="D495">
        <v>12</v>
      </c>
      <c r="E495">
        <v>0</v>
      </c>
    </row>
    <row r="496" spans="1:5" x14ac:dyDescent="0.25">
      <c r="A496" s="32">
        <v>495</v>
      </c>
      <c r="B496" s="32" t="s">
        <v>9381</v>
      </c>
      <c r="C496" s="32" t="s">
        <v>7219</v>
      </c>
      <c r="D496" s="32">
        <v>70</v>
      </c>
      <c r="E496" s="32">
        <v>0</v>
      </c>
    </row>
    <row r="497" spans="1:5" x14ac:dyDescent="0.25">
      <c r="A497">
        <v>496</v>
      </c>
      <c r="B497" t="s">
        <v>9381</v>
      </c>
      <c r="C497" t="s">
        <v>7221</v>
      </c>
      <c r="D497">
        <v>70</v>
      </c>
      <c r="E497">
        <v>0</v>
      </c>
    </row>
    <row r="498" spans="1:5" x14ac:dyDescent="0.25">
      <c r="A498" s="32">
        <v>497</v>
      </c>
      <c r="B498" s="32" t="s">
        <v>9382</v>
      </c>
      <c r="C498" s="32" t="s">
        <v>7223</v>
      </c>
      <c r="D498" s="32">
        <v>10</v>
      </c>
      <c r="E498" s="32">
        <v>0</v>
      </c>
    </row>
    <row r="499" spans="1:5" x14ac:dyDescent="0.25">
      <c r="A499">
        <v>498</v>
      </c>
      <c r="B499" t="s">
        <v>9383</v>
      </c>
      <c r="C499" t="s">
        <v>7225</v>
      </c>
      <c r="D499">
        <v>20</v>
      </c>
      <c r="E499">
        <v>0</v>
      </c>
    </row>
    <row r="500" spans="1:5" x14ac:dyDescent="0.25">
      <c r="A500" s="32">
        <v>499</v>
      </c>
      <c r="B500" s="32" t="s">
        <v>9384</v>
      </c>
      <c r="C500" s="32" t="s">
        <v>7227</v>
      </c>
      <c r="D500" s="32">
        <v>10</v>
      </c>
      <c r="E500" s="32">
        <v>0</v>
      </c>
    </row>
    <row r="501" spans="1:5" x14ac:dyDescent="0.25">
      <c r="A501">
        <v>500</v>
      </c>
      <c r="B501" t="s">
        <v>9385</v>
      </c>
      <c r="C501" t="s">
        <v>7229</v>
      </c>
      <c r="D501">
        <v>16</v>
      </c>
      <c r="E501">
        <v>0</v>
      </c>
    </row>
    <row r="502" spans="1:5" x14ac:dyDescent="0.25">
      <c r="A502" s="32">
        <v>501</v>
      </c>
      <c r="B502" s="32" t="s">
        <v>9385</v>
      </c>
      <c r="C502" s="32" t="s">
        <v>7231</v>
      </c>
      <c r="D502" s="32">
        <v>16</v>
      </c>
      <c r="E502" s="32">
        <v>0</v>
      </c>
    </row>
    <row r="503" spans="1:5" x14ac:dyDescent="0.25">
      <c r="A503">
        <v>502</v>
      </c>
      <c r="B503" t="s">
        <v>9385</v>
      </c>
      <c r="C503" t="s">
        <v>7233</v>
      </c>
      <c r="D503">
        <v>12</v>
      </c>
      <c r="E503">
        <v>0</v>
      </c>
    </row>
    <row r="504" spans="1:5" x14ac:dyDescent="0.25">
      <c r="A504" s="32">
        <v>503</v>
      </c>
      <c r="B504" s="32" t="s">
        <v>9385</v>
      </c>
      <c r="C504" s="32" t="s">
        <v>7235</v>
      </c>
      <c r="D504" s="32">
        <v>12</v>
      </c>
      <c r="E504" s="32">
        <v>0</v>
      </c>
    </row>
    <row r="505" spans="1:5" x14ac:dyDescent="0.25">
      <c r="A505">
        <v>504</v>
      </c>
      <c r="B505" t="s">
        <v>9386</v>
      </c>
      <c r="C505" t="s">
        <v>7237</v>
      </c>
      <c r="D505">
        <v>10</v>
      </c>
      <c r="E505">
        <v>0</v>
      </c>
    </row>
    <row r="506" spans="1:5" x14ac:dyDescent="0.25">
      <c r="A506" s="32">
        <v>505</v>
      </c>
      <c r="B506" s="32" t="s">
        <v>9387</v>
      </c>
      <c r="C506" s="32" t="s">
        <v>7239</v>
      </c>
      <c r="D506" s="32">
        <v>10</v>
      </c>
      <c r="E506" s="32">
        <v>0</v>
      </c>
    </row>
    <row r="507" spans="1:5" x14ac:dyDescent="0.25">
      <c r="A507">
        <v>506</v>
      </c>
      <c r="B507" t="s">
        <v>9387</v>
      </c>
      <c r="C507" t="s">
        <v>7241</v>
      </c>
      <c r="D507">
        <v>24</v>
      </c>
      <c r="E507">
        <v>0</v>
      </c>
    </row>
    <row r="508" spans="1:5" x14ac:dyDescent="0.25">
      <c r="A508" s="32">
        <v>507</v>
      </c>
      <c r="B508" s="32" t="s">
        <v>9388</v>
      </c>
      <c r="C508" s="32" t="s">
        <v>7243</v>
      </c>
      <c r="D508" s="32">
        <v>10</v>
      </c>
      <c r="E508" s="32">
        <v>0</v>
      </c>
    </row>
    <row r="509" spans="1:5" x14ac:dyDescent="0.25">
      <c r="A509">
        <v>508</v>
      </c>
      <c r="B509" t="s">
        <v>9388</v>
      </c>
      <c r="C509" t="s">
        <v>7245</v>
      </c>
      <c r="D509">
        <v>32</v>
      </c>
      <c r="E509">
        <v>0</v>
      </c>
    </row>
    <row r="510" spans="1:5" x14ac:dyDescent="0.25">
      <c r="A510" s="32">
        <v>509</v>
      </c>
      <c r="B510" s="32" t="s">
        <v>9388</v>
      </c>
      <c r="C510" s="32" t="s">
        <v>7247</v>
      </c>
      <c r="D510" s="32">
        <v>40</v>
      </c>
      <c r="E510" s="32">
        <v>0</v>
      </c>
    </row>
    <row r="511" spans="1:5" x14ac:dyDescent="0.25">
      <c r="A511">
        <v>510</v>
      </c>
      <c r="B511" t="s">
        <v>9389</v>
      </c>
      <c r="C511" t="s">
        <v>7249</v>
      </c>
      <c r="D511">
        <v>20</v>
      </c>
      <c r="E511">
        <v>0</v>
      </c>
    </row>
    <row r="512" spans="1:5" x14ac:dyDescent="0.25">
      <c r="A512" s="32">
        <v>511</v>
      </c>
      <c r="B512" s="32" t="s">
        <v>9390</v>
      </c>
      <c r="C512" s="32" t="s">
        <v>7251</v>
      </c>
      <c r="D512" s="32">
        <v>10</v>
      </c>
      <c r="E512" s="32">
        <v>0</v>
      </c>
    </row>
    <row r="513" spans="1:5" x14ac:dyDescent="0.25">
      <c r="A513">
        <v>512</v>
      </c>
      <c r="B513" t="s">
        <v>9390</v>
      </c>
      <c r="C513" t="s">
        <v>7253</v>
      </c>
      <c r="D513">
        <v>12</v>
      </c>
      <c r="E513">
        <v>0</v>
      </c>
    </row>
    <row r="514" spans="1:5" x14ac:dyDescent="0.25">
      <c r="A514" s="32">
        <v>513</v>
      </c>
      <c r="B514" s="32" t="s">
        <v>9390</v>
      </c>
      <c r="C514" s="32" t="s">
        <v>7255</v>
      </c>
      <c r="D514" s="32">
        <v>12</v>
      </c>
      <c r="E514" s="32">
        <v>0</v>
      </c>
    </row>
    <row r="515" spans="1:5" x14ac:dyDescent="0.25">
      <c r="A515">
        <v>514</v>
      </c>
      <c r="B515" t="s">
        <v>9390</v>
      </c>
      <c r="C515" t="s">
        <v>7257</v>
      </c>
      <c r="D515">
        <v>20</v>
      </c>
      <c r="E515">
        <v>0</v>
      </c>
    </row>
    <row r="516" spans="1:5" x14ac:dyDescent="0.25">
      <c r="A516" s="32">
        <v>515</v>
      </c>
      <c r="B516" s="32" t="s">
        <v>9390</v>
      </c>
      <c r="C516" s="32" t="s">
        <v>7259</v>
      </c>
      <c r="D516" s="32">
        <v>20</v>
      </c>
      <c r="E516" s="32">
        <v>0</v>
      </c>
    </row>
    <row r="517" spans="1:5" x14ac:dyDescent="0.25">
      <c r="A517">
        <v>516</v>
      </c>
      <c r="B517" t="s">
        <v>9390</v>
      </c>
      <c r="C517" t="s">
        <v>7261</v>
      </c>
      <c r="D517">
        <v>32</v>
      </c>
      <c r="E517">
        <v>0</v>
      </c>
    </row>
    <row r="518" spans="1:5" x14ac:dyDescent="0.25">
      <c r="A518" s="32">
        <v>517</v>
      </c>
      <c r="B518" s="32" t="s">
        <v>9390</v>
      </c>
      <c r="C518" s="32" t="s">
        <v>7263</v>
      </c>
      <c r="D518" s="32">
        <v>40</v>
      </c>
      <c r="E518" s="32">
        <v>0</v>
      </c>
    </row>
    <row r="519" spans="1:5" x14ac:dyDescent="0.25">
      <c r="A519">
        <v>518</v>
      </c>
      <c r="B519" t="s">
        <v>9390</v>
      </c>
      <c r="C519" t="s">
        <v>7265</v>
      </c>
      <c r="D519">
        <v>3</v>
      </c>
      <c r="E519">
        <v>0</v>
      </c>
    </row>
    <row r="520" spans="1:5" x14ac:dyDescent="0.25">
      <c r="A520" s="32">
        <v>519</v>
      </c>
      <c r="B520" s="32" t="s">
        <v>9391</v>
      </c>
      <c r="C520" s="32" t="s">
        <v>7267</v>
      </c>
      <c r="D520" s="32">
        <v>12</v>
      </c>
      <c r="E520" s="32">
        <v>0</v>
      </c>
    </row>
    <row r="521" spans="1:5" x14ac:dyDescent="0.25">
      <c r="A521">
        <v>520</v>
      </c>
      <c r="B521" t="s">
        <v>9391</v>
      </c>
      <c r="C521" t="s">
        <v>7269</v>
      </c>
      <c r="D521">
        <v>10</v>
      </c>
      <c r="E521">
        <v>0</v>
      </c>
    </row>
    <row r="522" spans="1:5" x14ac:dyDescent="0.25">
      <c r="A522" s="32">
        <v>521</v>
      </c>
      <c r="B522" s="32" t="s">
        <v>9391</v>
      </c>
      <c r="C522" s="32" t="s">
        <v>7271</v>
      </c>
      <c r="D522" s="32">
        <v>10</v>
      </c>
      <c r="E522" s="32">
        <v>0</v>
      </c>
    </row>
    <row r="523" spans="1:5" x14ac:dyDescent="0.25">
      <c r="A523">
        <v>522</v>
      </c>
      <c r="B523" t="s">
        <v>9391</v>
      </c>
      <c r="C523" t="s">
        <v>7273</v>
      </c>
      <c r="D523">
        <v>8</v>
      </c>
      <c r="E523">
        <v>0</v>
      </c>
    </row>
    <row r="524" spans="1:5" x14ac:dyDescent="0.25">
      <c r="A524" s="32">
        <v>523</v>
      </c>
      <c r="B524" s="32" t="s">
        <v>9391</v>
      </c>
      <c r="C524" s="32" t="s">
        <v>7275</v>
      </c>
      <c r="D524" s="32">
        <v>4</v>
      </c>
      <c r="E524" s="32">
        <v>0</v>
      </c>
    </row>
    <row r="525" spans="1:5" x14ac:dyDescent="0.25">
      <c r="A525">
        <v>524</v>
      </c>
      <c r="B525" t="s">
        <v>9391</v>
      </c>
      <c r="C525" t="s">
        <v>7277</v>
      </c>
      <c r="D525">
        <v>6</v>
      </c>
      <c r="E525">
        <v>0</v>
      </c>
    </row>
    <row r="526" spans="1:5" x14ac:dyDescent="0.25">
      <c r="A526" s="32">
        <v>525</v>
      </c>
      <c r="B526" s="32" t="s">
        <v>9391</v>
      </c>
      <c r="C526" s="32" t="s">
        <v>7279</v>
      </c>
      <c r="D526" s="32">
        <v>3</v>
      </c>
      <c r="E526" s="32">
        <v>0</v>
      </c>
    </row>
    <row r="527" spans="1:5" x14ac:dyDescent="0.25">
      <c r="A527">
        <v>526</v>
      </c>
      <c r="B527" t="s">
        <v>9391</v>
      </c>
      <c r="C527" t="s">
        <v>7281</v>
      </c>
      <c r="D527">
        <v>3</v>
      </c>
      <c r="E527">
        <v>0</v>
      </c>
    </row>
    <row r="528" spans="1:5" x14ac:dyDescent="0.25">
      <c r="A528" s="32">
        <v>527</v>
      </c>
      <c r="B528" s="32" t="s">
        <v>9392</v>
      </c>
      <c r="C528" s="32" t="s">
        <v>7283</v>
      </c>
      <c r="D528" s="32">
        <v>3</v>
      </c>
      <c r="E528" s="32">
        <v>0</v>
      </c>
    </row>
    <row r="529" spans="1:5" x14ac:dyDescent="0.25">
      <c r="A529">
        <v>528</v>
      </c>
      <c r="B529" t="s">
        <v>9392</v>
      </c>
      <c r="C529" t="s">
        <v>7285</v>
      </c>
      <c r="D529">
        <v>20</v>
      </c>
      <c r="E529">
        <v>0</v>
      </c>
    </row>
    <row r="530" spans="1:5" x14ac:dyDescent="0.25">
      <c r="A530" s="32">
        <v>529</v>
      </c>
      <c r="B530" s="32" t="s">
        <v>9392</v>
      </c>
      <c r="C530" s="32" t="s">
        <v>7287</v>
      </c>
      <c r="D530" s="32">
        <v>16</v>
      </c>
      <c r="E530" s="32">
        <v>0</v>
      </c>
    </row>
    <row r="531" spans="1:5" x14ac:dyDescent="0.25">
      <c r="A531">
        <v>530</v>
      </c>
      <c r="B531" t="s">
        <v>9392</v>
      </c>
      <c r="C531" t="s">
        <v>7289</v>
      </c>
      <c r="D531">
        <v>20</v>
      </c>
      <c r="E531">
        <v>0</v>
      </c>
    </row>
    <row r="532" spans="1:5" x14ac:dyDescent="0.25">
      <c r="A532" s="32">
        <v>531</v>
      </c>
      <c r="B532" s="32" t="s">
        <v>9392</v>
      </c>
      <c r="C532" s="32" t="s">
        <v>7291</v>
      </c>
      <c r="D532" s="32">
        <v>12</v>
      </c>
      <c r="E532" s="32">
        <v>0</v>
      </c>
    </row>
    <row r="533" spans="1:5" x14ac:dyDescent="0.25">
      <c r="A533">
        <v>532</v>
      </c>
      <c r="B533" t="s">
        <v>9392</v>
      </c>
      <c r="C533" t="s">
        <v>7293</v>
      </c>
      <c r="D533">
        <v>10</v>
      </c>
      <c r="E533">
        <v>0</v>
      </c>
    </row>
    <row r="534" spans="1:5" x14ac:dyDescent="0.25">
      <c r="A534" s="32">
        <v>533</v>
      </c>
      <c r="B534" s="32" t="s">
        <v>9393</v>
      </c>
      <c r="C534" s="32" t="s">
        <v>7295</v>
      </c>
      <c r="D534" s="32">
        <v>3</v>
      </c>
      <c r="E534" s="32">
        <v>0</v>
      </c>
    </row>
    <row r="535" spans="1:5" x14ac:dyDescent="0.25">
      <c r="A535">
        <v>534</v>
      </c>
      <c r="B535" t="s">
        <v>9393</v>
      </c>
      <c r="C535" t="s">
        <v>7297</v>
      </c>
      <c r="D535">
        <v>3</v>
      </c>
      <c r="E535">
        <v>0</v>
      </c>
    </row>
    <row r="536" spans="1:5" x14ac:dyDescent="0.25">
      <c r="A536" s="32">
        <v>535</v>
      </c>
      <c r="B536" s="32" t="s">
        <v>9393</v>
      </c>
      <c r="C536" s="32" t="s">
        <v>7299</v>
      </c>
      <c r="D536" s="32">
        <v>3</v>
      </c>
      <c r="E536" s="32">
        <v>0</v>
      </c>
    </row>
    <row r="537" spans="1:5" x14ac:dyDescent="0.25">
      <c r="A537">
        <v>536</v>
      </c>
      <c r="B537" t="s">
        <v>9393</v>
      </c>
      <c r="C537" t="s">
        <v>7301</v>
      </c>
      <c r="D537">
        <v>3</v>
      </c>
      <c r="E537">
        <v>0</v>
      </c>
    </row>
    <row r="538" spans="1:5" x14ac:dyDescent="0.25">
      <c r="A538" s="32">
        <v>537</v>
      </c>
      <c r="B538" s="32" t="s">
        <v>9393</v>
      </c>
      <c r="C538" s="32" t="s">
        <v>7303</v>
      </c>
      <c r="D538" s="32">
        <v>3</v>
      </c>
      <c r="E538" s="32">
        <v>0</v>
      </c>
    </row>
    <row r="539" spans="1:5" x14ac:dyDescent="0.25">
      <c r="A539">
        <v>538</v>
      </c>
      <c r="B539" t="s">
        <v>9393</v>
      </c>
      <c r="C539" t="s">
        <v>7305</v>
      </c>
      <c r="D539">
        <v>3</v>
      </c>
      <c r="E539">
        <v>0</v>
      </c>
    </row>
    <row r="540" spans="1:5" x14ac:dyDescent="0.25">
      <c r="A540" s="32">
        <v>539</v>
      </c>
      <c r="B540" s="32" t="s">
        <v>9393</v>
      </c>
      <c r="C540" s="32" t="s">
        <v>7307</v>
      </c>
      <c r="D540" s="32">
        <v>3</v>
      </c>
      <c r="E540" s="32">
        <v>0</v>
      </c>
    </row>
    <row r="541" spans="1:5" x14ac:dyDescent="0.25">
      <c r="A541">
        <v>540</v>
      </c>
      <c r="B541" t="s">
        <v>9393</v>
      </c>
      <c r="C541" t="s">
        <v>7309</v>
      </c>
      <c r="D541">
        <v>6</v>
      </c>
      <c r="E541">
        <v>0</v>
      </c>
    </row>
    <row r="542" spans="1:5" x14ac:dyDescent="0.25">
      <c r="A542" s="32">
        <v>541</v>
      </c>
      <c r="B542" s="32" t="s">
        <v>9393</v>
      </c>
      <c r="C542" s="32" t="s">
        <v>7311</v>
      </c>
      <c r="D542" s="32">
        <v>2</v>
      </c>
      <c r="E542" s="32">
        <v>0</v>
      </c>
    </row>
    <row r="543" spans="1:5" x14ac:dyDescent="0.25">
      <c r="A543">
        <v>542</v>
      </c>
      <c r="B543" t="s">
        <v>9393</v>
      </c>
      <c r="C543" t="s">
        <v>7313</v>
      </c>
      <c r="D543">
        <v>8</v>
      </c>
      <c r="E543">
        <v>0</v>
      </c>
    </row>
    <row r="544" spans="1:5" x14ac:dyDescent="0.25">
      <c r="A544" s="32">
        <v>543</v>
      </c>
      <c r="B544" s="32" t="s">
        <v>9393</v>
      </c>
      <c r="C544" s="32" t="s">
        <v>7315</v>
      </c>
      <c r="D544" s="32">
        <v>8</v>
      </c>
      <c r="E544" s="32">
        <v>0</v>
      </c>
    </row>
    <row r="545" spans="1:5" x14ac:dyDescent="0.25">
      <c r="A545">
        <v>544</v>
      </c>
      <c r="B545" t="s">
        <v>9393</v>
      </c>
      <c r="C545" t="s">
        <v>7317</v>
      </c>
      <c r="D545">
        <v>6</v>
      </c>
      <c r="E545">
        <v>0</v>
      </c>
    </row>
    <row r="546" spans="1:5" x14ac:dyDescent="0.25">
      <c r="A546" s="32">
        <v>545</v>
      </c>
      <c r="B546" s="32" t="s">
        <v>9393</v>
      </c>
      <c r="C546" s="32" t="s">
        <v>7049</v>
      </c>
      <c r="D546" s="32">
        <v>2</v>
      </c>
      <c r="E546" s="32">
        <v>0</v>
      </c>
    </row>
    <row r="547" spans="1:5" x14ac:dyDescent="0.25">
      <c r="A547">
        <v>546</v>
      </c>
      <c r="B547" t="s">
        <v>9393</v>
      </c>
      <c r="C547" t="s">
        <v>7051</v>
      </c>
      <c r="D547">
        <v>6</v>
      </c>
      <c r="E547">
        <v>20</v>
      </c>
    </row>
    <row r="548" spans="1:5" x14ac:dyDescent="0.25">
      <c r="A548" s="32">
        <v>547</v>
      </c>
      <c r="B548" s="32" t="s">
        <v>9393</v>
      </c>
      <c r="C548" s="32" t="s">
        <v>7053</v>
      </c>
      <c r="D548" s="32">
        <v>3</v>
      </c>
      <c r="E548" s="32">
        <v>25</v>
      </c>
    </row>
    <row r="549" spans="1:5" x14ac:dyDescent="0.25">
      <c r="A549">
        <v>548</v>
      </c>
      <c r="B549" t="s">
        <v>9393</v>
      </c>
      <c r="C549" t="s">
        <v>7055</v>
      </c>
      <c r="D549">
        <v>4</v>
      </c>
      <c r="E549">
        <v>0</v>
      </c>
    </row>
    <row r="550" spans="1:5" x14ac:dyDescent="0.25">
      <c r="A550" s="32">
        <v>549</v>
      </c>
      <c r="B550" s="32" t="s">
        <v>9393</v>
      </c>
      <c r="C550" s="32" t="s">
        <v>7057</v>
      </c>
      <c r="D550" s="32">
        <v>2</v>
      </c>
      <c r="E550" s="32">
        <v>0</v>
      </c>
    </row>
    <row r="551" spans="1:5" x14ac:dyDescent="0.25">
      <c r="A551">
        <v>550</v>
      </c>
      <c r="B551" t="s">
        <v>9391</v>
      </c>
      <c r="C551" t="s">
        <v>7059</v>
      </c>
      <c r="D551">
        <v>2</v>
      </c>
      <c r="E551">
        <v>0</v>
      </c>
    </row>
    <row r="552" spans="1:5" x14ac:dyDescent="0.25">
      <c r="A552" s="32">
        <v>551</v>
      </c>
      <c r="B552" s="32" t="s">
        <v>9393</v>
      </c>
      <c r="C552" s="32" t="s">
        <v>7061</v>
      </c>
      <c r="D552" s="32">
        <v>2</v>
      </c>
      <c r="E552" s="32">
        <v>0</v>
      </c>
    </row>
    <row r="553" spans="1:5" x14ac:dyDescent="0.25">
      <c r="A553">
        <v>552</v>
      </c>
      <c r="B553" t="s">
        <v>9393</v>
      </c>
      <c r="C553" t="s">
        <v>7063</v>
      </c>
      <c r="D553">
        <v>2</v>
      </c>
      <c r="E553">
        <v>0</v>
      </c>
    </row>
    <row r="554" spans="1:5" x14ac:dyDescent="0.25">
      <c r="A554" s="32">
        <v>553</v>
      </c>
      <c r="B554" s="32" t="s">
        <v>9393</v>
      </c>
      <c r="C554" s="32" t="s">
        <v>7065</v>
      </c>
      <c r="D554" s="32">
        <v>2</v>
      </c>
      <c r="E554" s="32">
        <v>0</v>
      </c>
    </row>
    <row r="555" spans="1:5" x14ac:dyDescent="0.25">
      <c r="A555">
        <v>554</v>
      </c>
      <c r="B555" t="s">
        <v>9393</v>
      </c>
      <c r="C555" t="s">
        <v>7067</v>
      </c>
      <c r="D555">
        <v>2</v>
      </c>
      <c r="E555">
        <v>0</v>
      </c>
    </row>
    <row r="556" spans="1:5" x14ac:dyDescent="0.25">
      <c r="A556" s="32">
        <v>555</v>
      </c>
      <c r="B556" s="32" t="s">
        <v>9393</v>
      </c>
      <c r="C556" s="32" t="s">
        <v>7069</v>
      </c>
      <c r="D556" s="32">
        <v>2</v>
      </c>
      <c r="E556" s="32">
        <v>0</v>
      </c>
    </row>
    <row r="557" spans="1:5" x14ac:dyDescent="0.25">
      <c r="A557">
        <v>556</v>
      </c>
      <c r="B557" t="s">
        <v>9393</v>
      </c>
      <c r="C557" t="s">
        <v>32</v>
      </c>
      <c r="D557">
        <v>3</v>
      </c>
      <c r="E557">
        <v>0</v>
      </c>
    </row>
    <row r="558" spans="1:5" x14ac:dyDescent="0.25">
      <c r="A558" s="32">
        <v>557</v>
      </c>
      <c r="B558" s="32" t="s">
        <v>9393</v>
      </c>
      <c r="C558" s="32" t="s">
        <v>113</v>
      </c>
      <c r="D558" s="32">
        <v>4</v>
      </c>
      <c r="E558" s="32">
        <v>0</v>
      </c>
    </row>
    <row r="559" spans="1:5" x14ac:dyDescent="0.25">
      <c r="A559">
        <v>558</v>
      </c>
      <c r="B559" t="s">
        <v>9393</v>
      </c>
      <c r="C559" t="s">
        <v>7073</v>
      </c>
      <c r="D559">
        <v>4</v>
      </c>
      <c r="E559">
        <v>0</v>
      </c>
    </row>
    <row r="560" spans="1:5" x14ac:dyDescent="0.25">
      <c r="A560" s="32">
        <v>559</v>
      </c>
      <c r="B560" s="32" t="s">
        <v>9391</v>
      </c>
      <c r="C560" s="32" t="s">
        <v>7075</v>
      </c>
      <c r="D560" s="32">
        <v>5</v>
      </c>
      <c r="E560" s="32">
        <v>0</v>
      </c>
    </row>
    <row r="561" spans="1:5" x14ac:dyDescent="0.25">
      <c r="A561">
        <v>560</v>
      </c>
      <c r="B561" t="s">
        <v>9393</v>
      </c>
      <c r="C561" t="s">
        <v>29</v>
      </c>
      <c r="D561">
        <v>2</v>
      </c>
      <c r="E561">
        <v>0</v>
      </c>
    </row>
    <row r="562" spans="1:5" x14ac:dyDescent="0.25">
      <c r="A562" s="32">
        <v>561</v>
      </c>
      <c r="B562" s="32" t="s">
        <v>9393</v>
      </c>
      <c r="C562" s="32" t="s">
        <v>87</v>
      </c>
      <c r="D562" s="32">
        <v>2</v>
      </c>
      <c r="E562" s="32">
        <v>0</v>
      </c>
    </row>
    <row r="563" spans="1:5" x14ac:dyDescent="0.25">
      <c r="A563">
        <v>562</v>
      </c>
      <c r="B563" t="s">
        <v>9393</v>
      </c>
      <c r="C563" t="s">
        <v>7079</v>
      </c>
      <c r="D563">
        <v>2</v>
      </c>
      <c r="E563">
        <v>0</v>
      </c>
    </row>
    <row r="564" spans="1:5" x14ac:dyDescent="0.25">
      <c r="A564" s="32">
        <v>563</v>
      </c>
      <c r="B564" s="32" t="s">
        <v>9393</v>
      </c>
      <c r="C564" s="32" t="s">
        <v>7319</v>
      </c>
      <c r="D564" s="32">
        <v>2</v>
      </c>
      <c r="E564" s="32">
        <v>0</v>
      </c>
    </row>
    <row r="565" spans="1:5" x14ac:dyDescent="0.25">
      <c r="A565">
        <v>564</v>
      </c>
      <c r="B565" t="s">
        <v>9393</v>
      </c>
      <c r="C565" t="s">
        <v>7321</v>
      </c>
      <c r="D565">
        <v>2</v>
      </c>
      <c r="E565">
        <v>0</v>
      </c>
    </row>
    <row r="566" spans="1:5" x14ac:dyDescent="0.25">
      <c r="A566" s="32">
        <v>565</v>
      </c>
      <c r="B566" s="32" t="s">
        <v>9393</v>
      </c>
      <c r="C566" s="32" t="s">
        <v>7081</v>
      </c>
      <c r="D566" s="32">
        <v>2</v>
      </c>
      <c r="E566" s="32">
        <v>0</v>
      </c>
    </row>
    <row r="567" spans="1:5" x14ac:dyDescent="0.25">
      <c r="A567">
        <v>566</v>
      </c>
      <c r="B567" t="s">
        <v>9393</v>
      </c>
      <c r="C567" t="s">
        <v>7324</v>
      </c>
      <c r="D567">
        <v>2</v>
      </c>
      <c r="E567">
        <v>0</v>
      </c>
    </row>
    <row r="568" spans="1:5" x14ac:dyDescent="0.25">
      <c r="A568" s="32">
        <v>567</v>
      </c>
      <c r="B568" s="32" t="s">
        <v>9393</v>
      </c>
      <c r="C568" s="32" t="s">
        <v>7326</v>
      </c>
      <c r="D568" s="32">
        <v>2</v>
      </c>
      <c r="E568" s="32">
        <v>0</v>
      </c>
    </row>
    <row r="569" spans="1:5" x14ac:dyDescent="0.25">
      <c r="A569">
        <v>568</v>
      </c>
      <c r="B569" t="s">
        <v>9393</v>
      </c>
      <c r="C569" t="s">
        <v>7328</v>
      </c>
      <c r="D569">
        <v>2</v>
      </c>
      <c r="E569">
        <v>0</v>
      </c>
    </row>
    <row r="570" spans="1:5" x14ac:dyDescent="0.25">
      <c r="A570" s="32">
        <v>569</v>
      </c>
      <c r="B570" s="32" t="s">
        <v>9393</v>
      </c>
      <c r="C570" s="32" t="s">
        <v>97</v>
      </c>
      <c r="D570" s="32">
        <v>2</v>
      </c>
      <c r="E570" s="32">
        <v>0</v>
      </c>
    </row>
    <row r="571" spans="1:5" x14ac:dyDescent="0.25">
      <c r="A571">
        <v>570</v>
      </c>
      <c r="B571" t="s">
        <v>9393</v>
      </c>
      <c r="C571" t="s">
        <v>7331</v>
      </c>
      <c r="D571">
        <v>2</v>
      </c>
      <c r="E571">
        <v>0</v>
      </c>
    </row>
    <row r="572" spans="1:5" x14ac:dyDescent="0.25">
      <c r="A572" s="32">
        <v>571</v>
      </c>
      <c r="B572" s="32" t="s">
        <v>9393</v>
      </c>
      <c r="C572" s="32" t="s">
        <v>78</v>
      </c>
      <c r="D572" s="32">
        <v>2</v>
      </c>
      <c r="E572" s="32">
        <v>0</v>
      </c>
    </row>
    <row r="573" spans="1:5" x14ac:dyDescent="0.25">
      <c r="A573">
        <v>572</v>
      </c>
      <c r="B573" t="s">
        <v>9393</v>
      </c>
      <c r="C573" t="s">
        <v>7082</v>
      </c>
      <c r="D573">
        <v>4</v>
      </c>
      <c r="E573">
        <v>0</v>
      </c>
    </row>
    <row r="574" spans="1:5" x14ac:dyDescent="0.25">
      <c r="A574" s="32">
        <v>573</v>
      </c>
      <c r="B574" s="32" t="s">
        <v>9393</v>
      </c>
      <c r="C574" s="32" t="s">
        <v>7335</v>
      </c>
      <c r="D574" s="32">
        <v>4</v>
      </c>
      <c r="E574" s="32">
        <v>0</v>
      </c>
    </row>
    <row r="575" spans="1:5" x14ac:dyDescent="0.25">
      <c r="A575">
        <v>574</v>
      </c>
      <c r="B575" t="s">
        <v>9393</v>
      </c>
      <c r="C575" t="s">
        <v>7083</v>
      </c>
      <c r="D575">
        <v>4</v>
      </c>
      <c r="E575">
        <v>0</v>
      </c>
    </row>
    <row r="576" spans="1:5" x14ac:dyDescent="0.25">
      <c r="A576" s="32">
        <v>575</v>
      </c>
      <c r="B576" s="32" t="s">
        <v>9393</v>
      </c>
      <c r="C576" s="32" t="s">
        <v>7338</v>
      </c>
      <c r="D576" s="32">
        <v>2</v>
      </c>
      <c r="E576" s="32">
        <v>0</v>
      </c>
    </row>
    <row r="577" spans="1:5" x14ac:dyDescent="0.25">
      <c r="A577">
        <v>576</v>
      </c>
      <c r="B577" t="s">
        <v>9393</v>
      </c>
      <c r="C577" t="s">
        <v>7340</v>
      </c>
      <c r="D577">
        <v>2</v>
      </c>
      <c r="E577">
        <v>0</v>
      </c>
    </row>
    <row r="578" spans="1:5" x14ac:dyDescent="0.25">
      <c r="A578" s="32">
        <v>577</v>
      </c>
      <c r="B578" s="32" t="s">
        <v>9393</v>
      </c>
      <c r="C578" s="32" t="s">
        <v>7342</v>
      </c>
      <c r="D578" s="32">
        <v>2</v>
      </c>
      <c r="E578" s="32">
        <v>0</v>
      </c>
    </row>
    <row r="579" spans="1:5" x14ac:dyDescent="0.25">
      <c r="A579">
        <v>578</v>
      </c>
      <c r="B579" t="s">
        <v>9393</v>
      </c>
      <c r="C579" t="s">
        <v>7344</v>
      </c>
      <c r="D579">
        <v>2</v>
      </c>
      <c r="E579">
        <v>0</v>
      </c>
    </row>
    <row r="580" spans="1:5" x14ac:dyDescent="0.25">
      <c r="A580" s="32">
        <v>579</v>
      </c>
      <c r="B580" s="32" t="s">
        <v>9393</v>
      </c>
      <c r="C580" s="32" t="s">
        <v>7084</v>
      </c>
      <c r="D580" s="32">
        <v>2</v>
      </c>
      <c r="E580" s="32">
        <v>0</v>
      </c>
    </row>
    <row r="581" spans="1:5" x14ac:dyDescent="0.25">
      <c r="A581">
        <v>580</v>
      </c>
      <c r="B581" t="s">
        <v>9393</v>
      </c>
      <c r="C581" t="s">
        <v>7347</v>
      </c>
      <c r="D581">
        <v>2</v>
      </c>
      <c r="E581">
        <v>0</v>
      </c>
    </row>
    <row r="582" spans="1:5" x14ac:dyDescent="0.25">
      <c r="A582" s="32">
        <v>581</v>
      </c>
      <c r="B582" s="32" t="s">
        <v>9393</v>
      </c>
      <c r="C582" s="32" t="s">
        <v>7349</v>
      </c>
      <c r="D582" s="32">
        <v>2</v>
      </c>
      <c r="E582" s="32">
        <v>0</v>
      </c>
    </row>
    <row r="583" spans="1:5" x14ac:dyDescent="0.25">
      <c r="A583">
        <v>582</v>
      </c>
      <c r="B583" t="s">
        <v>9393</v>
      </c>
      <c r="C583" t="s">
        <v>61</v>
      </c>
      <c r="D583">
        <v>2</v>
      </c>
      <c r="E583">
        <v>0</v>
      </c>
    </row>
    <row r="584" spans="1:5" x14ac:dyDescent="0.25">
      <c r="A584" s="32">
        <v>583</v>
      </c>
      <c r="B584" s="32" t="s">
        <v>9393</v>
      </c>
      <c r="C584" s="32" t="s">
        <v>115</v>
      </c>
      <c r="D584" s="32">
        <v>2</v>
      </c>
      <c r="E584" s="32">
        <v>0</v>
      </c>
    </row>
    <row r="585" spans="1:5" x14ac:dyDescent="0.25">
      <c r="A585">
        <v>584</v>
      </c>
      <c r="B585" t="s">
        <v>9393</v>
      </c>
      <c r="C585" t="s">
        <v>7085</v>
      </c>
      <c r="D585">
        <v>2</v>
      </c>
      <c r="E585">
        <v>0</v>
      </c>
    </row>
    <row r="586" spans="1:5" x14ac:dyDescent="0.25">
      <c r="A586" s="32">
        <v>585</v>
      </c>
      <c r="B586" s="32" t="s">
        <v>9393</v>
      </c>
      <c r="C586" s="32" t="s">
        <v>7354</v>
      </c>
      <c r="D586" s="32">
        <v>2</v>
      </c>
      <c r="E586" s="32">
        <v>0</v>
      </c>
    </row>
    <row r="587" spans="1:5" x14ac:dyDescent="0.25">
      <c r="A587">
        <v>586</v>
      </c>
      <c r="B587" t="s">
        <v>9393</v>
      </c>
      <c r="C587" t="s">
        <v>7086</v>
      </c>
      <c r="D587">
        <v>2</v>
      </c>
      <c r="E587">
        <v>0</v>
      </c>
    </row>
    <row r="588" spans="1:5" x14ac:dyDescent="0.25">
      <c r="A588" s="32">
        <v>587</v>
      </c>
      <c r="B588" s="32" t="s">
        <v>9393</v>
      </c>
      <c r="C588" s="32" t="s">
        <v>7087</v>
      </c>
      <c r="D588" s="32">
        <v>2</v>
      </c>
      <c r="E588" s="32">
        <v>0</v>
      </c>
    </row>
    <row r="589" spans="1:5" x14ac:dyDescent="0.25">
      <c r="A589">
        <v>588</v>
      </c>
      <c r="B589" t="s">
        <v>9393</v>
      </c>
      <c r="C589" t="s">
        <v>7088</v>
      </c>
      <c r="D589">
        <v>4</v>
      </c>
      <c r="E589">
        <v>0</v>
      </c>
    </row>
    <row r="590" spans="1:5" x14ac:dyDescent="0.25">
      <c r="A590" s="32">
        <v>589</v>
      </c>
      <c r="B590" s="32" t="s">
        <v>9393</v>
      </c>
      <c r="C590" s="32" t="s">
        <v>7089</v>
      </c>
      <c r="D590" s="32">
        <v>1</v>
      </c>
      <c r="E590" s="32">
        <v>0</v>
      </c>
    </row>
    <row r="591" spans="1:5" x14ac:dyDescent="0.25">
      <c r="A591">
        <v>590</v>
      </c>
      <c r="B591" t="s">
        <v>9393</v>
      </c>
      <c r="C591" t="s">
        <v>7090</v>
      </c>
      <c r="D591">
        <v>4</v>
      </c>
      <c r="E591">
        <v>0</v>
      </c>
    </row>
    <row r="592" spans="1:5" x14ac:dyDescent="0.25">
      <c r="A592" s="32">
        <v>591</v>
      </c>
      <c r="B592" s="32" t="s">
        <v>9393</v>
      </c>
      <c r="C592" s="32" t="s">
        <v>7091</v>
      </c>
      <c r="D592" s="32">
        <v>5</v>
      </c>
      <c r="E592" s="32">
        <v>0</v>
      </c>
    </row>
    <row r="593" spans="1:5" x14ac:dyDescent="0.25">
      <c r="A593">
        <v>592</v>
      </c>
      <c r="B593" t="s">
        <v>9393</v>
      </c>
      <c r="C593" t="s">
        <v>111</v>
      </c>
      <c r="D593">
        <v>4</v>
      </c>
      <c r="E593">
        <v>0</v>
      </c>
    </row>
    <row r="594" spans="1:5" x14ac:dyDescent="0.25">
      <c r="A594" s="32">
        <v>593</v>
      </c>
      <c r="B594" s="32" t="s">
        <v>9393</v>
      </c>
      <c r="C594" s="32" t="s">
        <v>112</v>
      </c>
      <c r="D594" s="32">
        <v>3</v>
      </c>
      <c r="E594" s="32">
        <v>0</v>
      </c>
    </row>
    <row r="595" spans="1:5" x14ac:dyDescent="0.25">
      <c r="A595">
        <v>594</v>
      </c>
      <c r="B595" t="s">
        <v>9393</v>
      </c>
      <c r="C595" t="s">
        <v>106</v>
      </c>
      <c r="D595">
        <v>4</v>
      </c>
      <c r="E595">
        <v>0</v>
      </c>
    </row>
    <row r="596" spans="1:5" x14ac:dyDescent="0.25">
      <c r="A596" s="32">
        <v>595</v>
      </c>
      <c r="B596" s="32" t="s">
        <v>9393</v>
      </c>
      <c r="C596" s="32" t="s">
        <v>7092</v>
      </c>
      <c r="D596" s="32">
        <v>3</v>
      </c>
      <c r="E596" s="32">
        <v>0</v>
      </c>
    </row>
    <row r="597" spans="1:5" x14ac:dyDescent="0.25">
      <c r="A597">
        <v>596</v>
      </c>
      <c r="B597" t="s">
        <v>9393</v>
      </c>
      <c r="C597" t="s">
        <v>7093</v>
      </c>
      <c r="D597">
        <v>1</v>
      </c>
      <c r="E597">
        <v>0</v>
      </c>
    </row>
    <row r="598" spans="1:5" x14ac:dyDescent="0.25">
      <c r="A598" s="32">
        <v>597</v>
      </c>
      <c r="B598" s="32" t="s">
        <v>9393</v>
      </c>
      <c r="C598" s="32" t="s">
        <v>7094</v>
      </c>
      <c r="D598" s="32">
        <v>5</v>
      </c>
      <c r="E598" s="32">
        <v>10</v>
      </c>
    </row>
    <row r="599" spans="1:5" x14ac:dyDescent="0.25">
      <c r="A599">
        <v>598</v>
      </c>
      <c r="B599" t="s">
        <v>9393</v>
      </c>
      <c r="C599" t="s">
        <v>7368</v>
      </c>
      <c r="D599">
        <v>5</v>
      </c>
      <c r="E599">
        <v>0</v>
      </c>
    </row>
    <row r="600" spans="1:5" x14ac:dyDescent="0.25">
      <c r="A600" s="32">
        <v>599</v>
      </c>
      <c r="B600" s="32" t="s">
        <v>9393</v>
      </c>
      <c r="C600" s="32" t="s">
        <v>7095</v>
      </c>
      <c r="D600" s="32">
        <v>1</v>
      </c>
      <c r="E600" s="32">
        <v>0</v>
      </c>
    </row>
    <row r="601" spans="1:5" x14ac:dyDescent="0.25">
      <c r="A601">
        <v>600</v>
      </c>
      <c r="B601" t="s">
        <v>9393</v>
      </c>
      <c r="C601" t="s">
        <v>7371</v>
      </c>
      <c r="D601">
        <v>1</v>
      </c>
      <c r="E601">
        <v>0</v>
      </c>
    </row>
    <row r="602" spans="1:5" x14ac:dyDescent="0.25">
      <c r="A602" s="32">
        <v>601</v>
      </c>
      <c r="B602" s="32" t="s">
        <v>9393</v>
      </c>
      <c r="C602" s="32" t="s">
        <v>47</v>
      </c>
      <c r="D602" s="32">
        <v>4</v>
      </c>
      <c r="E602" s="32">
        <v>0</v>
      </c>
    </row>
    <row r="603" spans="1:5" x14ac:dyDescent="0.25">
      <c r="A603">
        <v>602</v>
      </c>
      <c r="B603" t="s">
        <v>9393</v>
      </c>
      <c r="C603" t="s">
        <v>46</v>
      </c>
      <c r="D603">
        <v>1</v>
      </c>
      <c r="E603">
        <v>0</v>
      </c>
    </row>
    <row r="604" spans="1:5" x14ac:dyDescent="0.25">
      <c r="A604" s="32">
        <v>603</v>
      </c>
      <c r="B604" s="32" t="s">
        <v>9393</v>
      </c>
      <c r="C604" s="32" t="s">
        <v>74</v>
      </c>
      <c r="D604" s="32">
        <v>1</v>
      </c>
      <c r="E604" s="32">
        <v>0</v>
      </c>
    </row>
    <row r="605" spans="1:5" x14ac:dyDescent="0.25">
      <c r="A605">
        <v>604</v>
      </c>
      <c r="B605" t="s">
        <v>9393</v>
      </c>
      <c r="C605" t="s">
        <v>75</v>
      </c>
      <c r="D605">
        <v>1</v>
      </c>
      <c r="E605">
        <v>0</v>
      </c>
    </row>
    <row r="606" spans="1:5" x14ac:dyDescent="0.25">
      <c r="A606" s="32">
        <v>605</v>
      </c>
      <c r="B606" s="32" t="s">
        <v>9394</v>
      </c>
      <c r="C606" s="32" t="s">
        <v>7100</v>
      </c>
      <c r="D606" s="32">
        <v>5</v>
      </c>
      <c r="E606" s="32">
        <v>0</v>
      </c>
    </row>
    <row r="607" spans="1:5" x14ac:dyDescent="0.25">
      <c r="A607">
        <v>606</v>
      </c>
      <c r="B607" t="s">
        <v>9395</v>
      </c>
      <c r="C607" t="s">
        <v>7102</v>
      </c>
      <c r="D607">
        <v>5</v>
      </c>
      <c r="E607">
        <v>0</v>
      </c>
    </row>
    <row r="608" spans="1:5" x14ac:dyDescent="0.25">
      <c r="A608" s="32">
        <v>607</v>
      </c>
      <c r="B608" s="32" t="s">
        <v>9396</v>
      </c>
      <c r="C608" s="32" t="s">
        <v>7104</v>
      </c>
      <c r="D608" s="32">
        <v>5</v>
      </c>
      <c r="E608" s="32">
        <v>0</v>
      </c>
    </row>
    <row r="609" spans="1:5" x14ac:dyDescent="0.25">
      <c r="A609">
        <v>608</v>
      </c>
      <c r="B609" t="s">
        <v>9397</v>
      </c>
      <c r="C609" t="s">
        <v>7106</v>
      </c>
      <c r="D609">
        <v>5</v>
      </c>
      <c r="E609">
        <v>0</v>
      </c>
    </row>
    <row r="610" spans="1:5" x14ac:dyDescent="0.25">
      <c r="A610" s="32">
        <v>609</v>
      </c>
      <c r="B610" s="32" t="s">
        <v>9397</v>
      </c>
      <c r="C610" s="32" t="s">
        <v>7108</v>
      </c>
      <c r="D610" s="32">
        <v>5</v>
      </c>
      <c r="E610" s="32">
        <v>0</v>
      </c>
    </row>
    <row r="611" spans="1:5" x14ac:dyDescent="0.25">
      <c r="A611">
        <v>610</v>
      </c>
      <c r="B611" t="s">
        <v>9398</v>
      </c>
      <c r="C611" t="s">
        <v>77</v>
      </c>
      <c r="D611">
        <v>5</v>
      </c>
      <c r="E611">
        <v>0</v>
      </c>
    </row>
    <row r="612" spans="1:5" x14ac:dyDescent="0.25">
      <c r="A612" s="32">
        <v>611</v>
      </c>
      <c r="B612" s="32" t="s">
        <v>9398</v>
      </c>
      <c r="C612" s="32" t="s">
        <v>92</v>
      </c>
      <c r="D612" s="32">
        <v>5</v>
      </c>
      <c r="E612" s="32">
        <v>0</v>
      </c>
    </row>
    <row r="613" spans="1:5" x14ac:dyDescent="0.25">
      <c r="A613">
        <v>612</v>
      </c>
      <c r="B613" t="s">
        <v>9399</v>
      </c>
      <c r="C613" t="s">
        <v>7112</v>
      </c>
      <c r="D613">
        <v>5</v>
      </c>
      <c r="E613">
        <v>0</v>
      </c>
    </row>
    <row r="614" spans="1:5" x14ac:dyDescent="0.25">
      <c r="A614" s="32">
        <v>613</v>
      </c>
      <c r="B614" s="32" t="s">
        <v>9400</v>
      </c>
      <c r="C614" s="32" t="s">
        <v>105</v>
      </c>
      <c r="D614" s="32">
        <v>5</v>
      </c>
      <c r="E614" s="32">
        <v>0</v>
      </c>
    </row>
    <row r="615" spans="1:5" x14ac:dyDescent="0.25">
      <c r="A615">
        <v>614</v>
      </c>
      <c r="B615" t="s">
        <v>9401</v>
      </c>
      <c r="C615" t="s">
        <v>7115</v>
      </c>
      <c r="D615">
        <v>9</v>
      </c>
      <c r="E615">
        <v>0</v>
      </c>
    </row>
    <row r="616" spans="1:5" x14ac:dyDescent="0.25">
      <c r="A616" s="32">
        <v>615</v>
      </c>
      <c r="B616" s="32" t="s">
        <v>9401</v>
      </c>
      <c r="C616" s="32" t="s">
        <v>7117</v>
      </c>
      <c r="D616" s="32">
        <v>5</v>
      </c>
      <c r="E616" s="32">
        <v>0</v>
      </c>
    </row>
    <row r="617" spans="1:5" x14ac:dyDescent="0.25">
      <c r="A617">
        <v>616</v>
      </c>
      <c r="B617" t="s">
        <v>9401</v>
      </c>
      <c r="C617" t="s">
        <v>7119</v>
      </c>
      <c r="D617">
        <v>5</v>
      </c>
      <c r="E617">
        <v>0</v>
      </c>
    </row>
    <row r="618" spans="1:5" x14ac:dyDescent="0.25">
      <c r="A618" s="32">
        <v>617</v>
      </c>
      <c r="B618" s="32" t="s">
        <v>9401</v>
      </c>
      <c r="C618" s="32" t="s">
        <v>7121</v>
      </c>
      <c r="D618" s="32">
        <v>5</v>
      </c>
      <c r="E618" s="32">
        <v>0</v>
      </c>
    </row>
    <row r="619" spans="1:5" x14ac:dyDescent="0.25">
      <c r="A619">
        <v>618</v>
      </c>
      <c r="B619" t="s">
        <v>9401</v>
      </c>
      <c r="C619" t="s">
        <v>7123</v>
      </c>
      <c r="D619">
        <v>5</v>
      </c>
      <c r="E619">
        <v>0</v>
      </c>
    </row>
    <row r="620" spans="1:5" x14ac:dyDescent="0.25">
      <c r="A620" s="32">
        <v>619</v>
      </c>
      <c r="B620" s="32" t="s">
        <v>9402</v>
      </c>
      <c r="C620" s="32" t="s">
        <v>7125</v>
      </c>
      <c r="D620" s="32">
        <v>5</v>
      </c>
      <c r="E620" s="32">
        <v>0</v>
      </c>
    </row>
    <row r="621" spans="1:5" x14ac:dyDescent="0.25">
      <c r="A621">
        <v>620</v>
      </c>
      <c r="B621" t="s">
        <v>9402</v>
      </c>
      <c r="C621" t="s">
        <v>7127</v>
      </c>
      <c r="D621">
        <v>5</v>
      </c>
      <c r="E621">
        <v>0</v>
      </c>
    </row>
    <row r="622" spans="1:5" x14ac:dyDescent="0.25">
      <c r="A622" s="32">
        <v>621</v>
      </c>
      <c r="B622" s="32" t="s">
        <v>9402</v>
      </c>
      <c r="C622" s="32" t="s">
        <v>7129</v>
      </c>
      <c r="D622" s="32">
        <v>6</v>
      </c>
      <c r="E622" s="32">
        <v>0</v>
      </c>
    </row>
    <row r="623" spans="1:5" x14ac:dyDescent="0.25">
      <c r="A623">
        <v>622</v>
      </c>
      <c r="B623" t="s">
        <v>9402</v>
      </c>
      <c r="C623" t="s">
        <v>7374</v>
      </c>
      <c r="D623">
        <v>5</v>
      </c>
      <c r="E623">
        <v>0</v>
      </c>
    </row>
    <row r="624" spans="1:5" x14ac:dyDescent="0.25">
      <c r="A624" s="32">
        <v>623</v>
      </c>
      <c r="B624" s="32" t="s">
        <v>9402</v>
      </c>
      <c r="C624" s="32" t="s">
        <v>7376</v>
      </c>
      <c r="D624" s="32">
        <v>5</v>
      </c>
      <c r="E624" s="32">
        <v>0</v>
      </c>
    </row>
    <row r="625" spans="1:5" x14ac:dyDescent="0.25">
      <c r="A625">
        <v>624</v>
      </c>
      <c r="B625" t="s">
        <v>9402</v>
      </c>
      <c r="C625" t="s">
        <v>7378</v>
      </c>
      <c r="D625">
        <v>5</v>
      </c>
      <c r="E625">
        <v>5</v>
      </c>
    </row>
    <row r="626" spans="1:5" x14ac:dyDescent="0.25">
      <c r="A626" s="32">
        <v>625</v>
      </c>
      <c r="B626" s="32" t="s">
        <v>9402</v>
      </c>
      <c r="C626" s="32" t="s">
        <v>7380</v>
      </c>
      <c r="D626" s="32">
        <v>3</v>
      </c>
      <c r="E626" s="32">
        <v>5</v>
      </c>
    </row>
    <row r="627" spans="1:5" x14ac:dyDescent="0.25">
      <c r="A627">
        <v>626</v>
      </c>
      <c r="B627" t="s">
        <v>9402</v>
      </c>
      <c r="C627" t="s">
        <v>7381</v>
      </c>
      <c r="D627">
        <v>6</v>
      </c>
      <c r="E627">
        <v>0</v>
      </c>
    </row>
    <row r="628" spans="1:5" x14ac:dyDescent="0.25">
      <c r="A628" s="32">
        <v>627</v>
      </c>
      <c r="B628" s="32" t="s">
        <v>9402</v>
      </c>
      <c r="C628" s="32" t="s">
        <v>7383</v>
      </c>
      <c r="D628" s="32">
        <v>5</v>
      </c>
      <c r="E628" s="32">
        <v>0</v>
      </c>
    </row>
    <row r="629" spans="1:5" x14ac:dyDescent="0.25">
      <c r="A629">
        <v>628</v>
      </c>
      <c r="B629" t="s">
        <v>9403</v>
      </c>
      <c r="C629" t="s">
        <v>7384</v>
      </c>
      <c r="D629">
        <v>5</v>
      </c>
      <c r="E629">
        <v>0</v>
      </c>
    </row>
    <row r="630" spans="1:5" x14ac:dyDescent="0.25">
      <c r="A630" s="32">
        <v>629</v>
      </c>
      <c r="B630" s="32" t="s">
        <v>9404</v>
      </c>
      <c r="C630" s="32" t="s">
        <v>7386</v>
      </c>
      <c r="D630" s="32">
        <v>5</v>
      </c>
      <c r="E630" s="32">
        <v>0</v>
      </c>
    </row>
    <row r="631" spans="1:5" x14ac:dyDescent="0.25">
      <c r="A631">
        <v>630</v>
      </c>
      <c r="B631" t="s">
        <v>9404</v>
      </c>
      <c r="C631" t="s">
        <v>7387</v>
      </c>
      <c r="D631">
        <v>6</v>
      </c>
      <c r="E631">
        <v>0</v>
      </c>
    </row>
    <row r="632" spans="1:5" x14ac:dyDescent="0.25">
      <c r="A632" s="32">
        <v>631</v>
      </c>
      <c r="B632" s="32" t="s">
        <v>9404</v>
      </c>
      <c r="C632" s="32" t="s">
        <v>7389</v>
      </c>
      <c r="D632" s="32">
        <v>6</v>
      </c>
      <c r="E632" s="32">
        <v>0</v>
      </c>
    </row>
    <row r="633" spans="1:5" x14ac:dyDescent="0.25">
      <c r="A633">
        <v>632</v>
      </c>
      <c r="B633" t="s">
        <v>9404</v>
      </c>
      <c r="C633" t="s">
        <v>7391</v>
      </c>
      <c r="D633">
        <v>9</v>
      </c>
      <c r="E633">
        <v>0</v>
      </c>
    </row>
    <row r="634" spans="1:5" x14ac:dyDescent="0.25">
      <c r="A634" s="32">
        <v>633</v>
      </c>
      <c r="B634" s="32" t="s">
        <v>9404</v>
      </c>
      <c r="C634" s="32" t="s">
        <v>7393</v>
      </c>
      <c r="D634" s="32">
        <v>5</v>
      </c>
      <c r="E634" s="32">
        <v>0</v>
      </c>
    </row>
    <row r="635" spans="1:5" x14ac:dyDescent="0.25">
      <c r="A635">
        <v>634</v>
      </c>
      <c r="B635" t="s">
        <v>9405</v>
      </c>
      <c r="C635" t="s">
        <v>7395</v>
      </c>
      <c r="D635">
        <v>5</v>
      </c>
      <c r="E635">
        <v>0</v>
      </c>
    </row>
    <row r="636" spans="1:5" x14ac:dyDescent="0.25">
      <c r="A636" s="32">
        <v>635</v>
      </c>
      <c r="B636" s="32" t="s">
        <v>9406</v>
      </c>
      <c r="C636" s="32" t="s">
        <v>7397</v>
      </c>
      <c r="D636" s="32">
        <v>5</v>
      </c>
      <c r="E636" s="32">
        <v>0</v>
      </c>
    </row>
    <row r="637" spans="1:5" x14ac:dyDescent="0.25">
      <c r="A637">
        <v>636</v>
      </c>
      <c r="B637" t="s">
        <v>9407</v>
      </c>
      <c r="C637" t="s">
        <v>7399</v>
      </c>
      <c r="D637">
        <v>5</v>
      </c>
      <c r="E637">
        <v>0</v>
      </c>
    </row>
    <row r="638" spans="1:5" x14ac:dyDescent="0.25">
      <c r="A638" s="32">
        <v>637</v>
      </c>
      <c r="B638" s="32" t="s">
        <v>9407</v>
      </c>
      <c r="C638" s="32" t="s">
        <v>7401</v>
      </c>
      <c r="D638" s="32">
        <v>5</v>
      </c>
      <c r="E638" s="32">
        <v>0</v>
      </c>
    </row>
    <row r="639" spans="1:5" x14ac:dyDescent="0.25">
      <c r="A639">
        <v>638</v>
      </c>
      <c r="B639" t="s">
        <v>9407</v>
      </c>
      <c r="C639" t="s">
        <v>7403</v>
      </c>
      <c r="D639">
        <v>5</v>
      </c>
      <c r="E639">
        <v>0</v>
      </c>
    </row>
    <row r="640" spans="1:5" x14ac:dyDescent="0.25">
      <c r="A640" s="32">
        <v>639</v>
      </c>
      <c r="B640" s="32" t="s">
        <v>9407</v>
      </c>
      <c r="C640" s="32" t="s">
        <v>7405</v>
      </c>
      <c r="D640" s="32">
        <v>6</v>
      </c>
      <c r="E640" s="32">
        <v>0</v>
      </c>
    </row>
    <row r="641" spans="1:5" x14ac:dyDescent="0.25">
      <c r="A641">
        <v>640</v>
      </c>
      <c r="B641" t="s">
        <v>9407</v>
      </c>
      <c r="C641" t="s">
        <v>7407</v>
      </c>
      <c r="D641">
        <v>4</v>
      </c>
      <c r="E641">
        <v>0</v>
      </c>
    </row>
    <row r="642" spans="1:5" x14ac:dyDescent="0.25">
      <c r="A642" s="32">
        <v>641</v>
      </c>
      <c r="B642" s="32" t="s">
        <v>9407</v>
      </c>
      <c r="C642" s="32" t="s">
        <v>7408</v>
      </c>
      <c r="D642" s="32">
        <v>6</v>
      </c>
      <c r="E642" s="32">
        <v>0</v>
      </c>
    </row>
    <row r="643" spans="1:5" x14ac:dyDescent="0.25">
      <c r="A643">
        <v>642</v>
      </c>
      <c r="B643" t="s">
        <v>9407</v>
      </c>
      <c r="C643" t="s">
        <v>7409</v>
      </c>
      <c r="D643">
        <v>5</v>
      </c>
      <c r="E643">
        <v>0</v>
      </c>
    </row>
    <row r="644" spans="1:5" x14ac:dyDescent="0.25">
      <c r="A644" s="32">
        <v>643</v>
      </c>
      <c r="B644" s="32" t="s">
        <v>9407</v>
      </c>
      <c r="C644" s="32" t="s">
        <v>7411</v>
      </c>
      <c r="D644" s="32">
        <v>3</v>
      </c>
      <c r="E644" s="32">
        <v>0</v>
      </c>
    </row>
    <row r="645" spans="1:5" x14ac:dyDescent="0.25">
      <c r="A645">
        <v>644</v>
      </c>
      <c r="B645" t="s">
        <v>9407</v>
      </c>
      <c r="C645" t="s">
        <v>7413</v>
      </c>
      <c r="D645">
        <v>5</v>
      </c>
      <c r="E645">
        <v>0</v>
      </c>
    </row>
    <row r="646" spans="1:5" x14ac:dyDescent="0.25">
      <c r="A646" s="32">
        <v>645</v>
      </c>
      <c r="B646" s="32" t="s">
        <v>9407</v>
      </c>
      <c r="C646" s="32" t="s">
        <v>7415</v>
      </c>
      <c r="D646" s="32">
        <v>6</v>
      </c>
      <c r="E646" s="32">
        <v>0</v>
      </c>
    </row>
    <row r="647" spans="1:5" x14ac:dyDescent="0.25">
      <c r="A647">
        <v>646</v>
      </c>
      <c r="B647" t="s">
        <v>9408</v>
      </c>
      <c r="C647" t="s">
        <v>7417</v>
      </c>
      <c r="D647">
        <v>6</v>
      </c>
      <c r="E647">
        <v>0</v>
      </c>
    </row>
    <row r="648" spans="1:5" x14ac:dyDescent="0.25">
      <c r="A648" s="32">
        <v>647</v>
      </c>
      <c r="B648" s="32" t="s">
        <v>9408</v>
      </c>
      <c r="C648" s="32" t="s">
        <v>7419</v>
      </c>
      <c r="D648" s="32">
        <v>4</v>
      </c>
      <c r="E648" s="32">
        <v>0</v>
      </c>
    </row>
    <row r="649" spans="1:5" x14ac:dyDescent="0.25">
      <c r="A649">
        <v>648</v>
      </c>
      <c r="B649" t="s">
        <v>9408</v>
      </c>
      <c r="C649" t="s">
        <v>7421</v>
      </c>
      <c r="D649">
        <v>6</v>
      </c>
      <c r="E649">
        <v>0</v>
      </c>
    </row>
    <row r="650" spans="1:5" x14ac:dyDescent="0.25">
      <c r="A650" s="32">
        <v>649</v>
      </c>
      <c r="B650" s="32" t="s">
        <v>9408</v>
      </c>
      <c r="C650" s="32" t="s">
        <v>7422</v>
      </c>
      <c r="D650" s="32">
        <v>5</v>
      </c>
      <c r="E650" s="32">
        <v>0</v>
      </c>
    </row>
    <row r="651" spans="1:5" x14ac:dyDescent="0.25">
      <c r="A651">
        <v>650</v>
      </c>
      <c r="B651" t="s">
        <v>9408</v>
      </c>
      <c r="C651" t="s">
        <v>7424</v>
      </c>
      <c r="D651">
        <v>3</v>
      </c>
      <c r="E651">
        <v>0</v>
      </c>
    </row>
    <row r="652" spans="1:5" x14ac:dyDescent="0.25">
      <c r="A652" s="32">
        <v>651</v>
      </c>
      <c r="B652" s="32" t="s">
        <v>9408</v>
      </c>
      <c r="C652" s="32" t="s">
        <v>7426</v>
      </c>
      <c r="D652" s="32">
        <v>6</v>
      </c>
      <c r="E652" s="32">
        <v>40</v>
      </c>
    </row>
    <row r="653" spans="1:5" x14ac:dyDescent="0.25">
      <c r="A653">
        <v>652</v>
      </c>
      <c r="B653" t="s">
        <v>9408</v>
      </c>
      <c r="C653" t="s">
        <v>7428</v>
      </c>
      <c r="D653">
        <v>2</v>
      </c>
      <c r="E653">
        <v>0</v>
      </c>
    </row>
    <row r="654" spans="1:5" x14ac:dyDescent="0.25">
      <c r="A654" s="32">
        <v>653</v>
      </c>
      <c r="B654" s="32" t="s">
        <v>9408</v>
      </c>
      <c r="C654" s="32" t="s">
        <v>7430</v>
      </c>
      <c r="D654" s="32">
        <v>8</v>
      </c>
      <c r="E654" s="32">
        <v>0</v>
      </c>
    </row>
    <row r="655" spans="1:5" x14ac:dyDescent="0.25">
      <c r="A655">
        <v>654</v>
      </c>
      <c r="B655" t="s">
        <v>9408</v>
      </c>
      <c r="C655" t="s">
        <v>7432</v>
      </c>
      <c r="D655">
        <v>5</v>
      </c>
      <c r="E655">
        <v>0</v>
      </c>
    </row>
    <row r="656" spans="1:5" x14ac:dyDescent="0.25">
      <c r="A656" s="32">
        <v>655</v>
      </c>
      <c r="B656" s="32" t="s">
        <v>9401</v>
      </c>
      <c r="C656" s="32" t="s">
        <v>7434</v>
      </c>
      <c r="D656" s="32">
        <v>5</v>
      </c>
      <c r="E656" s="32">
        <v>0</v>
      </c>
    </row>
    <row r="657" spans="1:5" x14ac:dyDescent="0.25">
      <c r="A657">
        <v>656</v>
      </c>
      <c r="B657" t="s">
        <v>9409</v>
      </c>
      <c r="C657" t="s">
        <v>7436</v>
      </c>
      <c r="D657">
        <v>5</v>
      </c>
      <c r="E657">
        <v>0</v>
      </c>
    </row>
    <row r="658" spans="1:5" x14ac:dyDescent="0.25">
      <c r="A658" s="32">
        <v>657</v>
      </c>
      <c r="B658" s="32" t="s">
        <v>9409</v>
      </c>
      <c r="C658" s="32" t="s">
        <v>7438</v>
      </c>
      <c r="D658" s="32">
        <v>5</v>
      </c>
      <c r="E658" s="32">
        <v>0</v>
      </c>
    </row>
    <row r="659" spans="1:5" x14ac:dyDescent="0.25">
      <c r="A659">
        <v>658</v>
      </c>
      <c r="B659" t="s">
        <v>9410</v>
      </c>
      <c r="C659" t="s">
        <v>7440</v>
      </c>
      <c r="D659">
        <v>5</v>
      </c>
      <c r="E659">
        <v>0</v>
      </c>
    </row>
    <row r="660" spans="1:5" x14ac:dyDescent="0.25">
      <c r="A660" s="32">
        <v>659</v>
      </c>
      <c r="B660" s="32" t="s">
        <v>9410</v>
      </c>
      <c r="C660" s="32" t="s">
        <v>7442</v>
      </c>
      <c r="D660" s="32">
        <v>5</v>
      </c>
      <c r="E660" s="32">
        <v>0</v>
      </c>
    </row>
    <row r="661" spans="1:5" x14ac:dyDescent="0.25">
      <c r="A661">
        <v>660</v>
      </c>
      <c r="B661" t="s">
        <v>9410</v>
      </c>
      <c r="C661" t="s">
        <v>7444</v>
      </c>
      <c r="D661">
        <v>5</v>
      </c>
      <c r="E661">
        <v>0</v>
      </c>
    </row>
    <row r="662" spans="1:5" x14ac:dyDescent="0.25">
      <c r="A662" s="32">
        <v>661</v>
      </c>
      <c r="B662" s="32" t="s">
        <v>9410</v>
      </c>
      <c r="C662" s="32" t="s">
        <v>7446</v>
      </c>
      <c r="D662" s="32">
        <v>5</v>
      </c>
      <c r="E662" s="32">
        <v>0</v>
      </c>
    </row>
    <row r="663" spans="1:5" x14ac:dyDescent="0.25">
      <c r="A663">
        <v>662</v>
      </c>
      <c r="B663" t="s">
        <v>9410</v>
      </c>
      <c r="C663" t="s">
        <v>7448</v>
      </c>
      <c r="D663">
        <v>5</v>
      </c>
      <c r="E663">
        <v>0</v>
      </c>
    </row>
    <row r="664" spans="1:5" x14ac:dyDescent="0.25">
      <c r="A664" s="32">
        <v>663</v>
      </c>
      <c r="B664" s="32" t="s">
        <v>9410</v>
      </c>
      <c r="C664" s="32" t="s">
        <v>7450</v>
      </c>
      <c r="D664" s="32">
        <v>5</v>
      </c>
      <c r="E664" s="32">
        <v>0</v>
      </c>
    </row>
    <row r="665" spans="1:5" x14ac:dyDescent="0.25">
      <c r="A665">
        <v>664</v>
      </c>
      <c r="B665" t="s">
        <v>9410</v>
      </c>
      <c r="C665" t="s">
        <v>7452</v>
      </c>
      <c r="D665">
        <v>5</v>
      </c>
      <c r="E665">
        <v>0</v>
      </c>
    </row>
    <row r="666" spans="1:5" x14ac:dyDescent="0.25">
      <c r="A666" s="32">
        <v>665</v>
      </c>
      <c r="B666" s="32" t="s">
        <v>9410</v>
      </c>
      <c r="C666" s="32" t="s">
        <v>7454</v>
      </c>
      <c r="D666" s="32">
        <v>5</v>
      </c>
      <c r="E666" s="32">
        <v>0</v>
      </c>
    </row>
    <row r="667" spans="1:5" x14ac:dyDescent="0.25">
      <c r="A667">
        <v>666</v>
      </c>
      <c r="B667" t="s">
        <v>9410</v>
      </c>
      <c r="C667" t="s">
        <v>7456</v>
      </c>
      <c r="D667">
        <v>5</v>
      </c>
      <c r="E667">
        <v>0</v>
      </c>
    </row>
    <row r="668" spans="1:5" x14ac:dyDescent="0.25">
      <c r="A668" s="32">
        <v>667</v>
      </c>
      <c r="B668" s="32" t="s">
        <v>9410</v>
      </c>
      <c r="C668" s="32" t="s">
        <v>7457</v>
      </c>
      <c r="D668" s="32">
        <v>5</v>
      </c>
      <c r="E668" s="32">
        <v>0</v>
      </c>
    </row>
    <row r="669" spans="1:5" x14ac:dyDescent="0.25">
      <c r="A669">
        <v>668</v>
      </c>
      <c r="B669" t="s">
        <v>9410</v>
      </c>
      <c r="C669" t="s">
        <v>7459</v>
      </c>
      <c r="D669">
        <v>5</v>
      </c>
      <c r="E669">
        <v>0</v>
      </c>
    </row>
    <row r="670" spans="1:5" x14ac:dyDescent="0.25">
      <c r="A670" s="32">
        <v>669</v>
      </c>
      <c r="B670" s="32" t="s">
        <v>9409</v>
      </c>
      <c r="C670" s="32" t="s">
        <v>7460</v>
      </c>
      <c r="D670" s="32">
        <v>5</v>
      </c>
      <c r="E670" s="32">
        <v>0</v>
      </c>
    </row>
    <row r="671" spans="1:5" x14ac:dyDescent="0.25">
      <c r="A671">
        <v>670</v>
      </c>
      <c r="B671" t="s">
        <v>9409</v>
      </c>
      <c r="C671" t="s">
        <v>7461</v>
      </c>
      <c r="D671">
        <v>5</v>
      </c>
      <c r="E671">
        <v>0</v>
      </c>
    </row>
    <row r="672" spans="1:5" x14ac:dyDescent="0.25">
      <c r="A672" s="32">
        <v>671</v>
      </c>
      <c r="B672" s="32" t="s">
        <v>9411</v>
      </c>
      <c r="C672" s="32" t="s">
        <v>7463</v>
      </c>
      <c r="D672" s="32">
        <v>3</v>
      </c>
      <c r="E672" s="32">
        <v>0</v>
      </c>
    </row>
    <row r="673" spans="1:5" x14ac:dyDescent="0.25">
      <c r="A673">
        <v>672</v>
      </c>
      <c r="B673" t="s">
        <v>9412</v>
      </c>
      <c r="C673" t="s">
        <v>7465</v>
      </c>
      <c r="D673">
        <v>4</v>
      </c>
      <c r="E673">
        <v>38</v>
      </c>
    </row>
    <row r="674" spans="1:5" x14ac:dyDescent="0.25">
      <c r="A674" s="32">
        <v>673</v>
      </c>
      <c r="B674" s="32" t="s">
        <v>9412</v>
      </c>
      <c r="C674" s="32" t="s">
        <v>7467</v>
      </c>
      <c r="D674" s="32">
        <v>6</v>
      </c>
      <c r="E674" s="32">
        <v>31</v>
      </c>
    </row>
    <row r="675" spans="1:5" x14ac:dyDescent="0.25">
      <c r="A675">
        <v>674</v>
      </c>
      <c r="B675" t="s">
        <v>9412</v>
      </c>
      <c r="C675" t="s">
        <v>7469</v>
      </c>
      <c r="D675">
        <v>4</v>
      </c>
      <c r="E675">
        <v>33</v>
      </c>
    </row>
    <row r="676" spans="1:5" x14ac:dyDescent="0.25">
      <c r="A676" s="32">
        <v>675</v>
      </c>
      <c r="B676" s="32" t="s">
        <v>9412</v>
      </c>
      <c r="C676" s="32" t="s">
        <v>7471</v>
      </c>
      <c r="D676" s="32">
        <v>8</v>
      </c>
      <c r="E676" s="32">
        <v>20</v>
      </c>
    </row>
    <row r="677" spans="1:5" x14ac:dyDescent="0.25">
      <c r="A677">
        <v>676</v>
      </c>
      <c r="B677" t="s">
        <v>9412</v>
      </c>
      <c r="C677" t="s">
        <v>7473</v>
      </c>
      <c r="D677">
        <v>5</v>
      </c>
      <c r="E677">
        <v>12</v>
      </c>
    </row>
    <row r="678" spans="1:5" x14ac:dyDescent="0.25">
      <c r="A678" s="32">
        <v>677</v>
      </c>
      <c r="B678" s="32" t="s">
        <v>9412</v>
      </c>
      <c r="C678" s="32" t="s">
        <v>7475</v>
      </c>
      <c r="D678" s="32">
        <v>5</v>
      </c>
      <c r="E678" s="32">
        <v>28</v>
      </c>
    </row>
    <row r="679" spans="1:5" x14ac:dyDescent="0.25">
      <c r="A679">
        <v>678</v>
      </c>
      <c r="B679" t="s">
        <v>9412</v>
      </c>
      <c r="C679" t="s">
        <v>7476</v>
      </c>
      <c r="D679">
        <v>5</v>
      </c>
      <c r="E679">
        <v>26</v>
      </c>
    </row>
    <row r="680" spans="1:5" x14ac:dyDescent="0.25">
      <c r="A680" s="32">
        <v>679</v>
      </c>
      <c r="B680" s="32" t="s">
        <v>9413</v>
      </c>
      <c r="C680" s="32" t="s">
        <v>7478</v>
      </c>
      <c r="D680" s="32">
        <v>5</v>
      </c>
      <c r="E680" s="32">
        <v>21.6</v>
      </c>
    </row>
    <row r="681" spans="1:5" x14ac:dyDescent="0.25">
      <c r="A681">
        <v>680</v>
      </c>
      <c r="B681" t="s">
        <v>9413</v>
      </c>
      <c r="C681" t="s">
        <v>7480</v>
      </c>
      <c r="D681">
        <v>5</v>
      </c>
      <c r="E681">
        <v>22.8</v>
      </c>
    </row>
    <row r="682" spans="1:5" x14ac:dyDescent="0.25">
      <c r="A682" s="32">
        <v>681</v>
      </c>
      <c r="B682" s="32" t="s">
        <v>9413</v>
      </c>
      <c r="C682" s="32" t="s">
        <v>7482</v>
      </c>
      <c r="D682" s="32">
        <v>5</v>
      </c>
      <c r="E682" s="32">
        <v>14.32</v>
      </c>
    </row>
    <row r="683" spans="1:5" x14ac:dyDescent="0.25">
      <c r="A683">
        <v>682</v>
      </c>
      <c r="B683" t="s">
        <v>9413</v>
      </c>
      <c r="C683" t="s">
        <v>7484</v>
      </c>
      <c r="D683">
        <v>5</v>
      </c>
      <c r="E683">
        <v>14.32</v>
      </c>
    </row>
    <row r="684" spans="1:5" x14ac:dyDescent="0.25">
      <c r="A684" s="32">
        <v>683</v>
      </c>
      <c r="B684" s="32" t="s">
        <v>9413</v>
      </c>
      <c r="C684" s="32" t="s">
        <v>7486</v>
      </c>
      <c r="D684" s="32">
        <v>5</v>
      </c>
      <c r="E684" s="32">
        <v>4</v>
      </c>
    </row>
    <row r="685" spans="1:5" x14ac:dyDescent="0.25">
      <c r="A685">
        <v>684</v>
      </c>
      <c r="B685" t="s">
        <v>9413</v>
      </c>
      <c r="C685" t="s">
        <v>7488</v>
      </c>
      <c r="D685">
        <v>3</v>
      </c>
      <c r="E685">
        <v>0</v>
      </c>
    </row>
    <row r="686" spans="1:5" x14ac:dyDescent="0.25">
      <c r="A686" s="32">
        <v>685</v>
      </c>
      <c r="B686" s="32" t="s">
        <v>9414</v>
      </c>
      <c r="C686" s="32" t="s">
        <v>7490</v>
      </c>
      <c r="D686" s="32">
        <v>5</v>
      </c>
      <c r="E686" s="32">
        <v>0</v>
      </c>
    </row>
    <row r="687" spans="1:5" x14ac:dyDescent="0.25">
      <c r="A687">
        <v>686</v>
      </c>
      <c r="B687" t="s">
        <v>9414</v>
      </c>
      <c r="C687" t="s">
        <v>7492</v>
      </c>
      <c r="D687">
        <v>5</v>
      </c>
      <c r="E687">
        <v>0</v>
      </c>
    </row>
    <row r="688" spans="1:5" x14ac:dyDescent="0.25">
      <c r="A688" s="32">
        <v>687</v>
      </c>
      <c r="B688" s="32" t="s">
        <v>9414</v>
      </c>
      <c r="C688" s="32" t="s">
        <v>7494</v>
      </c>
      <c r="D688" s="32">
        <v>5</v>
      </c>
      <c r="E688" s="32">
        <v>0</v>
      </c>
    </row>
    <row r="689" spans="1:5" x14ac:dyDescent="0.25">
      <c r="A689">
        <v>688</v>
      </c>
      <c r="B689" t="s">
        <v>9414</v>
      </c>
      <c r="C689" t="s">
        <v>7496</v>
      </c>
      <c r="D689">
        <v>5</v>
      </c>
      <c r="E689">
        <v>0</v>
      </c>
    </row>
    <row r="690" spans="1:5" x14ac:dyDescent="0.25">
      <c r="A690" s="32">
        <v>689</v>
      </c>
      <c r="B690" s="32" t="s">
        <v>9414</v>
      </c>
      <c r="C690" s="32" t="s">
        <v>7498</v>
      </c>
      <c r="D690" s="32">
        <v>5</v>
      </c>
      <c r="E690" s="32">
        <v>0</v>
      </c>
    </row>
    <row r="691" spans="1:5" x14ac:dyDescent="0.25">
      <c r="A691">
        <v>690</v>
      </c>
      <c r="B691" t="s">
        <v>9414</v>
      </c>
      <c r="C691" t="s">
        <v>7500</v>
      </c>
      <c r="D691">
        <v>1</v>
      </c>
      <c r="E691">
        <v>0</v>
      </c>
    </row>
    <row r="692" spans="1:5" x14ac:dyDescent="0.25">
      <c r="A692" s="32">
        <v>691</v>
      </c>
      <c r="B692" s="32" t="s">
        <v>9414</v>
      </c>
      <c r="C692" s="32" t="s">
        <v>7502</v>
      </c>
      <c r="D692" s="32">
        <v>4</v>
      </c>
      <c r="E692" s="32">
        <v>0</v>
      </c>
    </row>
    <row r="693" spans="1:5" x14ac:dyDescent="0.25">
      <c r="A693">
        <v>692</v>
      </c>
      <c r="B693" t="s">
        <v>9414</v>
      </c>
      <c r="C693" t="s">
        <v>7504</v>
      </c>
      <c r="D693">
        <v>6</v>
      </c>
      <c r="E693">
        <v>0</v>
      </c>
    </row>
    <row r="694" spans="1:5" x14ac:dyDescent="0.25">
      <c r="A694" s="32">
        <v>693</v>
      </c>
      <c r="B694" s="32" t="s">
        <v>9414</v>
      </c>
      <c r="C694" s="32" t="s">
        <v>7506</v>
      </c>
      <c r="D694" s="32">
        <v>5</v>
      </c>
      <c r="E694" s="32">
        <v>0</v>
      </c>
    </row>
    <row r="695" spans="1:5" x14ac:dyDescent="0.25">
      <c r="A695">
        <v>694</v>
      </c>
      <c r="B695" t="s">
        <v>9414</v>
      </c>
      <c r="C695" t="s">
        <v>7508</v>
      </c>
      <c r="D695">
        <v>6</v>
      </c>
      <c r="E695">
        <v>0</v>
      </c>
    </row>
    <row r="696" spans="1:5" x14ac:dyDescent="0.25">
      <c r="A696" s="32">
        <v>695</v>
      </c>
      <c r="B696" s="32" t="s">
        <v>9414</v>
      </c>
      <c r="C696" s="32" t="s">
        <v>7510</v>
      </c>
      <c r="D696" s="32">
        <v>5</v>
      </c>
      <c r="E696" s="32">
        <v>0</v>
      </c>
    </row>
    <row r="697" spans="1:5" x14ac:dyDescent="0.25">
      <c r="A697">
        <v>696</v>
      </c>
      <c r="B697" t="s">
        <v>9414</v>
      </c>
      <c r="C697" t="s">
        <v>7512</v>
      </c>
      <c r="D697">
        <v>6</v>
      </c>
      <c r="E697">
        <v>0</v>
      </c>
    </row>
    <row r="698" spans="1:5" x14ac:dyDescent="0.25">
      <c r="A698" s="32">
        <v>697</v>
      </c>
      <c r="B698" s="32" t="s">
        <v>9414</v>
      </c>
      <c r="C698" s="32" t="s">
        <v>7514</v>
      </c>
      <c r="D698" s="32">
        <v>5</v>
      </c>
      <c r="E698" s="32">
        <v>0</v>
      </c>
    </row>
    <row r="699" spans="1:5" x14ac:dyDescent="0.25">
      <c r="A699">
        <v>698</v>
      </c>
      <c r="B699" t="s">
        <v>9414</v>
      </c>
      <c r="C699" t="s">
        <v>7516</v>
      </c>
      <c r="D699">
        <v>5</v>
      </c>
      <c r="E699">
        <v>0</v>
      </c>
    </row>
    <row r="700" spans="1:5" x14ac:dyDescent="0.25">
      <c r="A700" s="32">
        <v>699</v>
      </c>
      <c r="B700" s="32" t="s">
        <v>9414</v>
      </c>
      <c r="C700" s="32" t="s">
        <v>7518</v>
      </c>
      <c r="D700" s="32">
        <v>8</v>
      </c>
      <c r="E700" s="32">
        <v>0</v>
      </c>
    </row>
    <row r="701" spans="1:5" x14ac:dyDescent="0.25">
      <c r="A701">
        <v>700</v>
      </c>
      <c r="B701" t="s">
        <v>9414</v>
      </c>
      <c r="C701" t="s">
        <v>7520</v>
      </c>
      <c r="D701">
        <v>3</v>
      </c>
      <c r="E701">
        <v>0</v>
      </c>
    </row>
    <row r="702" spans="1:5" x14ac:dyDescent="0.25">
      <c r="A702" s="32">
        <v>701</v>
      </c>
      <c r="B702" s="32" t="s">
        <v>9414</v>
      </c>
      <c r="C702" s="32" t="s">
        <v>7522</v>
      </c>
      <c r="D702" s="32">
        <v>5</v>
      </c>
      <c r="E702" s="32">
        <v>0</v>
      </c>
    </row>
    <row r="703" spans="1:5" x14ac:dyDescent="0.25">
      <c r="A703">
        <v>702</v>
      </c>
      <c r="B703" t="s">
        <v>9414</v>
      </c>
      <c r="C703" t="s">
        <v>7523</v>
      </c>
      <c r="D703">
        <v>5</v>
      </c>
      <c r="E703">
        <v>0</v>
      </c>
    </row>
    <row r="704" spans="1:5" x14ac:dyDescent="0.25">
      <c r="A704" s="32">
        <v>703</v>
      </c>
      <c r="B704" s="32" t="s">
        <v>9414</v>
      </c>
      <c r="C704" s="32" t="s">
        <v>7524</v>
      </c>
      <c r="D704" s="32">
        <v>5</v>
      </c>
      <c r="E704" s="32">
        <v>0</v>
      </c>
    </row>
    <row r="705" spans="1:5" x14ac:dyDescent="0.25">
      <c r="A705">
        <v>704</v>
      </c>
      <c r="B705" t="s">
        <v>9414</v>
      </c>
      <c r="C705" t="s">
        <v>7526</v>
      </c>
      <c r="D705">
        <v>5</v>
      </c>
      <c r="E705">
        <v>0</v>
      </c>
    </row>
    <row r="706" spans="1:5" x14ac:dyDescent="0.25">
      <c r="A706" s="32">
        <v>705</v>
      </c>
      <c r="B706" s="32" t="s">
        <v>9414</v>
      </c>
      <c r="C706" s="32" t="s">
        <v>7528</v>
      </c>
      <c r="D706" s="32">
        <v>5</v>
      </c>
      <c r="E706" s="32">
        <v>0</v>
      </c>
    </row>
    <row r="707" spans="1:5" x14ac:dyDescent="0.25">
      <c r="A707">
        <v>706</v>
      </c>
      <c r="B707" t="s">
        <v>9414</v>
      </c>
      <c r="C707" t="s">
        <v>7530</v>
      </c>
      <c r="D707">
        <v>5</v>
      </c>
      <c r="E707">
        <v>0</v>
      </c>
    </row>
    <row r="708" spans="1:5" x14ac:dyDescent="0.25">
      <c r="A708" s="32">
        <v>707</v>
      </c>
      <c r="B708" s="32" t="s">
        <v>9412</v>
      </c>
      <c r="C708" s="32" t="s">
        <v>7532</v>
      </c>
      <c r="D708" s="32">
        <v>6</v>
      </c>
      <c r="E708" s="32">
        <v>28</v>
      </c>
    </row>
    <row r="709" spans="1:5" x14ac:dyDescent="0.25">
      <c r="A709">
        <v>708</v>
      </c>
      <c r="B709" t="s">
        <v>9414</v>
      </c>
      <c r="C709" t="s">
        <v>7534</v>
      </c>
      <c r="D709">
        <v>4</v>
      </c>
      <c r="E709">
        <v>0</v>
      </c>
    </row>
    <row r="710" spans="1:5" x14ac:dyDescent="0.25">
      <c r="A710" s="32">
        <v>709</v>
      </c>
      <c r="B710" s="32" t="s">
        <v>9414</v>
      </c>
      <c r="C710" s="32" t="s">
        <v>7536</v>
      </c>
      <c r="D710" s="32">
        <v>5</v>
      </c>
      <c r="E710" s="32">
        <v>0</v>
      </c>
    </row>
    <row r="711" spans="1:5" x14ac:dyDescent="0.25">
      <c r="A711">
        <v>710</v>
      </c>
      <c r="B711" t="s">
        <v>9415</v>
      </c>
      <c r="C711" t="s">
        <v>7538</v>
      </c>
      <c r="D711">
        <v>4</v>
      </c>
      <c r="E711">
        <v>0</v>
      </c>
    </row>
    <row r="712" spans="1:5" x14ac:dyDescent="0.25">
      <c r="A712" s="32">
        <v>711</v>
      </c>
      <c r="B712" s="32" t="s">
        <v>9415</v>
      </c>
      <c r="C712" s="32" t="s">
        <v>7540</v>
      </c>
      <c r="D712" s="32">
        <v>4</v>
      </c>
      <c r="E712" s="32">
        <v>0</v>
      </c>
    </row>
    <row r="713" spans="1:5" x14ac:dyDescent="0.25">
      <c r="A713">
        <v>712</v>
      </c>
      <c r="B713" t="s">
        <v>9415</v>
      </c>
      <c r="C713" t="s">
        <v>7542</v>
      </c>
      <c r="D713">
        <v>9</v>
      </c>
      <c r="E713">
        <v>0</v>
      </c>
    </row>
    <row r="714" spans="1:5" x14ac:dyDescent="0.25">
      <c r="A714" s="32">
        <v>713</v>
      </c>
      <c r="B714" s="32" t="s">
        <v>9415</v>
      </c>
      <c r="C714" s="32" t="s">
        <v>7544</v>
      </c>
      <c r="D714" s="32">
        <v>6</v>
      </c>
      <c r="E714" s="32">
        <v>0</v>
      </c>
    </row>
    <row r="715" spans="1:5" x14ac:dyDescent="0.25">
      <c r="A715">
        <v>714</v>
      </c>
      <c r="B715" t="s">
        <v>9415</v>
      </c>
      <c r="C715" t="s">
        <v>7546</v>
      </c>
      <c r="D715">
        <v>3</v>
      </c>
      <c r="E715">
        <v>0</v>
      </c>
    </row>
    <row r="716" spans="1:5" x14ac:dyDescent="0.25">
      <c r="A716" s="32">
        <v>715</v>
      </c>
      <c r="B716" s="32" t="s">
        <v>9415</v>
      </c>
      <c r="C716" s="32" t="s">
        <v>7548</v>
      </c>
      <c r="D716" s="32">
        <v>3</v>
      </c>
      <c r="E716" s="32">
        <v>0</v>
      </c>
    </row>
    <row r="717" spans="1:5" x14ac:dyDescent="0.25">
      <c r="A717">
        <v>716</v>
      </c>
      <c r="B717" t="s">
        <v>9415</v>
      </c>
      <c r="C717" t="s">
        <v>7550</v>
      </c>
      <c r="D717">
        <v>5</v>
      </c>
      <c r="E717">
        <v>0</v>
      </c>
    </row>
    <row r="718" spans="1:5" x14ac:dyDescent="0.25">
      <c r="A718" s="32">
        <v>717</v>
      </c>
      <c r="B718" s="32" t="s">
        <v>9416</v>
      </c>
      <c r="C718" s="32" t="s">
        <v>7552</v>
      </c>
      <c r="D718" s="32">
        <v>5</v>
      </c>
      <c r="E718" s="32">
        <v>0</v>
      </c>
    </row>
    <row r="719" spans="1:5" x14ac:dyDescent="0.25">
      <c r="A719">
        <v>718</v>
      </c>
      <c r="B719" t="s">
        <v>9416</v>
      </c>
      <c r="C719" t="s">
        <v>7554</v>
      </c>
      <c r="D719">
        <v>6</v>
      </c>
      <c r="E719">
        <v>0</v>
      </c>
    </row>
    <row r="720" spans="1:5" x14ac:dyDescent="0.25">
      <c r="A720" s="32">
        <v>719</v>
      </c>
      <c r="B720" s="32" t="s">
        <v>9416</v>
      </c>
      <c r="C720" s="32" t="s">
        <v>7556</v>
      </c>
      <c r="D720" s="32">
        <v>3</v>
      </c>
      <c r="E720" s="32">
        <v>0</v>
      </c>
    </row>
    <row r="721" spans="1:5" x14ac:dyDescent="0.25">
      <c r="A721">
        <v>720</v>
      </c>
      <c r="B721" t="s">
        <v>9416</v>
      </c>
      <c r="C721" t="s">
        <v>7558</v>
      </c>
      <c r="D721">
        <v>5</v>
      </c>
      <c r="E721">
        <v>136</v>
      </c>
    </row>
    <row r="722" spans="1:5" x14ac:dyDescent="0.25">
      <c r="A722" s="32">
        <v>721</v>
      </c>
      <c r="B722" s="32" t="s">
        <v>9416</v>
      </c>
      <c r="C722" s="32" t="s">
        <v>7560</v>
      </c>
      <c r="D722" s="32">
        <v>4</v>
      </c>
      <c r="E722" s="32">
        <v>0</v>
      </c>
    </row>
    <row r="723" spans="1:5" x14ac:dyDescent="0.25">
      <c r="A723">
        <v>722</v>
      </c>
      <c r="B723" t="s">
        <v>9416</v>
      </c>
      <c r="C723" t="s">
        <v>7562</v>
      </c>
      <c r="D723">
        <v>8</v>
      </c>
      <c r="E723">
        <v>0</v>
      </c>
    </row>
    <row r="724" spans="1:5" x14ac:dyDescent="0.25">
      <c r="A724" s="32">
        <v>723</v>
      </c>
      <c r="B724" s="32" t="s">
        <v>9417</v>
      </c>
      <c r="C724" s="32" t="s">
        <v>7564</v>
      </c>
      <c r="D724" s="32">
        <v>5</v>
      </c>
      <c r="E724" s="32">
        <v>0</v>
      </c>
    </row>
    <row r="725" spans="1:5" x14ac:dyDescent="0.25">
      <c r="A725">
        <v>724</v>
      </c>
      <c r="B725" t="s">
        <v>9417</v>
      </c>
      <c r="C725" t="s">
        <v>7566</v>
      </c>
      <c r="D725">
        <v>3</v>
      </c>
      <c r="E725">
        <v>0</v>
      </c>
    </row>
    <row r="726" spans="1:5" x14ac:dyDescent="0.25">
      <c r="A726" s="32">
        <v>725</v>
      </c>
      <c r="B726" s="32" t="s">
        <v>9417</v>
      </c>
      <c r="C726" s="32" t="s">
        <v>7568</v>
      </c>
      <c r="D726" s="32">
        <v>5</v>
      </c>
      <c r="E726" s="32">
        <v>0</v>
      </c>
    </row>
    <row r="727" spans="1:5" x14ac:dyDescent="0.25">
      <c r="A727">
        <v>726</v>
      </c>
      <c r="B727" t="s">
        <v>9417</v>
      </c>
      <c r="C727" t="s">
        <v>7570</v>
      </c>
      <c r="D727">
        <v>8</v>
      </c>
      <c r="E727">
        <v>0</v>
      </c>
    </row>
    <row r="728" spans="1:5" x14ac:dyDescent="0.25">
      <c r="A728" s="32">
        <v>727</v>
      </c>
      <c r="B728" s="32" t="s">
        <v>9417</v>
      </c>
      <c r="C728" s="32" t="s">
        <v>7572</v>
      </c>
      <c r="D728" s="32">
        <v>6</v>
      </c>
      <c r="E728" s="32">
        <v>0</v>
      </c>
    </row>
    <row r="729" spans="1:5" x14ac:dyDescent="0.25">
      <c r="A729">
        <v>728</v>
      </c>
      <c r="B729" t="s">
        <v>9417</v>
      </c>
      <c r="C729" t="s">
        <v>7573</v>
      </c>
      <c r="D729">
        <v>5</v>
      </c>
      <c r="E729">
        <v>0</v>
      </c>
    </row>
    <row r="730" spans="1:5" x14ac:dyDescent="0.25">
      <c r="A730" s="32">
        <v>729</v>
      </c>
      <c r="B730" s="32" t="s">
        <v>9417</v>
      </c>
      <c r="C730" s="32" t="s">
        <v>7575</v>
      </c>
      <c r="D730" s="32">
        <v>8</v>
      </c>
      <c r="E730" s="32">
        <v>0</v>
      </c>
    </row>
    <row r="731" spans="1:5" x14ac:dyDescent="0.25">
      <c r="A731">
        <v>730</v>
      </c>
      <c r="B731" t="s">
        <v>9417</v>
      </c>
      <c r="C731" t="s">
        <v>7577</v>
      </c>
      <c r="D731">
        <v>5</v>
      </c>
      <c r="E731">
        <v>0</v>
      </c>
    </row>
    <row r="732" spans="1:5" x14ac:dyDescent="0.25">
      <c r="A732" s="32">
        <v>731</v>
      </c>
      <c r="B732" s="32" t="s">
        <v>9417</v>
      </c>
      <c r="C732" s="32" t="s">
        <v>7579</v>
      </c>
      <c r="D732" s="32">
        <v>5</v>
      </c>
      <c r="E732" s="32">
        <v>0</v>
      </c>
    </row>
    <row r="733" spans="1:5" x14ac:dyDescent="0.25">
      <c r="A733">
        <v>732</v>
      </c>
      <c r="B733" t="s">
        <v>9417</v>
      </c>
      <c r="C733" t="s">
        <v>7581</v>
      </c>
      <c r="D733">
        <v>6</v>
      </c>
      <c r="E733">
        <v>0</v>
      </c>
    </row>
    <row r="734" spans="1:5" x14ac:dyDescent="0.25">
      <c r="A734" s="32">
        <v>733</v>
      </c>
      <c r="B734" s="32" t="s">
        <v>9417</v>
      </c>
      <c r="C734" s="32" t="s">
        <v>7583</v>
      </c>
      <c r="D734" s="32">
        <v>9</v>
      </c>
      <c r="E734" s="32">
        <v>0</v>
      </c>
    </row>
    <row r="735" spans="1:5" x14ac:dyDescent="0.25">
      <c r="A735">
        <v>734</v>
      </c>
      <c r="B735" t="s">
        <v>9417</v>
      </c>
      <c r="C735" t="s">
        <v>7585</v>
      </c>
      <c r="D735">
        <v>5</v>
      </c>
      <c r="E735">
        <v>0</v>
      </c>
    </row>
    <row r="736" spans="1:5" x14ac:dyDescent="0.25">
      <c r="A736" s="32">
        <v>735</v>
      </c>
      <c r="B736" s="32" t="s">
        <v>9417</v>
      </c>
      <c r="C736" s="32" t="s">
        <v>7587</v>
      </c>
      <c r="D736" s="32">
        <v>5</v>
      </c>
      <c r="E736" s="32">
        <v>0</v>
      </c>
    </row>
    <row r="737" spans="1:5" x14ac:dyDescent="0.25">
      <c r="A737">
        <v>736</v>
      </c>
      <c r="B737" t="s">
        <v>9417</v>
      </c>
      <c r="C737" t="s">
        <v>7589</v>
      </c>
      <c r="D737">
        <v>6</v>
      </c>
      <c r="E737">
        <v>0</v>
      </c>
    </row>
    <row r="738" spans="1:5" x14ac:dyDescent="0.25">
      <c r="A738" s="32">
        <v>737</v>
      </c>
      <c r="B738" s="32" t="s">
        <v>9417</v>
      </c>
      <c r="C738" s="32" t="s">
        <v>7591</v>
      </c>
      <c r="D738" s="32">
        <v>5</v>
      </c>
      <c r="E738" s="32">
        <v>0</v>
      </c>
    </row>
    <row r="739" spans="1:5" x14ac:dyDescent="0.25">
      <c r="A739">
        <v>738</v>
      </c>
      <c r="B739" t="s">
        <v>9417</v>
      </c>
      <c r="C739" t="s">
        <v>7593</v>
      </c>
      <c r="D739">
        <v>5</v>
      </c>
      <c r="E739">
        <v>0</v>
      </c>
    </row>
    <row r="740" spans="1:5" x14ac:dyDescent="0.25">
      <c r="A740" s="32">
        <v>739</v>
      </c>
      <c r="B740" s="32" t="s">
        <v>9417</v>
      </c>
      <c r="C740" s="32" t="s">
        <v>7595</v>
      </c>
      <c r="D740" s="32">
        <v>5</v>
      </c>
      <c r="E740" s="32">
        <v>0</v>
      </c>
    </row>
    <row r="741" spans="1:5" x14ac:dyDescent="0.25">
      <c r="A741">
        <v>740</v>
      </c>
      <c r="B741" t="s">
        <v>9417</v>
      </c>
      <c r="C741" t="s">
        <v>7597</v>
      </c>
      <c r="D741">
        <v>4</v>
      </c>
      <c r="E741">
        <v>0</v>
      </c>
    </row>
    <row r="742" spans="1:5" x14ac:dyDescent="0.25">
      <c r="A742" s="32">
        <v>741</v>
      </c>
      <c r="B742" s="32" t="s">
        <v>9417</v>
      </c>
      <c r="C742" s="32" t="s">
        <v>7599</v>
      </c>
      <c r="D742" s="32">
        <v>5</v>
      </c>
      <c r="E742" s="32">
        <v>0</v>
      </c>
    </row>
    <row r="743" spans="1:5" x14ac:dyDescent="0.25">
      <c r="A743">
        <v>742</v>
      </c>
      <c r="B743" t="s">
        <v>9417</v>
      </c>
      <c r="C743" t="s">
        <v>7601</v>
      </c>
      <c r="D743">
        <v>5</v>
      </c>
      <c r="E743">
        <v>0</v>
      </c>
    </row>
    <row r="744" spans="1:5" x14ac:dyDescent="0.25">
      <c r="A744" s="32">
        <v>743</v>
      </c>
      <c r="B744" s="32" t="s">
        <v>9417</v>
      </c>
      <c r="C744" s="32" t="s">
        <v>7603</v>
      </c>
      <c r="D744" s="32">
        <v>5</v>
      </c>
      <c r="E744" s="32">
        <v>0</v>
      </c>
    </row>
    <row r="745" spans="1:5" x14ac:dyDescent="0.25">
      <c r="A745">
        <v>744</v>
      </c>
      <c r="B745" t="s">
        <v>9418</v>
      </c>
      <c r="C745" t="s">
        <v>7605</v>
      </c>
      <c r="D745">
        <v>5</v>
      </c>
      <c r="E745">
        <v>0</v>
      </c>
    </row>
    <row r="746" spans="1:5" x14ac:dyDescent="0.25">
      <c r="A746" s="32">
        <v>745</v>
      </c>
      <c r="B746" s="32" t="s">
        <v>9418</v>
      </c>
      <c r="C746" s="32" t="s">
        <v>7607</v>
      </c>
      <c r="D746" s="32">
        <v>5</v>
      </c>
      <c r="E746" s="32">
        <v>0</v>
      </c>
    </row>
    <row r="747" spans="1:5" x14ac:dyDescent="0.25">
      <c r="A747">
        <v>746</v>
      </c>
      <c r="B747" t="s">
        <v>9418</v>
      </c>
      <c r="C747" t="s">
        <v>7609</v>
      </c>
      <c r="D747">
        <v>5</v>
      </c>
      <c r="E747">
        <v>0</v>
      </c>
    </row>
    <row r="748" spans="1:5" x14ac:dyDescent="0.25">
      <c r="A748" s="32">
        <v>747</v>
      </c>
      <c r="B748" s="32" t="s">
        <v>9418</v>
      </c>
      <c r="C748" s="32" t="s">
        <v>7611</v>
      </c>
      <c r="D748" s="32">
        <v>5</v>
      </c>
      <c r="E748" s="32">
        <v>0</v>
      </c>
    </row>
    <row r="749" spans="1:5" x14ac:dyDescent="0.25">
      <c r="A749">
        <v>748</v>
      </c>
      <c r="B749" t="s">
        <v>9418</v>
      </c>
      <c r="C749" t="s">
        <v>7613</v>
      </c>
      <c r="D749">
        <v>5</v>
      </c>
      <c r="E749">
        <v>0</v>
      </c>
    </row>
    <row r="750" spans="1:5" x14ac:dyDescent="0.25">
      <c r="A750" s="32">
        <v>749</v>
      </c>
      <c r="B750" s="32" t="s">
        <v>9418</v>
      </c>
      <c r="C750" s="32" t="s">
        <v>7614</v>
      </c>
      <c r="D750" s="32">
        <v>5</v>
      </c>
      <c r="E750" s="32">
        <v>0</v>
      </c>
    </row>
    <row r="751" spans="1:5" x14ac:dyDescent="0.25">
      <c r="A751">
        <v>750</v>
      </c>
      <c r="B751" t="s">
        <v>9418</v>
      </c>
      <c r="C751" t="s">
        <v>7616</v>
      </c>
      <c r="D751">
        <v>5</v>
      </c>
      <c r="E751">
        <v>0</v>
      </c>
    </row>
    <row r="752" spans="1:5" x14ac:dyDescent="0.25">
      <c r="A752" s="32">
        <v>751</v>
      </c>
      <c r="B752" s="32" t="s">
        <v>9418</v>
      </c>
      <c r="C752" s="32" t="s">
        <v>7618</v>
      </c>
      <c r="D752" s="32">
        <v>5</v>
      </c>
      <c r="E752" s="32">
        <v>0</v>
      </c>
    </row>
    <row r="753" spans="1:5" x14ac:dyDescent="0.25">
      <c r="A753">
        <v>752</v>
      </c>
      <c r="B753" t="s">
        <v>9419</v>
      </c>
      <c r="C753" t="s">
        <v>7620</v>
      </c>
      <c r="D753">
        <v>5</v>
      </c>
      <c r="E753">
        <v>0</v>
      </c>
    </row>
    <row r="754" spans="1:5" x14ac:dyDescent="0.25">
      <c r="A754" s="32">
        <v>753</v>
      </c>
      <c r="B754" s="32" t="s">
        <v>9419</v>
      </c>
      <c r="C754" s="32" t="s">
        <v>7622</v>
      </c>
      <c r="D754" s="32">
        <v>6</v>
      </c>
      <c r="E754" s="32">
        <v>0</v>
      </c>
    </row>
    <row r="755" spans="1:5" x14ac:dyDescent="0.25">
      <c r="A755">
        <v>754</v>
      </c>
      <c r="B755" t="s">
        <v>9419</v>
      </c>
      <c r="C755" t="s">
        <v>7624</v>
      </c>
      <c r="D755">
        <v>8</v>
      </c>
      <c r="E755">
        <v>0</v>
      </c>
    </row>
    <row r="756" spans="1:5" x14ac:dyDescent="0.25">
      <c r="A756" s="32">
        <v>755</v>
      </c>
      <c r="B756" s="32" t="s">
        <v>9419</v>
      </c>
      <c r="C756" s="32" t="s">
        <v>7626</v>
      </c>
      <c r="D756" s="32">
        <v>6</v>
      </c>
      <c r="E756" s="32">
        <v>0</v>
      </c>
    </row>
    <row r="757" spans="1:5" x14ac:dyDescent="0.25">
      <c r="A757">
        <v>756</v>
      </c>
      <c r="B757" t="s">
        <v>9419</v>
      </c>
      <c r="C757" t="s">
        <v>7628</v>
      </c>
      <c r="D757">
        <v>6</v>
      </c>
      <c r="E757">
        <v>0</v>
      </c>
    </row>
    <row r="758" spans="1:5" x14ac:dyDescent="0.25">
      <c r="A758" s="32">
        <v>757</v>
      </c>
      <c r="B758" s="32" t="s">
        <v>9419</v>
      </c>
      <c r="C758" s="32" t="s">
        <v>7630</v>
      </c>
      <c r="D758" s="32">
        <v>3</v>
      </c>
      <c r="E758" s="32">
        <v>0</v>
      </c>
    </row>
    <row r="759" spans="1:5" x14ac:dyDescent="0.25">
      <c r="A759">
        <v>758</v>
      </c>
      <c r="B759" t="s">
        <v>9419</v>
      </c>
      <c r="C759" t="s">
        <v>7632</v>
      </c>
      <c r="D759">
        <v>6</v>
      </c>
      <c r="E759">
        <v>0</v>
      </c>
    </row>
    <row r="760" spans="1:5" x14ac:dyDescent="0.25">
      <c r="A760" s="32">
        <v>759</v>
      </c>
      <c r="B760" s="32" t="s">
        <v>9419</v>
      </c>
      <c r="C760" s="32" t="s">
        <v>7634</v>
      </c>
      <c r="D760" s="32">
        <v>3</v>
      </c>
      <c r="E760" s="32">
        <v>0</v>
      </c>
    </row>
    <row r="761" spans="1:5" x14ac:dyDescent="0.25">
      <c r="A761">
        <v>760</v>
      </c>
      <c r="B761" t="s">
        <v>9419</v>
      </c>
      <c r="C761" t="s">
        <v>7636</v>
      </c>
      <c r="D761">
        <v>3</v>
      </c>
      <c r="E761">
        <v>0</v>
      </c>
    </row>
    <row r="762" spans="1:5" x14ac:dyDescent="0.25">
      <c r="A762" s="32">
        <v>761</v>
      </c>
      <c r="B762" s="32" t="s">
        <v>9419</v>
      </c>
      <c r="C762" s="32" t="s">
        <v>7638</v>
      </c>
      <c r="D762" s="32">
        <v>3</v>
      </c>
      <c r="E762" s="32">
        <v>0</v>
      </c>
    </row>
    <row r="763" spans="1:5" x14ac:dyDescent="0.25">
      <c r="A763">
        <v>762</v>
      </c>
      <c r="B763" t="s">
        <v>9419</v>
      </c>
      <c r="C763" t="s">
        <v>7640</v>
      </c>
      <c r="D763">
        <v>5</v>
      </c>
      <c r="E763">
        <v>0</v>
      </c>
    </row>
    <row r="764" spans="1:5" x14ac:dyDescent="0.25">
      <c r="A764" s="32">
        <v>763</v>
      </c>
      <c r="B764" s="32" t="s">
        <v>9420</v>
      </c>
      <c r="C764" s="32" t="s">
        <v>7642</v>
      </c>
      <c r="D764" s="32">
        <v>10</v>
      </c>
      <c r="E764" s="32">
        <v>0</v>
      </c>
    </row>
    <row r="765" spans="1:5" x14ac:dyDescent="0.25">
      <c r="A765">
        <v>764</v>
      </c>
      <c r="B765" t="s">
        <v>9420</v>
      </c>
      <c r="C765" t="s">
        <v>7644</v>
      </c>
      <c r="D765">
        <v>24</v>
      </c>
      <c r="E765">
        <v>0</v>
      </c>
    </row>
    <row r="766" spans="1:5" x14ac:dyDescent="0.25">
      <c r="A766" s="32">
        <v>765</v>
      </c>
      <c r="B766" s="32" t="s">
        <v>9420</v>
      </c>
      <c r="C766" s="32" t="s">
        <v>7646</v>
      </c>
      <c r="D766" s="32">
        <v>6</v>
      </c>
      <c r="E766" s="32">
        <v>0</v>
      </c>
    </row>
    <row r="767" spans="1:5" x14ac:dyDescent="0.25">
      <c r="A767">
        <v>766</v>
      </c>
      <c r="B767" t="s">
        <v>9421</v>
      </c>
      <c r="C767" t="s">
        <v>7648</v>
      </c>
      <c r="D767">
        <v>10</v>
      </c>
      <c r="E767">
        <v>0</v>
      </c>
    </row>
    <row r="768" spans="1:5" x14ac:dyDescent="0.25">
      <c r="A768" s="32">
        <v>767</v>
      </c>
      <c r="B768" s="32" t="s">
        <v>9422</v>
      </c>
      <c r="C768" s="32" t="s">
        <v>7650</v>
      </c>
      <c r="D768" s="32">
        <v>5</v>
      </c>
      <c r="E768" s="32">
        <v>0</v>
      </c>
    </row>
    <row r="769" spans="1:5" x14ac:dyDescent="0.25">
      <c r="A769">
        <v>768</v>
      </c>
      <c r="B769" t="s">
        <v>9422</v>
      </c>
      <c r="C769" t="s">
        <v>7651</v>
      </c>
      <c r="D769">
        <v>4</v>
      </c>
      <c r="E769">
        <v>0</v>
      </c>
    </row>
    <row r="770" spans="1:5" x14ac:dyDescent="0.25">
      <c r="A770" s="32">
        <v>769</v>
      </c>
      <c r="B770" s="32" t="s">
        <v>9422</v>
      </c>
      <c r="C770" s="32" t="s">
        <v>7653</v>
      </c>
      <c r="D770" s="32">
        <v>4</v>
      </c>
      <c r="E770" s="32">
        <v>0</v>
      </c>
    </row>
    <row r="771" spans="1:5" x14ac:dyDescent="0.25">
      <c r="A771">
        <v>770</v>
      </c>
      <c r="B771" t="s">
        <v>9422</v>
      </c>
      <c r="C771" t="s">
        <v>7655</v>
      </c>
      <c r="D771">
        <v>6</v>
      </c>
      <c r="E771">
        <v>0</v>
      </c>
    </row>
    <row r="772" spans="1:5" x14ac:dyDescent="0.25">
      <c r="A772" s="32">
        <v>771</v>
      </c>
      <c r="B772" s="32" t="s">
        <v>9423</v>
      </c>
      <c r="C772" s="32" t="s">
        <v>7657</v>
      </c>
      <c r="D772" s="32">
        <v>3</v>
      </c>
      <c r="E772" s="32">
        <v>0</v>
      </c>
    </row>
    <row r="773" spans="1:5" x14ac:dyDescent="0.25">
      <c r="A773">
        <v>772</v>
      </c>
      <c r="B773" t="s">
        <v>9423</v>
      </c>
      <c r="C773" t="s">
        <v>7659</v>
      </c>
      <c r="D773">
        <v>4</v>
      </c>
      <c r="E773">
        <v>0</v>
      </c>
    </row>
    <row r="774" spans="1:5" x14ac:dyDescent="0.25">
      <c r="A774" s="32">
        <v>773</v>
      </c>
      <c r="B774" s="32" t="s">
        <v>9423</v>
      </c>
      <c r="C774" s="32" t="s">
        <v>7661</v>
      </c>
      <c r="D774" s="32">
        <v>5</v>
      </c>
      <c r="E774" s="32">
        <v>0</v>
      </c>
    </row>
    <row r="775" spans="1:5" x14ac:dyDescent="0.25">
      <c r="A775">
        <v>774</v>
      </c>
      <c r="B775" t="s">
        <v>9423</v>
      </c>
      <c r="C775" t="s">
        <v>7663</v>
      </c>
      <c r="D775">
        <v>4</v>
      </c>
      <c r="E775">
        <v>0</v>
      </c>
    </row>
    <row r="776" spans="1:5" x14ac:dyDescent="0.25">
      <c r="A776" s="32">
        <v>775</v>
      </c>
      <c r="B776" s="32" t="s">
        <v>9423</v>
      </c>
      <c r="C776" s="32" t="s">
        <v>7665</v>
      </c>
      <c r="D776" s="32">
        <v>5</v>
      </c>
      <c r="E776" s="32">
        <v>0</v>
      </c>
    </row>
    <row r="777" spans="1:5" x14ac:dyDescent="0.25">
      <c r="A777">
        <v>776</v>
      </c>
      <c r="B777" t="s">
        <v>9423</v>
      </c>
      <c r="C777" t="s">
        <v>7667</v>
      </c>
      <c r="D777">
        <v>5</v>
      </c>
      <c r="E777">
        <v>0</v>
      </c>
    </row>
    <row r="778" spans="1:5" x14ac:dyDescent="0.25">
      <c r="A778" s="32">
        <v>777</v>
      </c>
      <c r="B778" s="32" t="s">
        <v>9423</v>
      </c>
      <c r="C778" s="32" t="s">
        <v>7668</v>
      </c>
      <c r="D778" s="32">
        <v>3</v>
      </c>
      <c r="E778" s="32">
        <v>0</v>
      </c>
    </row>
    <row r="779" spans="1:5" x14ac:dyDescent="0.25">
      <c r="A779">
        <v>778</v>
      </c>
      <c r="B779" t="s">
        <v>9423</v>
      </c>
      <c r="C779" t="s">
        <v>7670</v>
      </c>
      <c r="D779">
        <v>5</v>
      </c>
      <c r="E779">
        <v>0</v>
      </c>
    </row>
    <row r="780" spans="1:5" x14ac:dyDescent="0.25">
      <c r="A780" s="32">
        <v>779</v>
      </c>
      <c r="B780" s="32" t="s">
        <v>9423</v>
      </c>
      <c r="C780" s="32" t="s">
        <v>7672</v>
      </c>
      <c r="D780" s="32">
        <v>12</v>
      </c>
      <c r="E780" s="32">
        <v>0</v>
      </c>
    </row>
    <row r="781" spans="1:5" x14ac:dyDescent="0.25">
      <c r="A781">
        <v>780</v>
      </c>
      <c r="B781" t="s">
        <v>9423</v>
      </c>
      <c r="C781" t="s">
        <v>7674</v>
      </c>
      <c r="D781">
        <v>4</v>
      </c>
      <c r="E781">
        <v>0</v>
      </c>
    </row>
    <row r="782" spans="1:5" x14ac:dyDescent="0.25">
      <c r="A782" s="32">
        <v>781</v>
      </c>
      <c r="B782" s="32" t="s">
        <v>9423</v>
      </c>
      <c r="C782" s="32" t="s">
        <v>7676</v>
      </c>
      <c r="D782" s="32">
        <v>6</v>
      </c>
      <c r="E782" s="32">
        <v>0</v>
      </c>
    </row>
    <row r="783" spans="1:5" x14ac:dyDescent="0.25">
      <c r="A783">
        <v>782</v>
      </c>
      <c r="B783" t="s">
        <v>9423</v>
      </c>
      <c r="C783" t="s">
        <v>7678</v>
      </c>
      <c r="D783">
        <v>6</v>
      </c>
      <c r="E783">
        <v>0</v>
      </c>
    </row>
    <row r="784" spans="1:5" x14ac:dyDescent="0.25">
      <c r="A784" s="32">
        <v>783</v>
      </c>
      <c r="B784" s="32" t="s">
        <v>9423</v>
      </c>
      <c r="C784" s="32" t="s">
        <v>7680</v>
      </c>
      <c r="D784" s="32">
        <v>12</v>
      </c>
      <c r="E784" s="32">
        <v>0</v>
      </c>
    </row>
    <row r="785" spans="1:5" x14ac:dyDescent="0.25">
      <c r="A785">
        <v>784</v>
      </c>
      <c r="B785" t="s">
        <v>9424</v>
      </c>
      <c r="C785" t="s">
        <v>7682</v>
      </c>
      <c r="D785">
        <v>27</v>
      </c>
      <c r="E785">
        <v>0</v>
      </c>
    </row>
    <row r="786" spans="1:5" x14ac:dyDescent="0.25">
      <c r="A786" s="32">
        <v>785</v>
      </c>
      <c r="B786" s="32" t="s">
        <v>9425</v>
      </c>
      <c r="C786" s="32" t="s">
        <v>7684</v>
      </c>
      <c r="D786" s="32">
        <v>10</v>
      </c>
      <c r="E786" s="32">
        <v>0</v>
      </c>
    </row>
    <row r="787" spans="1:5" x14ac:dyDescent="0.25">
      <c r="A787">
        <v>786</v>
      </c>
      <c r="B787" t="s">
        <v>9425</v>
      </c>
      <c r="C787" t="s">
        <v>7686</v>
      </c>
      <c r="D787">
        <v>10</v>
      </c>
      <c r="E787">
        <v>0</v>
      </c>
    </row>
    <row r="788" spans="1:5" x14ac:dyDescent="0.25">
      <c r="A788" s="32">
        <v>787</v>
      </c>
      <c r="B788" s="32" t="s">
        <v>9425</v>
      </c>
      <c r="C788" s="32" t="s">
        <v>7688</v>
      </c>
      <c r="D788" s="32">
        <v>5</v>
      </c>
      <c r="E788" s="32">
        <v>0</v>
      </c>
    </row>
    <row r="789" spans="1:5" x14ac:dyDescent="0.25">
      <c r="A789">
        <v>788</v>
      </c>
      <c r="B789" t="s">
        <v>9425</v>
      </c>
      <c r="C789" t="s">
        <v>7690</v>
      </c>
      <c r="D789">
        <v>5</v>
      </c>
      <c r="E789">
        <v>0</v>
      </c>
    </row>
    <row r="790" spans="1:5" x14ac:dyDescent="0.25">
      <c r="A790" s="32">
        <v>789</v>
      </c>
      <c r="B790" s="32" t="s">
        <v>9425</v>
      </c>
      <c r="C790" s="32" t="s">
        <v>7692</v>
      </c>
      <c r="D790" s="32">
        <v>5</v>
      </c>
      <c r="E790" s="32">
        <v>0</v>
      </c>
    </row>
    <row r="791" spans="1:5" x14ac:dyDescent="0.25">
      <c r="A791">
        <v>790</v>
      </c>
      <c r="B791" t="s">
        <v>9425</v>
      </c>
      <c r="C791" t="s">
        <v>7694</v>
      </c>
      <c r="D791">
        <v>10</v>
      </c>
      <c r="E791">
        <v>0</v>
      </c>
    </row>
    <row r="792" spans="1:5" x14ac:dyDescent="0.25">
      <c r="A792" s="32">
        <v>791</v>
      </c>
      <c r="B792" s="32" t="s">
        <v>9425</v>
      </c>
      <c r="C792" s="32" t="s">
        <v>7696</v>
      </c>
      <c r="D792" s="32">
        <v>6</v>
      </c>
      <c r="E792" s="32">
        <v>0</v>
      </c>
    </row>
    <row r="793" spans="1:5" x14ac:dyDescent="0.25">
      <c r="A793">
        <v>792</v>
      </c>
      <c r="B793" t="s">
        <v>9425</v>
      </c>
      <c r="C793" t="s">
        <v>7698</v>
      </c>
      <c r="D793">
        <v>10</v>
      </c>
      <c r="E793">
        <v>0</v>
      </c>
    </row>
    <row r="794" spans="1:5" x14ac:dyDescent="0.25">
      <c r="A794" s="32">
        <v>793</v>
      </c>
      <c r="B794" s="32" t="s">
        <v>9425</v>
      </c>
      <c r="C794" s="32" t="s">
        <v>7699</v>
      </c>
      <c r="D794" s="32">
        <v>16</v>
      </c>
      <c r="E794" s="32">
        <v>0</v>
      </c>
    </row>
    <row r="795" spans="1:5" x14ac:dyDescent="0.25">
      <c r="A795">
        <v>794</v>
      </c>
      <c r="B795" t="s">
        <v>9425</v>
      </c>
      <c r="C795" t="s">
        <v>7700</v>
      </c>
      <c r="D795">
        <v>10</v>
      </c>
      <c r="E795">
        <v>0</v>
      </c>
    </row>
    <row r="796" spans="1:5" x14ac:dyDescent="0.25">
      <c r="A796" s="32">
        <v>795</v>
      </c>
      <c r="B796" s="32" t="s">
        <v>9425</v>
      </c>
      <c r="C796" s="32" t="s">
        <v>7702</v>
      </c>
      <c r="D796" s="32">
        <v>10</v>
      </c>
      <c r="E796" s="32">
        <v>0</v>
      </c>
    </row>
    <row r="797" spans="1:5" x14ac:dyDescent="0.25">
      <c r="A797">
        <v>796</v>
      </c>
      <c r="B797" t="s">
        <v>9425</v>
      </c>
      <c r="C797" t="s">
        <v>7704</v>
      </c>
      <c r="D797">
        <v>12</v>
      </c>
      <c r="E797">
        <v>0</v>
      </c>
    </row>
    <row r="798" spans="1:5" x14ac:dyDescent="0.25">
      <c r="A798" s="32">
        <v>797</v>
      </c>
      <c r="B798" s="32" t="s">
        <v>9425</v>
      </c>
      <c r="C798" s="32" t="s">
        <v>7706</v>
      </c>
      <c r="D798" s="32">
        <v>10</v>
      </c>
      <c r="E798" s="32">
        <v>0</v>
      </c>
    </row>
    <row r="799" spans="1:5" x14ac:dyDescent="0.25">
      <c r="A799">
        <v>798</v>
      </c>
      <c r="B799" t="s">
        <v>9425</v>
      </c>
      <c r="C799" t="s">
        <v>50</v>
      </c>
      <c r="D799">
        <v>10</v>
      </c>
      <c r="E799">
        <v>0</v>
      </c>
    </row>
    <row r="800" spans="1:5" x14ac:dyDescent="0.25">
      <c r="A800" s="32">
        <v>799</v>
      </c>
      <c r="B800" s="32" t="s">
        <v>9425</v>
      </c>
      <c r="C800" s="32" t="s">
        <v>7131</v>
      </c>
      <c r="D800" s="32">
        <v>6</v>
      </c>
      <c r="E800" s="32">
        <v>0</v>
      </c>
    </row>
    <row r="801" spans="1:5" x14ac:dyDescent="0.25">
      <c r="A801" s="32">
        <v>803</v>
      </c>
      <c r="B801" s="32" t="s">
        <v>9425</v>
      </c>
      <c r="C801" s="32" t="s">
        <v>34</v>
      </c>
      <c r="D801" s="32">
        <v>10</v>
      </c>
      <c r="E801" s="32">
        <v>0</v>
      </c>
    </row>
    <row r="802" spans="1:5" x14ac:dyDescent="0.25">
      <c r="A802">
        <v>804</v>
      </c>
      <c r="B802" t="s">
        <v>9425</v>
      </c>
      <c r="C802" t="s">
        <v>33</v>
      </c>
      <c r="D802">
        <v>5</v>
      </c>
      <c r="E802">
        <v>0</v>
      </c>
    </row>
    <row r="803" spans="1:5" x14ac:dyDescent="0.25">
      <c r="A803" s="32">
        <v>805</v>
      </c>
      <c r="B803" s="32" t="s">
        <v>9425</v>
      </c>
      <c r="C803" s="32" t="s">
        <v>7709</v>
      </c>
      <c r="D803" s="32">
        <v>10</v>
      </c>
      <c r="E803" s="32">
        <v>0</v>
      </c>
    </row>
    <row r="804" spans="1:5" x14ac:dyDescent="0.25">
      <c r="A804">
        <v>806</v>
      </c>
      <c r="B804" t="s">
        <v>9425</v>
      </c>
      <c r="C804" t="s">
        <v>7711</v>
      </c>
      <c r="D804">
        <v>10</v>
      </c>
      <c r="E804">
        <v>0</v>
      </c>
    </row>
    <row r="805" spans="1:5" x14ac:dyDescent="0.25">
      <c r="A805" s="32">
        <v>807</v>
      </c>
      <c r="B805" s="32" t="s">
        <v>9425</v>
      </c>
      <c r="C805" s="32" t="s">
        <v>7713</v>
      </c>
      <c r="D805" s="32">
        <v>10</v>
      </c>
      <c r="E805" s="32">
        <v>0</v>
      </c>
    </row>
    <row r="806" spans="1:5" x14ac:dyDescent="0.25">
      <c r="A806">
        <v>808</v>
      </c>
      <c r="B806" t="s">
        <v>9425</v>
      </c>
      <c r="C806" t="s">
        <v>7715</v>
      </c>
      <c r="D806">
        <v>8</v>
      </c>
      <c r="E806">
        <v>0</v>
      </c>
    </row>
    <row r="807" spans="1:5" x14ac:dyDescent="0.25">
      <c r="A807" s="32">
        <v>809</v>
      </c>
      <c r="B807" s="32" t="s">
        <v>9426</v>
      </c>
      <c r="C807" s="32" t="s">
        <v>7717</v>
      </c>
      <c r="D807" s="32">
        <v>15</v>
      </c>
      <c r="E807" s="32">
        <v>0</v>
      </c>
    </row>
    <row r="808" spans="1:5" x14ac:dyDescent="0.25">
      <c r="A808">
        <v>810</v>
      </c>
      <c r="B808" t="s">
        <v>9426</v>
      </c>
      <c r="C808" t="s">
        <v>7719</v>
      </c>
      <c r="D808">
        <v>10</v>
      </c>
      <c r="E808">
        <v>0</v>
      </c>
    </row>
    <row r="809" spans="1:5" x14ac:dyDescent="0.25">
      <c r="A809" s="32">
        <v>811</v>
      </c>
      <c r="B809" s="32" t="s">
        <v>9426</v>
      </c>
      <c r="C809" s="32" t="s">
        <v>7721</v>
      </c>
      <c r="D809" s="32">
        <v>6</v>
      </c>
      <c r="E809" s="32">
        <v>0</v>
      </c>
    </row>
    <row r="810" spans="1:5" x14ac:dyDescent="0.25">
      <c r="A810">
        <v>812</v>
      </c>
      <c r="B810" t="s">
        <v>9426</v>
      </c>
      <c r="C810" t="s">
        <v>7723</v>
      </c>
      <c r="D810">
        <v>4</v>
      </c>
      <c r="E810">
        <v>0</v>
      </c>
    </row>
    <row r="811" spans="1:5" x14ac:dyDescent="0.25">
      <c r="A811" s="32">
        <v>813</v>
      </c>
      <c r="B811" s="32" t="s">
        <v>9426</v>
      </c>
      <c r="C811" s="32" t="s">
        <v>7725</v>
      </c>
      <c r="D811" s="32">
        <v>4</v>
      </c>
      <c r="E811" s="32">
        <v>0</v>
      </c>
    </row>
    <row r="812" spans="1:5" x14ac:dyDescent="0.25">
      <c r="A812">
        <v>814</v>
      </c>
      <c r="B812" t="s">
        <v>9426</v>
      </c>
      <c r="C812" t="s">
        <v>7727</v>
      </c>
      <c r="D812">
        <v>36</v>
      </c>
      <c r="E812">
        <v>0</v>
      </c>
    </row>
    <row r="813" spans="1:5" x14ac:dyDescent="0.25">
      <c r="A813" s="32">
        <v>815</v>
      </c>
      <c r="B813" s="32" t="s">
        <v>9426</v>
      </c>
      <c r="C813" s="32" t="s">
        <v>7729</v>
      </c>
      <c r="D813" s="32">
        <v>24</v>
      </c>
      <c r="E813" s="32">
        <v>0</v>
      </c>
    </row>
    <row r="814" spans="1:5" x14ac:dyDescent="0.25">
      <c r="A814">
        <v>816</v>
      </c>
      <c r="B814" t="s">
        <v>9426</v>
      </c>
      <c r="C814" t="s">
        <v>7731</v>
      </c>
      <c r="D814">
        <v>24</v>
      </c>
      <c r="E814">
        <v>16</v>
      </c>
    </row>
    <row r="815" spans="1:5" x14ac:dyDescent="0.25">
      <c r="A815" s="32">
        <v>817</v>
      </c>
      <c r="B815" s="32" t="s">
        <v>9426</v>
      </c>
      <c r="C815" s="32" t="s">
        <v>7733</v>
      </c>
      <c r="D815" s="32">
        <v>4</v>
      </c>
      <c r="E815" s="32">
        <v>0</v>
      </c>
    </row>
    <row r="816" spans="1:5" x14ac:dyDescent="0.25">
      <c r="A816">
        <v>818</v>
      </c>
      <c r="B816" t="s">
        <v>9426</v>
      </c>
      <c r="C816" t="s">
        <v>7735</v>
      </c>
      <c r="D816">
        <v>4</v>
      </c>
      <c r="E816">
        <v>0</v>
      </c>
    </row>
    <row r="817" spans="1:5" x14ac:dyDescent="0.25">
      <c r="A817" s="32">
        <v>819</v>
      </c>
      <c r="B817" s="32" t="s">
        <v>9426</v>
      </c>
      <c r="C817" s="32" t="s">
        <v>7737</v>
      </c>
      <c r="D817" s="32">
        <v>3</v>
      </c>
      <c r="E817" s="32">
        <v>0</v>
      </c>
    </row>
    <row r="818" spans="1:5" x14ac:dyDescent="0.25">
      <c r="A818">
        <v>820</v>
      </c>
      <c r="B818" t="s">
        <v>9426</v>
      </c>
      <c r="C818" t="s">
        <v>7739</v>
      </c>
      <c r="D818">
        <v>10</v>
      </c>
      <c r="E818">
        <v>0</v>
      </c>
    </row>
    <row r="819" spans="1:5" x14ac:dyDescent="0.25">
      <c r="A819" s="32">
        <v>821</v>
      </c>
      <c r="B819" s="32" t="s">
        <v>9427</v>
      </c>
      <c r="C819" s="32" t="s">
        <v>7741</v>
      </c>
      <c r="D819" s="32">
        <v>10</v>
      </c>
      <c r="E819" s="32">
        <v>0</v>
      </c>
    </row>
    <row r="820" spans="1:5" x14ac:dyDescent="0.25">
      <c r="A820">
        <v>822</v>
      </c>
      <c r="B820" t="s">
        <v>9428</v>
      </c>
      <c r="C820" t="s">
        <v>7743</v>
      </c>
      <c r="D820">
        <v>6</v>
      </c>
      <c r="E820">
        <v>0</v>
      </c>
    </row>
    <row r="821" spans="1:5" x14ac:dyDescent="0.25">
      <c r="A821" s="32">
        <v>823</v>
      </c>
      <c r="B821" s="32" t="s">
        <v>9428</v>
      </c>
      <c r="C821" s="32" t="s">
        <v>7745</v>
      </c>
      <c r="D821" s="32">
        <v>10</v>
      </c>
      <c r="E821" s="32">
        <v>0</v>
      </c>
    </row>
    <row r="822" spans="1:5" x14ac:dyDescent="0.25">
      <c r="A822">
        <v>824</v>
      </c>
      <c r="B822" t="s">
        <v>9428</v>
      </c>
      <c r="C822" t="s">
        <v>7747</v>
      </c>
      <c r="D822">
        <v>10</v>
      </c>
      <c r="E822">
        <v>0</v>
      </c>
    </row>
    <row r="823" spans="1:5" x14ac:dyDescent="0.25">
      <c r="A823" s="32">
        <v>825</v>
      </c>
      <c r="B823" s="32" t="s">
        <v>9428</v>
      </c>
      <c r="C823" s="32" t="s">
        <v>7748</v>
      </c>
      <c r="D823" s="32">
        <v>20</v>
      </c>
      <c r="E823" s="32">
        <v>0</v>
      </c>
    </row>
    <row r="824" spans="1:5" x14ac:dyDescent="0.25">
      <c r="A824">
        <v>826</v>
      </c>
      <c r="B824" t="s">
        <v>9428</v>
      </c>
      <c r="C824" t="s">
        <v>7749</v>
      </c>
      <c r="D824">
        <v>24</v>
      </c>
      <c r="E824">
        <v>0</v>
      </c>
    </row>
    <row r="825" spans="1:5" x14ac:dyDescent="0.25">
      <c r="A825" s="32">
        <v>827</v>
      </c>
      <c r="B825" s="32" t="s">
        <v>9428</v>
      </c>
      <c r="C825" s="32" t="s">
        <v>7751</v>
      </c>
      <c r="D825" s="32">
        <v>10</v>
      </c>
      <c r="E825" s="32">
        <v>0</v>
      </c>
    </row>
    <row r="826" spans="1:5" x14ac:dyDescent="0.25">
      <c r="A826">
        <v>828</v>
      </c>
      <c r="B826" t="s">
        <v>9428</v>
      </c>
      <c r="C826" t="s">
        <v>7753</v>
      </c>
      <c r="D826">
        <v>6</v>
      </c>
      <c r="E826">
        <v>0</v>
      </c>
    </row>
    <row r="827" spans="1:5" x14ac:dyDescent="0.25">
      <c r="A827" s="32">
        <v>829</v>
      </c>
      <c r="B827" s="32" t="s">
        <v>9428</v>
      </c>
      <c r="C827" s="32" t="s">
        <v>7755</v>
      </c>
      <c r="D827" s="32">
        <v>4</v>
      </c>
      <c r="E827" s="32">
        <v>0</v>
      </c>
    </row>
    <row r="828" spans="1:5" x14ac:dyDescent="0.25">
      <c r="A828">
        <v>830</v>
      </c>
      <c r="B828" t="s">
        <v>9428</v>
      </c>
      <c r="C828" t="s">
        <v>7757</v>
      </c>
      <c r="D828">
        <v>24</v>
      </c>
      <c r="E828">
        <v>0</v>
      </c>
    </row>
    <row r="829" spans="1:5" x14ac:dyDescent="0.25">
      <c r="A829" s="32">
        <v>831</v>
      </c>
      <c r="B829" s="32" t="s">
        <v>9429</v>
      </c>
      <c r="C829" s="32" t="s">
        <v>7759</v>
      </c>
      <c r="D829" s="32">
        <v>4</v>
      </c>
      <c r="E829" s="32">
        <v>23.4</v>
      </c>
    </row>
    <row r="830" spans="1:5" x14ac:dyDescent="0.25">
      <c r="A830">
        <v>832</v>
      </c>
      <c r="B830" t="s">
        <v>9429</v>
      </c>
      <c r="C830" t="s">
        <v>7761</v>
      </c>
      <c r="D830">
        <v>5</v>
      </c>
      <c r="E830">
        <v>23.8</v>
      </c>
    </row>
    <row r="831" spans="1:5" x14ac:dyDescent="0.25">
      <c r="A831" s="32">
        <v>833</v>
      </c>
      <c r="B831" s="32" t="s">
        <v>9429</v>
      </c>
      <c r="C831" s="32" t="s">
        <v>7763</v>
      </c>
      <c r="D831" s="32">
        <v>3</v>
      </c>
      <c r="E831" s="32">
        <v>23</v>
      </c>
    </row>
    <row r="832" spans="1:5" x14ac:dyDescent="0.25">
      <c r="A832">
        <v>834</v>
      </c>
      <c r="B832" t="s">
        <v>9429</v>
      </c>
      <c r="C832" t="s">
        <v>7765</v>
      </c>
      <c r="D832">
        <v>3</v>
      </c>
      <c r="E832">
        <v>37.799999999999997</v>
      </c>
    </row>
    <row r="833" spans="1:5" x14ac:dyDescent="0.25">
      <c r="A833" s="32">
        <v>835</v>
      </c>
      <c r="B833" s="32" t="s">
        <v>9429</v>
      </c>
      <c r="C833" s="32" t="s">
        <v>7767</v>
      </c>
      <c r="D833" s="32">
        <v>6</v>
      </c>
      <c r="E833" s="32">
        <v>13.4</v>
      </c>
    </row>
    <row r="834" spans="1:5" x14ac:dyDescent="0.25">
      <c r="A834">
        <v>836</v>
      </c>
      <c r="B834" t="s">
        <v>9429</v>
      </c>
      <c r="C834" t="s">
        <v>7769</v>
      </c>
      <c r="D834">
        <v>4</v>
      </c>
      <c r="E834">
        <v>27</v>
      </c>
    </row>
    <row r="835" spans="1:5" x14ac:dyDescent="0.25">
      <c r="A835" s="32">
        <v>837</v>
      </c>
      <c r="B835" s="32" t="s">
        <v>9429</v>
      </c>
      <c r="C835" s="32" t="s">
        <v>7771</v>
      </c>
      <c r="D835" s="32">
        <v>20</v>
      </c>
      <c r="E835" s="32">
        <v>9.6</v>
      </c>
    </row>
    <row r="836" spans="1:5" x14ac:dyDescent="0.25">
      <c r="A836">
        <v>838</v>
      </c>
      <c r="B836" t="s">
        <v>9429</v>
      </c>
      <c r="C836" t="s">
        <v>7773</v>
      </c>
      <c r="D836">
        <v>4</v>
      </c>
      <c r="E836">
        <v>53</v>
      </c>
    </row>
    <row r="837" spans="1:5" x14ac:dyDescent="0.25">
      <c r="A837" s="32">
        <v>839</v>
      </c>
      <c r="B837" s="32" t="s">
        <v>9430</v>
      </c>
      <c r="C837" s="32" t="s">
        <v>7775</v>
      </c>
      <c r="D837" s="32">
        <v>6</v>
      </c>
      <c r="E837" s="32">
        <v>0</v>
      </c>
    </row>
    <row r="838" spans="1:5" x14ac:dyDescent="0.25">
      <c r="A838">
        <v>840</v>
      </c>
      <c r="B838" t="s">
        <v>9430</v>
      </c>
      <c r="C838" t="s">
        <v>7777</v>
      </c>
      <c r="D838">
        <v>12</v>
      </c>
      <c r="E838">
        <v>0</v>
      </c>
    </row>
    <row r="839" spans="1:5" x14ac:dyDescent="0.25">
      <c r="A839" s="32">
        <v>841</v>
      </c>
      <c r="B839" s="32" t="s">
        <v>9430</v>
      </c>
      <c r="C839" s="32" t="s">
        <v>7779</v>
      </c>
      <c r="D839" s="32">
        <v>12</v>
      </c>
      <c r="E839" s="32">
        <v>0</v>
      </c>
    </row>
    <row r="840" spans="1:5" x14ac:dyDescent="0.25">
      <c r="A840">
        <v>842</v>
      </c>
      <c r="B840" t="s">
        <v>9430</v>
      </c>
      <c r="C840" t="s">
        <v>7781</v>
      </c>
      <c r="D840">
        <v>3</v>
      </c>
      <c r="E840">
        <v>0</v>
      </c>
    </row>
    <row r="841" spans="1:5" x14ac:dyDescent="0.25">
      <c r="A841" s="32">
        <v>843</v>
      </c>
      <c r="B841" s="32" t="s">
        <v>9430</v>
      </c>
      <c r="C841" s="32" t="s">
        <v>7783</v>
      </c>
      <c r="D841" s="32">
        <v>3</v>
      </c>
      <c r="E841" s="32">
        <v>0</v>
      </c>
    </row>
    <row r="842" spans="1:5" x14ac:dyDescent="0.25">
      <c r="A842">
        <v>844</v>
      </c>
      <c r="B842" t="s">
        <v>9430</v>
      </c>
      <c r="C842" t="s">
        <v>7785</v>
      </c>
      <c r="D842">
        <v>18</v>
      </c>
      <c r="E842">
        <v>20</v>
      </c>
    </row>
    <row r="843" spans="1:5" x14ac:dyDescent="0.25">
      <c r="A843" s="32">
        <v>845</v>
      </c>
      <c r="B843" s="32" t="s">
        <v>9430</v>
      </c>
      <c r="C843" s="32" t="s">
        <v>7787</v>
      </c>
      <c r="D843" s="32">
        <v>8</v>
      </c>
      <c r="E843" s="32">
        <v>0</v>
      </c>
    </row>
    <row r="844" spans="1:5" x14ac:dyDescent="0.25">
      <c r="A844">
        <v>846</v>
      </c>
      <c r="B844" t="s">
        <v>9430</v>
      </c>
      <c r="C844" t="s">
        <v>7789</v>
      </c>
      <c r="D844">
        <v>10</v>
      </c>
      <c r="E844">
        <v>0</v>
      </c>
    </row>
    <row r="845" spans="1:5" x14ac:dyDescent="0.25">
      <c r="A845" s="32">
        <v>847</v>
      </c>
      <c r="B845" s="32" t="s">
        <v>9430</v>
      </c>
      <c r="C845" s="32" t="s">
        <v>7791</v>
      </c>
      <c r="D845" s="32">
        <v>32</v>
      </c>
      <c r="E845" s="32">
        <v>0</v>
      </c>
    </row>
    <row r="846" spans="1:5" x14ac:dyDescent="0.25">
      <c r="A846">
        <v>848</v>
      </c>
      <c r="B846" t="s">
        <v>9430</v>
      </c>
      <c r="C846" t="s">
        <v>7793</v>
      </c>
      <c r="D846">
        <v>24</v>
      </c>
      <c r="E846">
        <v>0</v>
      </c>
    </row>
    <row r="847" spans="1:5" x14ac:dyDescent="0.25">
      <c r="A847" s="32">
        <v>849</v>
      </c>
      <c r="B847" s="32" t="s">
        <v>9430</v>
      </c>
      <c r="C847" s="32" t="s">
        <v>7795</v>
      </c>
      <c r="D847" s="32">
        <v>6</v>
      </c>
      <c r="E847" s="32">
        <v>0</v>
      </c>
    </row>
    <row r="848" spans="1:5" x14ac:dyDescent="0.25">
      <c r="A848">
        <v>850</v>
      </c>
      <c r="B848" t="s">
        <v>9430</v>
      </c>
      <c r="C848" t="s">
        <v>7797</v>
      </c>
      <c r="D848">
        <v>24</v>
      </c>
      <c r="E848">
        <v>0</v>
      </c>
    </row>
    <row r="849" spans="1:5" x14ac:dyDescent="0.25">
      <c r="A849" s="32">
        <v>851</v>
      </c>
      <c r="B849" s="32" t="s">
        <v>9430</v>
      </c>
      <c r="C849" s="32" t="s">
        <v>7799</v>
      </c>
      <c r="D849" s="32">
        <v>4</v>
      </c>
      <c r="E849" s="32">
        <v>0</v>
      </c>
    </row>
    <row r="850" spans="1:5" x14ac:dyDescent="0.25">
      <c r="A850">
        <v>852</v>
      </c>
      <c r="B850" t="s">
        <v>9430</v>
      </c>
      <c r="C850" t="s">
        <v>7801</v>
      </c>
      <c r="D850">
        <v>50</v>
      </c>
      <c r="E850">
        <v>0</v>
      </c>
    </row>
    <row r="851" spans="1:5" x14ac:dyDescent="0.25">
      <c r="A851" s="32">
        <v>853</v>
      </c>
      <c r="B851" s="32" t="s">
        <v>9431</v>
      </c>
      <c r="C851" s="32" t="s">
        <v>7803</v>
      </c>
      <c r="D851" s="32">
        <v>6</v>
      </c>
      <c r="E851" s="32">
        <v>0</v>
      </c>
    </row>
    <row r="852" spans="1:5" x14ac:dyDescent="0.25">
      <c r="A852">
        <v>854</v>
      </c>
      <c r="B852" t="s">
        <v>9431</v>
      </c>
      <c r="C852" t="s">
        <v>7805</v>
      </c>
      <c r="D852">
        <v>4</v>
      </c>
      <c r="E852">
        <v>0</v>
      </c>
    </row>
    <row r="853" spans="1:5" x14ac:dyDescent="0.25">
      <c r="A853" s="32">
        <v>855</v>
      </c>
      <c r="B853" s="32" t="s">
        <v>9431</v>
      </c>
      <c r="C853" s="32" t="s">
        <v>7807</v>
      </c>
      <c r="D853" s="32">
        <v>3</v>
      </c>
      <c r="E853" s="32">
        <v>0</v>
      </c>
    </row>
    <row r="854" spans="1:5" x14ac:dyDescent="0.25">
      <c r="A854">
        <v>856</v>
      </c>
      <c r="B854" t="s">
        <v>9431</v>
      </c>
      <c r="C854" t="s">
        <v>7809</v>
      </c>
      <c r="D854">
        <v>4</v>
      </c>
      <c r="E854">
        <v>0</v>
      </c>
    </row>
    <row r="855" spans="1:5" x14ac:dyDescent="0.25">
      <c r="A855" s="32">
        <v>857</v>
      </c>
      <c r="B855" s="32" t="s">
        <v>9431</v>
      </c>
      <c r="C855" s="32" t="s">
        <v>7811</v>
      </c>
      <c r="D855" s="32">
        <v>6</v>
      </c>
      <c r="E855" s="32">
        <v>0</v>
      </c>
    </row>
    <row r="856" spans="1:5" x14ac:dyDescent="0.25">
      <c r="A856">
        <v>858</v>
      </c>
      <c r="B856" t="s">
        <v>9431</v>
      </c>
      <c r="C856" t="s">
        <v>7813</v>
      </c>
      <c r="D856">
        <v>3</v>
      </c>
      <c r="E856">
        <v>0</v>
      </c>
    </row>
    <row r="857" spans="1:5" x14ac:dyDescent="0.25">
      <c r="A857" s="32">
        <v>859</v>
      </c>
      <c r="B857" s="32" t="s">
        <v>9431</v>
      </c>
      <c r="C857" s="32" t="s">
        <v>7815</v>
      </c>
      <c r="D857" s="32">
        <v>3</v>
      </c>
      <c r="E857" s="32">
        <v>0</v>
      </c>
    </row>
    <row r="858" spans="1:5" x14ac:dyDescent="0.25">
      <c r="A858">
        <v>860</v>
      </c>
      <c r="B858" t="s">
        <v>9431</v>
      </c>
      <c r="C858" t="s">
        <v>7817</v>
      </c>
      <c r="D858">
        <v>3</v>
      </c>
      <c r="E858">
        <v>0</v>
      </c>
    </row>
    <row r="859" spans="1:5" x14ac:dyDescent="0.25">
      <c r="A859" s="32">
        <v>861</v>
      </c>
      <c r="B859" s="32" t="s">
        <v>9431</v>
      </c>
      <c r="C859" s="32" t="s">
        <v>7819</v>
      </c>
      <c r="D859" s="32">
        <v>4</v>
      </c>
      <c r="E859" s="32">
        <v>0</v>
      </c>
    </row>
    <row r="860" spans="1:5" x14ac:dyDescent="0.25">
      <c r="A860">
        <v>862</v>
      </c>
      <c r="B860" t="s">
        <v>9431</v>
      </c>
      <c r="C860" t="s">
        <v>7821</v>
      </c>
      <c r="D860">
        <v>10</v>
      </c>
      <c r="E860">
        <v>0</v>
      </c>
    </row>
    <row r="861" spans="1:5" x14ac:dyDescent="0.25">
      <c r="A861" s="32">
        <v>863</v>
      </c>
      <c r="B861" s="32" t="s">
        <v>9431</v>
      </c>
      <c r="C861" s="32" t="s">
        <v>7823</v>
      </c>
      <c r="D861" s="32">
        <v>3</v>
      </c>
      <c r="E861" s="32">
        <v>5</v>
      </c>
    </row>
    <row r="862" spans="1:5" x14ac:dyDescent="0.25">
      <c r="A862">
        <v>864</v>
      </c>
      <c r="B862" t="s">
        <v>9431</v>
      </c>
      <c r="C862" t="s">
        <v>7825</v>
      </c>
      <c r="D862">
        <v>4</v>
      </c>
      <c r="E862">
        <v>0</v>
      </c>
    </row>
    <row r="863" spans="1:5" x14ac:dyDescent="0.25">
      <c r="A863" s="32">
        <v>865</v>
      </c>
      <c r="B863" s="32" t="s">
        <v>9431</v>
      </c>
      <c r="C863" s="32" t="s">
        <v>7827</v>
      </c>
      <c r="D863" s="32">
        <v>4</v>
      </c>
      <c r="E863" s="32">
        <v>0</v>
      </c>
    </row>
    <row r="864" spans="1:5" x14ac:dyDescent="0.25">
      <c r="A864">
        <v>866</v>
      </c>
      <c r="B864" t="s">
        <v>9431</v>
      </c>
      <c r="C864" t="s">
        <v>7829</v>
      </c>
      <c r="D864">
        <v>4</v>
      </c>
      <c r="E864">
        <v>0</v>
      </c>
    </row>
    <row r="865" spans="1:5" x14ac:dyDescent="0.25">
      <c r="A865" s="32">
        <v>867</v>
      </c>
      <c r="B865" s="32" t="s">
        <v>9431</v>
      </c>
      <c r="C865" s="32" t="s">
        <v>7831</v>
      </c>
      <c r="D865" s="32">
        <v>6</v>
      </c>
      <c r="E865" s="32">
        <v>0</v>
      </c>
    </row>
    <row r="866" spans="1:5" x14ac:dyDescent="0.25">
      <c r="A866">
        <v>868</v>
      </c>
      <c r="B866" t="s">
        <v>9431</v>
      </c>
      <c r="C866" t="s">
        <v>7832</v>
      </c>
      <c r="D866">
        <v>6</v>
      </c>
      <c r="E866">
        <v>0</v>
      </c>
    </row>
    <row r="867" spans="1:5" x14ac:dyDescent="0.25">
      <c r="A867" s="32">
        <v>869</v>
      </c>
      <c r="B867" s="32" t="s">
        <v>9431</v>
      </c>
      <c r="C867" s="32" t="s">
        <v>7833</v>
      </c>
      <c r="D867" s="32">
        <v>12</v>
      </c>
      <c r="E867" s="32">
        <v>30</v>
      </c>
    </row>
    <row r="868" spans="1:5" x14ac:dyDescent="0.25">
      <c r="A868">
        <v>870</v>
      </c>
      <c r="B868" t="s">
        <v>9431</v>
      </c>
      <c r="C868" t="s">
        <v>7834</v>
      </c>
      <c r="D868">
        <v>6</v>
      </c>
      <c r="E868">
        <v>0</v>
      </c>
    </row>
    <row r="869" spans="1:5" x14ac:dyDescent="0.25">
      <c r="A869" s="32">
        <v>871</v>
      </c>
      <c r="B869" s="32" t="s">
        <v>9431</v>
      </c>
      <c r="C869" s="32" t="s">
        <v>7835</v>
      </c>
      <c r="D869" s="32">
        <v>19</v>
      </c>
      <c r="E869" s="32">
        <v>0</v>
      </c>
    </row>
    <row r="870" spans="1:5" x14ac:dyDescent="0.25">
      <c r="A870">
        <v>872</v>
      </c>
      <c r="B870" t="s">
        <v>9431</v>
      </c>
      <c r="C870" t="s">
        <v>7837</v>
      </c>
      <c r="D870">
        <v>40</v>
      </c>
      <c r="E870">
        <v>0</v>
      </c>
    </row>
    <row r="871" spans="1:5" x14ac:dyDescent="0.25">
      <c r="A871" s="32">
        <v>873</v>
      </c>
      <c r="B871" s="32" t="s">
        <v>9431</v>
      </c>
      <c r="C871" s="32" t="s">
        <v>7839</v>
      </c>
      <c r="D871" s="32">
        <v>3</v>
      </c>
      <c r="E871" s="32">
        <v>0</v>
      </c>
    </row>
    <row r="872" spans="1:5" x14ac:dyDescent="0.25">
      <c r="A872">
        <v>874</v>
      </c>
      <c r="B872" t="s">
        <v>9431</v>
      </c>
      <c r="C872" t="s">
        <v>7841</v>
      </c>
      <c r="D872">
        <v>24</v>
      </c>
      <c r="E872">
        <v>0</v>
      </c>
    </row>
    <row r="873" spans="1:5" x14ac:dyDescent="0.25">
      <c r="A873" s="32">
        <v>875</v>
      </c>
      <c r="B873" s="32" t="s">
        <v>9431</v>
      </c>
      <c r="C873" s="32" t="s">
        <v>7147</v>
      </c>
      <c r="D873" s="32">
        <v>12</v>
      </c>
      <c r="E873" s="32">
        <v>0</v>
      </c>
    </row>
    <row r="874" spans="1:5" x14ac:dyDescent="0.25">
      <c r="A874">
        <v>876</v>
      </c>
      <c r="B874" t="s">
        <v>9431</v>
      </c>
      <c r="C874" t="s">
        <v>13</v>
      </c>
      <c r="D874">
        <v>6</v>
      </c>
      <c r="E874">
        <v>0</v>
      </c>
    </row>
    <row r="875" spans="1:5" x14ac:dyDescent="0.25">
      <c r="A875" s="32">
        <v>877</v>
      </c>
      <c r="B875" s="32" t="s">
        <v>9431</v>
      </c>
      <c r="C875" s="32" t="s">
        <v>7149</v>
      </c>
      <c r="D875" s="32">
        <v>12</v>
      </c>
      <c r="E875" s="32">
        <v>0</v>
      </c>
    </row>
    <row r="876" spans="1:5" x14ac:dyDescent="0.25">
      <c r="A876">
        <v>878</v>
      </c>
      <c r="B876" t="s">
        <v>9431</v>
      </c>
      <c r="C876" t="s">
        <v>7151</v>
      </c>
      <c r="D876">
        <v>4</v>
      </c>
      <c r="E876">
        <v>0</v>
      </c>
    </row>
    <row r="877" spans="1:5" x14ac:dyDescent="0.25">
      <c r="A877" s="32">
        <v>879</v>
      </c>
      <c r="B877" s="32" t="s">
        <v>9431</v>
      </c>
      <c r="C877" s="32" t="s">
        <v>7153</v>
      </c>
      <c r="D877" s="32">
        <v>12</v>
      </c>
      <c r="E877" s="32">
        <v>0</v>
      </c>
    </row>
    <row r="878" spans="1:5" x14ac:dyDescent="0.25">
      <c r="A878">
        <v>880</v>
      </c>
      <c r="B878" t="s">
        <v>9432</v>
      </c>
      <c r="C878" t="s">
        <v>7155</v>
      </c>
      <c r="D878">
        <v>9</v>
      </c>
      <c r="E878">
        <v>0</v>
      </c>
    </row>
    <row r="879" spans="1:5" x14ac:dyDescent="0.25">
      <c r="A879" s="32">
        <v>881</v>
      </c>
      <c r="B879" s="32" t="s">
        <v>9432</v>
      </c>
      <c r="C879" s="32" t="s">
        <v>7157</v>
      </c>
      <c r="D879" s="32">
        <v>18</v>
      </c>
      <c r="E879" s="32">
        <v>0</v>
      </c>
    </row>
    <row r="880" spans="1:5" x14ac:dyDescent="0.25">
      <c r="A880">
        <v>882</v>
      </c>
      <c r="B880" t="s">
        <v>9432</v>
      </c>
      <c r="C880" t="s">
        <v>40</v>
      </c>
      <c r="D880">
        <v>6</v>
      </c>
      <c r="E880">
        <v>0</v>
      </c>
    </row>
    <row r="881" spans="1:5" x14ac:dyDescent="0.25">
      <c r="A881" s="32">
        <v>883</v>
      </c>
      <c r="B881" s="32" t="s">
        <v>9432</v>
      </c>
      <c r="C881" s="32" t="s">
        <v>39</v>
      </c>
      <c r="D881" s="32">
        <v>12</v>
      </c>
      <c r="E881" s="32">
        <v>0</v>
      </c>
    </row>
    <row r="882" spans="1:5" x14ac:dyDescent="0.25">
      <c r="A882">
        <v>884</v>
      </c>
      <c r="B882" t="s">
        <v>9432</v>
      </c>
      <c r="C882" t="s">
        <v>103</v>
      </c>
      <c r="D882">
        <v>24</v>
      </c>
      <c r="E882">
        <v>0</v>
      </c>
    </row>
    <row r="883" spans="1:5" x14ac:dyDescent="0.25">
      <c r="A883" s="32">
        <v>885</v>
      </c>
      <c r="B883" s="32" t="s">
        <v>9432</v>
      </c>
      <c r="C883" s="32" t="s">
        <v>104</v>
      </c>
      <c r="D883" s="32">
        <v>12</v>
      </c>
      <c r="E883" s="32">
        <v>0</v>
      </c>
    </row>
    <row r="884" spans="1:5" x14ac:dyDescent="0.25">
      <c r="A884">
        <v>886</v>
      </c>
      <c r="B884" t="s">
        <v>9432</v>
      </c>
      <c r="C884" t="s">
        <v>102</v>
      </c>
      <c r="D884">
        <v>24</v>
      </c>
      <c r="E884">
        <v>0</v>
      </c>
    </row>
    <row r="885" spans="1:5" x14ac:dyDescent="0.25">
      <c r="A885" s="32">
        <v>887</v>
      </c>
      <c r="B885" s="32" t="s">
        <v>9432</v>
      </c>
      <c r="C885" s="32" t="s">
        <v>15</v>
      </c>
      <c r="D885" s="32">
        <v>10</v>
      </c>
      <c r="E885" s="32">
        <v>0</v>
      </c>
    </row>
    <row r="886" spans="1:5" x14ac:dyDescent="0.25">
      <c r="A886">
        <v>888</v>
      </c>
      <c r="B886" t="s">
        <v>9432</v>
      </c>
      <c r="C886" t="s">
        <v>14</v>
      </c>
      <c r="D886">
        <v>25</v>
      </c>
      <c r="E886">
        <v>0</v>
      </c>
    </row>
    <row r="887" spans="1:5" x14ac:dyDescent="0.25">
      <c r="A887" s="32">
        <v>889</v>
      </c>
      <c r="B887" s="32" t="s">
        <v>9432</v>
      </c>
      <c r="C887" s="32" t="s">
        <v>116</v>
      </c>
      <c r="D887" s="32">
        <v>12</v>
      </c>
      <c r="E887" s="32">
        <v>0</v>
      </c>
    </row>
    <row r="888" spans="1:5" x14ac:dyDescent="0.25">
      <c r="A888">
        <v>890</v>
      </c>
      <c r="B888" t="s">
        <v>9432</v>
      </c>
      <c r="C888" t="s">
        <v>117</v>
      </c>
      <c r="D888">
        <v>18</v>
      </c>
      <c r="E888">
        <v>0</v>
      </c>
    </row>
    <row r="889" spans="1:5" x14ac:dyDescent="0.25">
      <c r="A889" s="32">
        <v>891</v>
      </c>
      <c r="B889" s="32" t="s">
        <v>9432</v>
      </c>
      <c r="C889" s="32" t="s">
        <v>38</v>
      </c>
      <c r="D889" s="32">
        <v>15</v>
      </c>
      <c r="E889" s="32">
        <v>0</v>
      </c>
    </row>
    <row r="890" spans="1:5" x14ac:dyDescent="0.25">
      <c r="A890">
        <v>892</v>
      </c>
      <c r="B890" t="s">
        <v>9432</v>
      </c>
      <c r="C890" t="s">
        <v>69</v>
      </c>
      <c r="D890">
        <v>4</v>
      </c>
      <c r="E890">
        <v>0</v>
      </c>
    </row>
    <row r="891" spans="1:5" x14ac:dyDescent="0.25">
      <c r="A891" s="32">
        <v>893</v>
      </c>
      <c r="B891" s="32" t="s">
        <v>9432</v>
      </c>
      <c r="C891" s="32" t="s">
        <v>37</v>
      </c>
      <c r="D891" s="32">
        <v>5</v>
      </c>
      <c r="E891" s="32">
        <v>0</v>
      </c>
    </row>
    <row r="892" spans="1:5" x14ac:dyDescent="0.25">
      <c r="A892">
        <v>894</v>
      </c>
      <c r="B892" t="s">
        <v>9432</v>
      </c>
      <c r="C892" t="s">
        <v>118</v>
      </c>
      <c r="D892">
        <v>15</v>
      </c>
      <c r="E892">
        <v>0</v>
      </c>
    </row>
    <row r="893" spans="1:5" x14ac:dyDescent="0.25">
      <c r="A893" s="32">
        <v>895</v>
      </c>
      <c r="B893" s="32" t="s">
        <v>9432</v>
      </c>
      <c r="C893" s="32" t="s">
        <v>119</v>
      </c>
      <c r="D893" s="32">
        <v>15</v>
      </c>
      <c r="E893" s="32">
        <v>0</v>
      </c>
    </row>
    <row r="894" spans="1:5" x14ac:dyDescent="0.25">
      <c r="A894">
        <v>896</v>
      </c>
      <c r="B894" t="s">
        <v>9432</v>
      </c>
      <c r="C894" t="s">
        <v>17</v>
      </c>
      <c r="D894">
        <v>30</v>
      </c>
      <c r="E894">
        <v>0</v>
      </c>
    </row>
    <row r="895" spans="1:5" x14ac:dyDescent="0.25">
      <c r="A895" s="32">
        <v>897</v>
      </c>
      <c r="B895" s="32" t="s">
        <v>9432</v>
      </c>
      <c r="C895" s="32" t="s">
        <v>16</v>
      </c>
      <c r="D895" s="32">
        <v>30</v>
      </c>
      <c r="E895" s="32">
        <v>0</v>
      </c>
    </row>
    <row r="896" spans="1:5" x14ac:dyDescent="0.25">
      <c r="A896">
        <v>898</v>
      </c>
      <c r="B896" t="s">
        <v>9432</v>
      </c>
      <c r="C896" t="s">
        <v>41</v>
      </c>
      <c r="D896">
        <v>12</v>
      </c>
      <c r="E896">
        <v>0</v>
      </c>
    </row>
    <row r="897" spans="1:5" x14ac:dyDescent="0.25">
      <c r="A897" s="32">
        <v>899</v>
      </c>
      <c r="B897" s="32" t="s">
        <v>9432</v>
      </c>
      <c r="C897" s="32" t="s">
        <v>18</v>
      </c>
      <c r="D897" s="32">
        <v>15</v>
      </c>
      <c r="E897" s="32">
        <v>0</v>
      </c>
    </row>
    <row r="898" spans="1:5" x14ac:dyDescent="0.25">
      <c r="A898">
        <v>900</v>
      </c>
      <c r="B898" t="s">
        <v>9432</v>
      </c>
      <c r="C898" t="s">
        <v>120</v>
      </c>
      <c r="D898">
        <v>12</v>
      </c>
      <c r="E898">
        <v>0</v>
      </c>
    </row>
    <row r="899" spans="1:5" x14ac:dyDescent="0.25">
      <c r="A899" s="32">
        <v>901</v>
      </c>
      <c r="B899" s="32" t="s">
        <v>9432</v>
      </c>
      <c r="C899" s="32" t="s">
        <v>121</v>
      </c>
      <c r="D899" s="32">
        <v>10</v>
      </c>
      <c r="E899" s="32">
        <v>0</v>
      </c>
    </row>
    <row r="900" spans="1:5" x14ac:dyDescent="0.25">
      <c r="A900">
        <v>902</v>
      </c>
      <c r="B900" t="s">
        <v>9432</v>
      </c>
      <c r="C900" t="s">
        <v>44</v>
      </c>
      <c r="D900">
        <v>4</v>
      </c>
      <c r="E900">
        <v>0</v>
      </c>
    </row>
    <row r="901" spans="1:5" x14ac:dyDescent="0.25">
      <c r="A901" s="32">
        <v>903</v>
      </c>
      <c r="B901" s="32" t="s">
        <v>9432</v>
      </c>
      <c r="C901" s="32" t="s">
        <v>43</v>
      </c>
      <c r="D901" s="32">
        <v>6</v>
      </c>
      <c r="E901" s="32">
        <v>0</v>
      </c>
    </row>
    <row r="902" spans="1:5" x14ac:dyDescent="0.25">
      <c r="A902">
        <v>904</v>
      </c>
      <c r="B902" t="s">
        <v>9432</v>
      </c>
      <c r="C902" t="s">
        <v>122</v>
      </c>
      <c r="D902">
        <v>8</v>
      </c>
      <c r="E902">
        <v>0</v>
      </c>
    </row>
    <row r="903" spans="1:5" x14ac:dyDescent="0.25">
      <c r="A903" s="32">
        <v>905</v>
      </c>
      <c r="B903" s="32" t="s">
        <v>9432</v>
      </c>
      <c r="C903" s="32" t="s">
        <v>123</v>
      </c>
      <c r="D903" s="32">
        <v>4</v>
      </c>
      <c r="E903" s="32">
        <v>0</v>
      </c>
    </row>
    <row r="904" spans="1:5" x14ac:dyDescent="0.25">
      <c r="A904">
        <v>906</v>
      </c>
      <c r="B904" t="s">
        <v>9432</v>
      </c>
      <c r="C904" t="s">
        <v>7169</v>
      </c>
      <c r="D904">
        <v>3</v>
      </c>
      <c r="E904">
        <v>0</v>
      </c>
    </row>
    <row r="905" spans="1:5" x14ac:dyDescent="0.25">
      <c r="A905" s="32">
        <v>907</v>
      </c>
      <c r="B905" s="32" t="s">
        <v>9432</v>
      </c>
      <c r="C905" s="32" t="s">
        <v>6857</v>
      </c>
      <c r="D905" s="32">
        <v>4</v>
      </c>
      <c r="E905" s="32">
        <v>0</v>
      </c>
    </row>
    <row r="906" spans="1:5" x14ac:dyDescent="0.25">
      <c r="A906">
        <v>908</v>
      </c>
      <c r="B906" t="s">
        <v>9432</v>
      </c>
      <c r="C906" t="s">
        <v>6859</v>
      </c>
      <c r="D906">
        <v>4</v>
      </c>
      <c r="E906">
        <v>0</v>
      </c>
    </row>
    <row r="907" spans="1:5" x14ac:dyDescent="0.25">
      <c r="A907" s="32">
        <v>909</v>
      </c>
      <c r="B907" s="32" t="s">
        <v>9432</v>
      </c>
      <c r="C907" s="32" t="s">
        <v>6861</v>
      </c>
      <c r="D907" s="32">
        <v>18</v>
      </c>
      <c r="E907" s="32">
        <v>0</v>
      </c>
    </row>
    <row r="908" spans="1:5" x14ac:dyDescent="0.25">
      <c r="A908">
        <v>910</v>
      </c>
      <c r="B908" t="s">
        <v>9432</v>
      </c>
      <c r="C908" t="s">
        <v>98</v>
      </c>
      <c r="D908">
        <v>6</v>
      </c>
      <c r="E908">
        <v>0</v>
      </c>
    </row>
    <row r="909" spans="1:5" x14ac:dyDescent="0.25">
      <c r="A909" s="32">
        <v>911</v>
      </c>
      <c r="B909" s="32" t="s">
        <v>9432</v>
      </c>
      <c r="C909" s="32" t="s">
        <v>6864</v>
      </c>
      <c r="D909" s="32">
        <v>6</v>
      </c>
      <c r="E909" s="32">
        <v>0</v>
      </c>
    </row>
    <row r="910" spans="1:5" x14ac:dyDescent="0.25">
      <c r="A910">
        <v>912</v>
      </c>
      <c r="B910" t="s">
        <v>9432</v>
      </c>
      <c r="C910" t="s">
        <v>99</v>
      </c>
      <c r="D910">
        <v>18</v>
      </c>
      <c r="E910">
        <v>0</v>
      </c>
    </row>
    <row r="911" spans="1:5" x14ac:dyDescent="0.25">
      <c r="A911" s="32">
        <v>913</v>
      </c>
      <c r="B911" s="32" t="s">
        <v>9432</v>
      </c>
      <c r="C911" s="32" t="s">
        <v>107</v>
      </c>
      <c r="D911" s="32">
        <v>4</v>
      </c>
      <c r="E911" s="32">
        <v>12</v>
      </c>
    </row>
    <row r="912" spans="1:5" x14ac:dyDescent="0.25">
      <c r="A912">
        <v>914</v>
      </c>
      <c r="B912" t="s">
        <v>9433</v>
      </c>
      <c r="C912" t="s">
        <v>6868</v>
      </c>
      <c r="D912">
        <v>6</v>
      </c>
      <c r="E912">
        <v>0</v>
      </c>
    </row>
    <row r="913" spans="1:5" x14ac:dyDescent="0.25">
      <c r="A913" s="32">
        <v>915</v>
      </c>
      <c r="B913" s="32" t="s">
        <v>9433</v>
      </c>
      <c r="C913" s="32" t="s">
        <v>6870</v>
      </c>
      <c r="D913" s="32">
        <v>10</v>
      </c>
      <c r="E913" s="32">
        <v>0</v>
      </c>
    </row>
    <row r="914" spans="1:5" x14ac:dyDescent="0.25">
      <c r="A914">
        <v>916</v>
      </c>
      <c r="B914" t="s">
        <v>9433</v>
      </c>
      <c r="C914" t="s">
        <v>6872</v>
      </c>
      <c r="D914">
        <v>6</v>
      </c>
      <c r="E914">
        <v>0</v>
      </c>
    </row>
    <row r="915" spans="1:5" x14ac:dyDescent="0.25">
      <c r="A915" s="32">
        <v>917</v>
      </c>
      <c r="B915" s="32" t="s">
        <v>9433</v>
      </c>
      <c r="C915" s="32" t="s">
        <v>6874</v>
      </c>
      <c r="D915" s="32">
        <v>3</v>
      </c>
      <c r="E915" s="32">
        <v>0</v>
      </c>
    </row>
    <row r="916" spans="1:5" x14ac:dyDescent="0.25">
      <c r="A916">
        <v>918</v>
      </c>
      <c r="B916" t="s">
        <v>9433</v>
      </c>
      <c r="C916" t="s">
        <v>72</v>
      </c>
      <c r="D916">
        <v>36</v>
      </c>
      <c r="E916">
        <v>0</v>
      </c>
    </row>
    <row r="917" spans="1:5" x14ac:dyDescent="0.25">
      <c r="A917" s="32">
        <v>919</v>
      </c>
      <c r="B917" s="32" t="s">
        <v>9433</v>
      </c>
      <c r="C917" s="32" t="s">
        <v>6877</v>
      </c>
      <c r="D917" s="32">
        <v>12</v>
      </c>
      <c r="E917" s="32">
        <v>0</v>
      </c>
    </row>
    <row r="918" spans="1:5" x14ac:dyDescent="0.25">
      <c r="A918">
        <v>920</v>
      </c>
      <c r="B918" t="s">
        <v>9433</v>
      </c>
      <c r="C918" t="s">
        <v>6879</v>
      </c>
      <c r="D918">
        <v>24</v>
      </c>
      <c r="E918">
        <v>0</v>
      </c>
    </row>
    <row r="919" spans="1:5" x14ac:dyDescent="0.25">
      <c r="A919" s="32">
        <v>921</v>
      </c>
      <c r="B919" s="32" t="s">
        <v>9433</v>
      </c>
      <c r="C919" s="32" t="s">
        <v>6881</v>
      </c>
      <c r="D919" s="32">
        <v>16</v>
      </c>
      <c r="E919" s="32">
        <v>0</v>
      </c>
    </row>
    <row r="920" spans="1:5" x14ac:dyDescent="0.25">
      <c r="A920">
        <v>922</v>
      </c>
      <c r="B920" t="s">
        <v>9433</v>
      </c>
      <c r="C920" t="s">
        <v>6883</v>
      </c>
      <c r="D920">
        <v>16</v>
      </c>
      <c r="E920">
        <v>0</v>
      </c>
    </row>
    <row r="921" spans="1:5" x14ac:dyDescent="0.25">
      <c r="A921" s="32">
        <v>923</v>
      </c>
      <c r="B921" s="32" t="s">
        <v>9433</v>
      </c>
      <c r="C921" s="32" t="s">
        <v>6885</v>
      </c>
      <c r="D921" s="32">
        <v>24</v>
      </c>
      <c r="E921" s="32">
        <v>0</v>
      </c>
    </row>
    <row r="922" spans="1:5" x14ac:dyDescent="0.25">
      <c r="A922">
        <v>924</v>
      </c>
      <c r="B922" t="s">
        <v>9433</v>
      </c>
      <c r="C922" t="s">
        <v>6887</v>
      </c>
      <c r="D922">
        <v>32</v>
      </c>
      <c r="E922">
        <v>0</v>
      </c>
    </row>
    <row r="923" spans="1:5" x14ac:dyDescent="0.25">
      <c r="A923" s="32">
        <v>925</v>
      </c>
      <c r="B923" s="32" t="s">
        <v>9433</v>
      </c>
      <c r="C923" s="32" t="s">
        <v>6889</v>
      </c>
      <c r="D923" s="32">
        <v>32</v>
      </c>
      <c r="E923" s="32">
        <v>0</v>
      </c>
    </row>
    <row r="924" spans="1:5" x14ac:dyDescent="0.25">
      <c r="A924">
        <v>926</v>
      </c>
      <c r="B924" t="s">
        <v>9433</v>
      </c>
      <c r="C924" t="s">
        <v>91</v>
      </c>
      <c r="D924">
        <v>8</v>
      </c>
      <c r="E924">
        <v>0</v>
      </c>
    </row>
    <row r="925" spans="1:5" x14ac:dyDescent="0.25">
      <c r="A925" s="32">
        <v>927</v>
      </c>
      <c r="B925" s="32" t="s">
        <v>9433</v>
      </c>
      <c r="C925" s="32" t="s">
        <v>6892</v>
      </c>
      <c r="D925" s="32">
        <v>48</v>
      </c>
      <c r="E925" s="32">
        <v>0</v>
      </c>
    </row>
    <row r="926" spans="1:5" x14ac:dyDescent="0.25">
      <c r="A926">
        <v>928</v>
      </c>
      <c r="B926" t="s">
        <v>9433</v>
      </c>
      <c r="C926" t="s">
        <v>6894</v>
      </c>
      <c r="D926">
        <v>6</v>
      </c>
      <c r="E926">
        <v>0</v>
      </c>
    </row>
    <row r="927" spans="1:5" x14ac:dyDescent="0.25">
      <c r="A927" s="32">
        <v>929</v>
      </c>
      <c r="B927" s="32" t="s">
        <v>9433</v>
      </c>
      <c r="C927" s="32" t="s">
        <v>6896</v>
      </c>
      <c r="D927" s="32">
        <v>20</v>
      </c>
      <c r="E927" s="32">
        <v>0</v>
      </c>
    </row>
    <row r="928" spans="1:5" x14ac:dyDescent="0.25">
      <c r="A928">
        <v>930</v>
      </c>
      <c r="B928" t="s">
        <v>9433</v>
      </c>
      <c r="C928" t="s">
        <v>76</v>
      </c>
      <c r="D928">
        <v>5</v>
      </c>
      <c r="E928">
        <v>0</v>
      </c>
    </row>
    <row r="929" spans="1:5" x14ac:dyDescent="0.25">
      <c r="A929" s="32">
        <v>931</v>
      </c>
      <c r="B929" s="32" t="s">
        <v>9433</v>
      </c>
      <c r="C929" s="32" t="s">
        <v>100</v>
      </c>
      <c r="D929" s="32">
        <v>20</v>
      </c>
      <c r="E929" s="32">
        <v>0</v>
      </c>
    </row>
    <row r="930" spans="1:5" x14ac:dyDescent="0.25">
      <c r="A930">
        <v>932</v>
      </c>
      <c r="B930" t="s">
        <v>9433</v>
      </c>
      <c r="C930" t="s">
        <v>96</v>
      </c>
      <c r="D930">
        <v>10</v>
      </c>
      <c r="E930">
        <v>0</v>
      </c>
    </row>
    <row r="931" spans="1:5" x14ac:dyDescent="0.25">
      <c r="A931" s="32">
        <v>933</v>
      </c>
      <c r="B931" s="32" t="s">
        <v>9432</v>
      </c>
      <c r="C931" s="32" t="s">
        <v>6901</v>
      </c>
      <c r="D931" s="32">
        <v>10</v>
      </c>
      <c r="E931" s="32">
        <v>0</v>
      </c>
    </row>
    <row r="932" spans="1:5" x14ac:dyDescent="0.25">
      <c r="A932">
        <v>934</v>
      </c>
      <c r="B932" t="s">
        <v>9434</v>
      </c>
      <c r="C932" t="s">
        <v>21</v>
      </c>
      <c r="D932">
        <v>5</v>
      </c>
      <c r="E932">
        <v>0</v>
      </c>
    </row>
    <row r="933" spans="1:5" x14ac:dyDescent="0.25">
      <c r="A933" s="32">
        <v>935</v>
      </c>
      <c r="B933" s="32" t="s">
        <v>9434</v>
      </c>
      <c r="C933" s="32" t="s">
        <v>6904</v>
      </c>
      <c r="D933" s="32">
        <v>8</v>
      </c>
      <c r="E933" s="32">
        <v>0</v>
      </c>
    </row>
    <row r="934" spans="1:5" x14ac:dyDescent="0.25">
      <c r="A934">
        <v>936</v>
      </c>
      <c r="B934" t="s">
        <v>9434</v>
      </c>
      <c r="C934" t="s">
        <v>52</v>
      </c>
      <c r="D934">
        <v>6</v>
      </c>
      <c r="E934">
        <v>0</v>
      </c>
    </row>
    <row r="935" spans="1:5" x14ac:dyDescent="0.25">
      <c r="A935" s="32">
        <v>937</v>
      </c>
      <c r="B935" s="32" t="s">
        <v>9435</v>
      </c>
      <c r="C935" s="32" t="s">
        <v>63</v>
      </c>
      <c r="D935" s="32">
        <v>10</v>
      </c>
      <c r="E935" s="32">
        <v>0</v>
      </c>
    </row>
    <row r="936" spans="1:5" x14ac:dyDescent="0.25">
      <c r="A936">
        <v>938</v>
      </c>
      <c r="B936" t="s">
        <v>9435</v>
      </c>
      <c r="C936" t="s">
        <v>6908</v>
      </c>
      <c r="D936">
        <v>6</v>
      </c>
      <c r="E936">
        <v>0</v>
      </c>
    </row>
    <row r="937" spans="1:5" x14ac:dyDescent="0.25">
      <c r="A937" s="32">
        <v>939</v>
      </c>
      <c r="B937" s="32" t="s">
        <v>9436</v>
      </c>
      <c r="C937" s="32" t="s">
        <v>19</v>
      </c>
      <c r="D937" s="32">
        <v>250</v>
      </c>
      <c r="E937" s="32">
        <v>7</v>
      </c>
    </row>
    <row r="938" spans="1:5" x14ac:dyDescent="0.25">
      <c r="A938">
        <v>940</v>
      </c>
      <c r="B938" t="s">
        <v>9437</v>
      </c>
      <c r="C938" t="s">
        <v>108</v>
      </c>
      <c r="D938">
        <v>200</v>
      </c>
      <c r="E938">
        <v>0</v>
      </c>
    </row>
    <row r="939" spans="1:5" x14ac:dyDescent="0.25">
      <c r="A939" s="32">
        <v>941</v>
      </c>
      <c r="B939" s="32" t="s">
        <v>9437</v>
      </c>
      <c r="C939" s="32" t="s">
        <v>20</v>
      </c>
      <c r="D939" s="32">
        <v>144</v>
      </c>
      <c r="E939" s="32">
        <v>0</v>
      </c>
    </row>
    <row r="940" spans="1:5" x14ac:dyDescent="0.25">
      <c r="A940">
        <v>942</v>
      </c>
      <c r="B940" t="s">
        <v>9437</v>
      </c>
      <c r="C940" t="s">
        <v>88</v>
      </c>
      <c r="D940">
        <v>32</v>
      </c>
      <c r="E940">
        <v>0</v>
      </c>
    </row>
    <row r="941" spans="1:5" x14ac:dyDescent="0.25">
      <c r="A941" s="32">
        <v>943</v>
      </c>
      <c r="B941" s="32" t="s">
        <v>9437</v>
      </c>
      <c r="C941" s="32" t="s">
        <v>57</v>
      </c>
      <c r="D941" s="32">
        <v>32</v>
      </c>
      <c r="E941" s="32">
        <v>0</v>
      </c>
    </row>
    <row r="942" spans="1:5" x14ac:dyDescent="0.25">
      <c r="A942">
        <v>944</v>
      </c>
      <c r="B942" t="s">
        <v>9437</v>
      </c>
      <c r="C942" t="s">
        <v>64</v>
      </c>
      <c r="D942">
        <v>32</v>
      </c>
      <c r="E942">
        <v>0</v>
      </c>
    </row>
    <row r="943" spans="1:5" x14ac:dyDescent="0.25">
      <c r="A943" s="32">
        <v>945</v>
      </c>
      <c r="B943" s="32" t="s">
        <v>9437</v>
      </c>
      <c r="C943" s="32" t="s">
        <v>25</v>
      </c>
      <c r="D943" s="32">
        <v>30</v>
      </c>
      <c r="E943" s="32">
        <v>0</v>
      </c>
    </row>
    <row r="944" spans="1:5" x14ac:dyDescent="0.25">
      <c r="A944">
        <v>946</v>
      </c>
      <c r="B944" t="s">
        <v>9437</v>
      </c>
      <c r="C944" t="s">
        <v>6917</v>
      </c>
      <c r="D944">
        <v>30</v>
      </c>
      <c r="E944">
        <v>0</v>
      </c>
    </row>
    <row r="945" spans="1:5" x14ac:dyDescent="0.25">
      <c r="A945" s="32">
        <v>947</v>
      </c>
      <c r="B945" s="32" t="s">
        <v>9437</v>
      </c>
      <c r="C945" s="32" t="s">
        <v>23</v>
      </c>
      <c r="D945" s="32">
        <v>48</v>
      </c>
      <c r="E945" s="32">
        <v>0</v>
      </c>
    </row>
    <row r="946" spans="1:5" x14ac:dyDescent="0.25">
      <c r="A946">
        <v>948</v>
      </c>
      <c r="B946" t="s">
        <v>9437</v>
      </c>
      <c r="C946" t="s">
        <v>93</v>
      </c>
      <c r="D946">
        <v>32</v>
      </c>
      <c r="E946">
        <v>0</v>
      </c>
    </row>
    <row r="947" spans="1:5" x14ac:dyDescent="0.25">
      <c r="A947" s="32">
        <v>949</v>
      </c>
      <c r="B947" s="32" t="s">
        <v>9437</v>
      </c>
      <c r="C947" s="32" t="s">
        <v>24</v>
      </c>
      <c r="D947" s="32">
        <v>48</v>
      </c>
      <c r="E947" s="32">
        <v>0</v>
      </c>
    </row>
    <row r="948" spans="1:5" x14ac:dyDescent="0.25">
      <c r="A948">
        <v>950</v>
      </c>
      <c r="B948" t="s">
        <v>9437</v>
      </c>
      <c r="C948" t="s">
        <v>83</v>
      </c>
      <c r="D948">
        <v>48</v>
      </c>
      <c r="E948">
        <v>0</v>
      </c>
    </row>
    <row r="949" spans="1:5" x14ac:dyDescent="0.25">
      <c r="A949" s="32">
        <v>951</v>
      </c>
      <c r="B949" s="32" t="s">
        <v>9437</v>
      </c>
      <c r="C949" s="32" t="s">
        <v>56</v>
      </c>
      <c r="D949" s="32">
        <v>80</v>
      </c>
      <c r="E949" s="32">
        <v>0</v>
      </c>
    </row>
    <row r="950" spans="1:5" x14ac:dyDescent="0.25">
      <c r="A950">
        <v>952</v>
      </c>
      <c r="B950" t="s">
        <v>9437</v>
      </c>
      <c r="C950" t="s">
        <v>68</v>
      </c>
      <c r="D950">
        <v>40</v>
      </c>
      <c r="E950">
        <v>0</v>
      </c>
    </row>
    <row r="951" spans="1:5" x14ac:dyDescent="0.25">
      <c r="A951" s="32">
        <v>953</v>
      </c>
      <c r="B951" s="32" t="s">
        <v>9438</v>
      </c>
      <c r="C951" s="32" t="s">
        <v>49</v>
      </c>
      <c r="D951" s="32">
        <v>184</v>
      </c>
      <c r="E951" s="32">
        <v>0</v>
      </c>
    </row>
    <row r="952" spans="1:5" x14ac:dyDescent="0.25">
      <c r="A952">
        <v>954</v>
      </c>
      <c r="B952" t="s">
        <v>9438</v>
      </c>
      <c r="C952" t="s">
        <v>6925</v>
      </c>
      <c r="D952">
        <v>184</v>
      </c>
      <c r="E952">
        <v>0</v>
      </c>
    </row>
    <row r="953" spans="1:5" x14ac:dyDescent="0.25">
      <c r="A953" s="32">
        <v>955</v>
      </c>
      <c r="B953" s="32" t="s">
        <v>9438</v>
      </c>
      <c r="C953" s="32" t="s">
        <v>51</v>
      </c>
      <c r="D953" s="32">
        <v>30</v>
      </c>
      <c r="E953" s="32">
        <v>0</v>
      </c>
    </row>
    <row r="954" spans="1:5" x14ac:dyDescent="0.25">
      <c r="A954">
        <v>956</v>
      </c>
      <c r="B954" t="s">
        <v>9438</v>
      </c>
      <c r="C954" t="s">
        <v>6928</v>
      </c>
      <c r="D954">
        <v>60</v>
      </c>
      <c r="E954">
        <v>0</v>
      </c>
    </row>
    <row r="955" spans="1:5" x14ac:dyDescent="0.25">
      <c r="A955" s="32">
        <v>957</v>
      </c>
      <c r="B955" s="32" t="s">
        <v>9438</v>
      </c>
      <c r="C955" s="32" t="s">
        <v>54</v>
      </c>
      <c r="D955" s="32">
        <v>248</v>
      </c>
      <c r="E955" s="32">
        <v>0</v>
      </c>
    </row>
    <row r="956" spans="1:5" x14ac:dyDescent="0.25">
      <c r="A956">
        <v>958</v>
      </c>
      <c r="B956" t="s">
        <v>9438</v>
      </c>
      <c r="C956" t="s">
        <v>55</v>
      </c>
      <c r="D956">
        <v>248</v>
      </c>
      <c r="E956">
        <v>0</v>
      </c>
    </row>
    <row r="957" spans="1:5" x14ac:dyDescent="0.25">
      <c r="A957" s="32">
        <v>959</v>
      </c>
      <c r="B957" s="32" t="s">
        <v>9439</v>
      </c>
      <c r="C957" s="32" t="s">
        <v>6932</v>
      </c>
      <c r="D957" s="32">
        <v>10</v>
      </c>
      <c r="E957" s="32">
        <v>0</v>
      </c>
    </row>
    <row r="958" spans="1:5" x14ac:dyDescent="0.25">
      <c r="A958">
        <v>960</v>
      </c>
      <c r="B958" t="s">
        <v>9440</v>
      </c>
      <c r="C958" t="s">
        <v>31</v>
      </c>
      <c r="D958">
        <v>10</v>
      </c>
      <c r="E958">
        <v>0</v>
      </c>
    </row>
    <row r="959" spans="1:5" x14ac:dyDescent="0.25">
      <c r="A959" s="32">
        <v>961</v>
      </c>
      <c r="B959" s="32" t="s">
        <v>9441</v>
      </c>
      <c r="C959" s="32" t="s">
        <v>6935</v>
      </c>
      <c r="D959" s="32">
        <v>20</v>
      </c>
      <c r="E959" s="32">
        <v>0</v>
      </c>
    </row>
    <row r="960" spans="1:5" x14ac:dyDescent="0.25">
      <c r="A960">
        <v>962</v>
      </c>
      <c r="B960" t="s">
        <v>9441</v>
      </c>
      <c r="C960" t="s">
        <v>58</v>
      </c>
      <c r="D960">
        <v>6</v>
      </c>
      <c r="E960">
        <v>0</v>
      </c>
    </row>
    <row r="961" spans="1:5" x14ac:dyDescent="0.25">
      <c r="A961" s="32">
        <v>963</v>
      </c>
      <c r="B961" s="32" t="s">
        <v>9441</v>
      </c>
      <c r="C961" s="32" t="s">
        <v>6938</v>
      </c>
      <c r="D961" s="32">
        <v>12</v>
      </c>
      <c r="E961" s="32">
        <v>0</v>
      </c>
    </row>
    <row r="962" spans="1:5" x14ac:dyDescent="0.25">
      <c r="A962">
        <v>964</v>
      </c>
      <c r="B962" t="s">
        <v>9441</v>
      </c>
      <c r="C962" t="s">
        <v>59</v>
      </c>
      <c r="D962">
        <v>4</v>
      </c>
      <c r="E962">
        <v>0</v>
      </c>
    </row>
    <row r="963" spans="1:5" x14ac:dyDescent="0.25">
      <c r="A963" s="32">
        <v>965</v>
      </c>
      <c r="B963" s="32" t="s">
        <v>9441</v>
      </c>
      <c r="C963" s="32" t="s">
        <v>6941</v>
      </c>
      <c r="D963" s="32">
        <v>3</v>
      </c>
      <c r="E963" s="32">
        <v>0</v>
      </c>
    </row>
    <row r="964" spans="1:5" x14ac:dyDescent="0.25">
      <c r="A964">
        <v>966</v>
      </c>
      <c r="B964" t="s">
        <v>9441</v>
      </c>
      <c r="C964" t="s">
        <v>80</v>
      </c>
      <c r="D964">
        <v>4</v>
      </c>
      <c r="E964">
        <v>0</v>
      </c>
    </row>
    <row r="965" spans="1:5" x14ac:dyDescent="0.25">
      <c r="A965" s="32">
        <v>967</v>
      </c>
      <c r="B965" s="32" t="s">
        <v>9442</v>
      </c>
      <c r="C965" s="32" t="s">
        <v>6944</v>
      </c>
      <c r="D965" s="32">
        <v>12</v>
      </c>
      <c r="E965" s="32">
        <v>0</v>
      </c>
    </row>
    <row r="966" spans="1:5" x14ac:dyDescent="0.25">
      <c r="A966">
        <v>968</v>
      </c>
      <c r="B966" t="s">
        <v>9442</v>
      </c>
      <c r="C966" t="s">
        <v>28</v>
      </c>
      <c r="D966">
        <v>25</v>
      </c>
      <c r="E966">
        <v>0</v>
      </c>
    </row>
    <row r="967" spans="1:5" x14ac:dyDescent="0.25">
      <c r="A967" s="32">
        <v>969</v>
      </c>
      <c r="B967" s="32" t="s">
        <v>9442</v>
      </c>
      <c r="C967" s="32" t="s">
        <v>6947</v>
      </c>
      <c r="D967" s="32">
        <v>20</v>
      </c>
      <c r="E967" s="32">
        <v>0</v>
      </c>
    </row>
    <row r="968" spans="1:5" x14ac:dyDescent="0.25">
      <c r="A968">
        <v>970</v>
      </c>
      <c r="B968" t="s">
        <v>9442</v>
      </c>
      <c r="C968" t="s">
        <v>6949</v>
      </c>
      <c r="D968">
        <v>20</v>
      </c>
      <c r="E968">
        <v>0</v>
      </c>
    </row>
    <row r="969" spans="1:5" x14ac:dyDescent="0.25">
      <c r="A969" s="32">
        <v>971</v>
      </c>
      <c r="B969" s="32" t="s">
        <v>9442</v>
      </c>
      <c r="C969" s="32" t="s">
        <v>6951</v>
      </c>
      <c r="D969" s="32">
        <v>3</v>
      </c>
      <c r="E969" s="32">
        <v>0</v>
      </c>
    </row>
    <row r="970" spans="1:5" x14ac:dyDescent="0.25">
      <c r="A970">
        <v>972</v>
      </c>
      <c r="B970" t="s">
        <v>9442</v>
      </c>
      <c r="C970" t="s">
        <v>6953</v>
      </c>
      <c r="D970">
        <v>3</v>
      </c>
      <c r="E970">
        <v>0</v>
      </c>
    </row>
    <row r="971" spans="1:5" x14ac:dyDescent="0.25">
      <c r="A971" s="32">
        <v>973</v>
      </c>
      <c r="B971" s="32" t="s">
        <v>9442</v>
      </c>
      <c r="C971" s="32" t="s">
        <v>6954</v>
      </c>
      <c r="D971" s="32">
        <v>10</v>
      </c>
      <c r="E971" s="32">
        <v>0</v>
      </c>
    </row>
    <row r="972" spans="1:5" x14ac:dyDescent="0.25">
      <c r="A972">
        <v>974</v>
      </c>
      <c r="B972" t="s">
        <v>9443</v>
      </c>
      <c r="C972" t="s">
        <v>6956</v>
      </c>
      <c r="D972">
        <v>6</v>
      </c>
      <c r="E972">
        <v>59</v>
      </c>
    </row>
    <row r="973" spans="1:5" x14ac:dyDescent="0.25">
      <c r="A973" s="32">
        <v>975</v>
      </c>
      <c r="B973" s="32" t="s">
        <v>9443</v>
      </c>
      <c r="C973" s="32" t="s">
        <v>60</v>
      </c>
      <c r="D973" s="32">
        <v>5</v>
      </c>
      <c r="E973" s="32">
        <v>47</v>
      </c>
    </row>
    <row r="974" spans="1:5" x14ac:dyDescent="0.25">
      <c r="A974">
        <v>976</v>
      </c>
      <c r="B974" t="s">
        <v>9443</v>
      </c>
      <c r="C974" t="s">
        <v>66</v>
      </c>
      <c r="D974">
        <v>6</v>
      </c>
      <c r="E974">
        <v>24</v>
      </c>
    </row>
    <row r="975" spans="1:5" x14ac:dyDescent="0.25">
      <c r="A975" s="32">
        <v>977</v>
      </c>
      <c r="B975" s="32" t="s">
        <v>9443</v>
      </c>
      <c r="C975" s="32" t="s">
        <v>67</v>
      </c>
      <c r="D975" s="32">
        <v>6</v>
      </c>
      <c r="E975" s="32">
        <v>64</v>
      </c>
    </row>
    <row r="976" spans="1:5" x14ac:dyDescent="0.25">
      <c r="A976">
        <v>978</v>
      </c>
      <c r="B976" t="s">
        <v>9443</v>
      </c>
      <c r="C976" t="s">
        <v>79</v>
      </c>
      <c r="D976">
        <v>4</v>
      </c>
      <c r="E976">
        <v>85</v>
      </c>
    </row>
    <row r="977" spans="1:5" x14ac:dyDescent="0.25">
      <c r="A977" s="32">
        <v>979</v>
      </c>
      <c r="B977" s="32" t="s">
        <v>9443</v>
      </c>
      <c r="C977" s="32" t="s">
        <v>84</v>
      </c>
      <c r="D977" s="32">
        <v>4</v>
      </c>
      <c r="E977" s="32">
        <v>73.5</v>
      </c>
    </row>
    <row r="978" spans="1:5" x14ac:dyDescent="0.25">
      <c r="A978">
        <v>980</v>
      </c>
      <c r="B978" t="s">
        <v>9443</v>
      </c>
      <c r="C978" t="s">
        <v>73</v>
      </c>
      <c r="D978">
        <v>4</v>
      </c>
      <c r="E978">
        <v>53.7</v>
      </c>
    </row>
    <row r="979" spans="1:5" x14ac:dyDescent="0.25">
      <c r="A979" s="32">
        <v>981</v>
      </c>
      <c r="B979" s="32" t="s">
        <v>9443</v>
      </c>
      <c r="C979" s="32" t="s">
        <v>85</v>
      </c>
      <c r="D979" s="32">
        <v>6</v>
      </c>
      <c r="E979" s="32">
        <v>88.5</v>
      </c>
    </row>
    <row r="980" spans="1:5" x14ac:dyDescent="0.25">
      <c r="A980">
        <v>982</v>
      </c>
      <c r="B980" t="s">
        <v>9443</v>
      </c>
      <c r="C980" t="s">
        <v>86</v>
      </c>
      <c r="D980">
        <v>4</v>
      </c>
      <c r="E980">
        <v>94.5</v>
      </c>
    </row>
    <row r="981" spans="1:5" x14ac:dyDescent="0.25">
      <c r="A981" s="32">
        <v>983</v>
      </c>
      <c r="B981" s="32" t="s">
        <v>9443</v>
      </c>
      <c r="C981" s="32" t="s">
        <v>6966</v>
      </c>
      <c r="D981" s="32">
        <v>12</v>
      </c>
      <c r="E981" s="32">
        <v>27</v>
      </c>
    </row>
    <row r="982" spans="1:5" x14ac:dyDescent="0.25">
      <c r="A982">
        <v>984</v>
      </c>
      <c r="B982" t="s">
        <v>9443</v>
      </c>
      <c r="C982" t="s">
        <v>42</v>
      </c>
      <c r="D982">
        <v>5</v>
      </c>
      <c r="E982">
        <v>3.9</v>
      </c>
    </row>
    <row r="983" spans="1:5" x14ac:dyDescent="0.25">
      <c r="A983" s="32">
        <v>985</v>
      </c>
      <c r="B983" s="32" t="s">
        <v>9443</v>
      </c>
      <c r="C983" s="32" t="s">
        <v>6969</v>
      </c>
      <c r="D983" s="32">
        <v>12</v>
      </c>
      <c r="E983" s="32">
        <v>7.8</v>
      </c>
    </row>
    <row r="984" spans="1:5" x14ac:dyDescent="0.25">
      <c r="A984">
        <v>986</v>
      </c>
      <c r="B984" t="s">
        <v>9443</v>
      </c>
      <c r="C984" t="s">
        <v>6971</v>
      </c>
      <c r="D984">
        <v>12</v>
      </c>
      <c r="E984">
        <v>11.4</v>
      </c>
    </row>
    <row r="985" spans="1:5" x14ac:dyDescent="0.25">
      <c r="A985" s="32">
        <v>987</v>
      </c>
      <c r="B985" s="32" t="s">
        <v>9443</v>
      </c>
      <c r="C985" s="32" t="s">
        <v>6973</v>
      </c>
      <c r="D985" s="32">
        <v>20</v>
      </c>
      <c r="E985" s="32">
        <v>31.5</v>
      </c>
    </row>
    <row r="986" spans="1:5" x14ac:dyDescent="0.25">
      <c r="A986">
        <v>988</v>
      </c>
      <c r="B986" t="s">
        <v>9443</v>
      </c>
      <c r="C986" t="s">
        <v>81</v>
      </c>
      <c r="D986">
        <v>100</v>
      </c>
      <c r="E986">
        <v>33</v>
      </c>
    </row>
    <row r="987" spans="1:5" x14ac:dyDescent="0.25">
      <c r="A987" s="32">
        <v>989</v>
      </c>
      <c r="B987" s="32" t="s">
        <v>9443</v>
      </c>
      <c r="C987" s="32" t="s">
        <v>114</v>
      </c>
      <c r="D987" s="32">
        <v>4</v>
      </c>
      <c r="E987" s="32">
        <v>59.7</v>
      </c>
    </row>
    <row r="988" spans="1:5" x14ac:dyDescent="0.25">
      <c r="A988">
        <v>990</v>
      </c>
      <c r="B988" t="s">
        <v>9443</v>
      </c>
      <c r="C988" t="s">
        <v>6977</v>
      </c>
      <c r="D988">
        <v>15</v>
      </c>
      <c r="E988">
        <v>19.8</v>
      </c>
    </row>
    <row r="989" spans="1:5" x14ac:dyDescent="0.25">
      <c r="A989" s="32">
        <v>991</v>
      </c>
      <c r="B989" s="32" t="s">
        <v>9443</v>
      </c>
      <c r="C989" s="32" t="s">
        <v>6979</v>
      </c>
      <c r="D989" s="32">
        <v>3</v>
      </c>
      <c r="E989" s="32">
        <v>160</v>
      </c>
    </row>
    <row r="990" spans="1:5" x14ac:dyDescent="0.25">
      <c r="A990">
        <v>992</v>
      </c>
      <c r="B990" t="s">
        <v>9443</v>
      </c>
      <c r="C990" t="s">
        <v>6980</v>
      </c>
      <c r="D990">
        <v>16</v>
      </c>
      <c r="E990">
        <v>14.33</v>
      </c>
    </row>
    <row r="991" spans="1:5" x14ac:dyDescent="0.25">
      <c r="A991" s="32">
        <v>993</v>
      </c>
      <c r="B991" s="32" t="s">
        <v>9443</v>
      </c>
      <c r="C991" s="32" t="s">
        <v>110</v>
      </c>
      <c r="D991" s="32">
        <v>16</v>
      </c>
      <c r="E991" s="32">
        <v>14.33</v>
      </c>
    </row>
    <row r="992" spans="1:5" x14ac:dyDescent="0.25">
      <c r="A992">
        <v>994</v>
      </c>
      <c r="B992" t="s">
        <v>9443</v>
      </c>
      <c r="C992" t="s">
        <v>109</v>
      </c>
      <c r="D992">
        <v>16</v>
      </c>
      <c r="E992">
        <v>14.33</v>
      </c>
    </row>
    <row r="993" spans="1:5" x14ac:dyDescent="0.25">
      <c r="A993" s="32">
        <v>995</v>
      </c>
      <c r="B993" s="32" t="s">
        <v>9443</v>
      </c>
      <c r="C993" s="32" t="s">
        <v>82</v>
      </c>
      <c r="D993" s="32">
        <v>6</v>
      </c>
      <c r="E993" s="32">
        <v>7.04</v>
      </c>
    </row>
    <row r="994" spans="1:5" x14ac:dyDescent="0.25">
      <c r="A994">
        <v>996</v>
      </c>
      <c r="B994" t="s">
        <v>9443</v>
      </c>
      <c r="C994" t="s">
        <v>48</v>
      </c>
      <c r="D994">
        <v>6</v>
      </c>
      <c r="E994">
        <v>7.04</v>
      </c>
    </row>
    <row r="995" spans="1:5" x14ac:dyDescent="0.25">
      <c r="A995" s="32">
        <v>997</v>
      </c>
      <c r="B995" s="32" t="s">
        <v>9443</v>
      </c>
      <c r="C995" s="32" t="s">
        <v>35</v>
      </c>
      <c r="D995" s="32">
        <v>12</v>
      </c>
      <c r="E995" s="32">
        <v>11.52</v>
      </c>
    </row>
    <row r="996" spans="1:5" x14ac:dyDescent="0.25">
      <c r="A996">
        <v>998</v>
      </c>
      <c r="B996" t="s">
        <v>9443</v>
      </c>
      <c r="C996" t="s">
        <v>36</v>
      </c>
      <c r="D996">
        <v>12</v>
      </c>
      <c r="E996">
        <v>11.52</v>
      </c>
    </row>
    <row r="997" spans="1:5" x14ac:dyDescent="0.25">
      <c r="A997" s="32">
        <v>999</v>
      </c>
      <c r="B997" s="32" t="s">
        <v>9444</v>
      </c>
      <c r="C997" s="32" t="s">
        <v>6988</v>
      </c>
      <c r="D997" s="32">
        <v>4</v>
      </c>
      <c r="E997" s="32">
        <v>0</v>
      </c>
    </row>
    <row r="998" spans="1:5" x14ac:dyDescent="0.25">
      <c r="A998">
        <v>1000</v>
      </c>
      <c r="B998" t="s">
        <v>9445</v>
      </c>
      <c r="C998" t="s">
        <v>6990</v>
      </c>
      <c r="D998">
        <v>12</v>
      </c>
      <c r="E998">
        <v>0</v>
      </c>
    </row>
    <row r="999" spans="1:5" x14ac:dyDescent="0.25">
      <c r="A999" s="32">
        <v>1001</v>
      </c>
      <c r="B999" s="32" t="s">
        <v>9445</v>
      </c>
      <c r="C999" s="32" t="s">
        <v>6992</v>
      </c>
      <c r="D999" s="32">
        <v>14</v>
      </c>
      <c r="E999" s="32">
        <v>0</v>
      </c>
    </row>
    <row r="1000" spans="1:5" x14ac:dyDescent="0.25">
      <c r="A1000">
        <v>1002</v>
      </c>
      <c r="B1000" t="s">
        <v>9446</v>
      </c>
      <c r="C1000" t="s">
        <v>6994</v>
      </c>
      <c r="D1000">
        <v>14</v>
      </c>
      <c r="E1000">
        <v>0</v>
      </c>
    </row>
    <row r="1001" spans="1:5" x14ac:dyDescent="0.25">
      <c r="A1001" s="32">
        <v>1003</v>
      </c>
      <c r="B1001" s="32" t="s">
        <v>9446</v>
      </c>
      <c r="C1001" s="32" t="s">
        <v>90</v>
      </c>
      <c r="D1001" s="32">
        <v>16</v>
      </c>
      <c r="E1001" s="32">
        <v>0</v>
      </c>
    </row>
    <row r="1002" spans="1:5" x14ac:dyDescent="0.25">
      <c r="A1002">
        <v>1004</v>
      </c>
      <c r="B1002" t="s">
        <v>9446</v>
      </c>
      <c r="C1002" t="s">
        <v>89</v>
      </c>
      <c r="D1002">
        <v>16</v>
      </c>
      <c r="E1002">
        <v>0</v>
      </c>
    </row>
    <row r="1003" spans="1:5" x14ac:dyDescent="0.25">
      <c r="A1003" s="32">
        <v>1005</v>
      </c>
      <c r="B1003" s="32" t="s">
        <v>9446</v>
      </c>
      <c r="C1003" s="32" t="s">
        <v>6998</v>
      </c>
      <c r="D1003" s="32">
        <v>10</v>
      </c>
      <c r="E1003" s="32">
        <v>0</v>
      </c>
    </row>
    <row r="1004" spans="1:5" x14ac:dyDescent="0.25">
      <c r="A1004">
        <v>1006</v>
      </c>
      <c r="B1004" t="s">
        <v>9446</v>
      </c>
      <c r="C1004" t="s">
        <v>7000</v>
      </c>
      <c r="D1004">
        <v>16</v>
      </c>
      <c r="E1004">
        <v>0</v>
      </c>
    </row>
    <row r="1005" spans="1:5" x14ac:dyDescent="0.25">
      <c r="A1005" s="32">
        <v>1007</v>
      </c>
      <c r="B1005" s="32" t="s">
        <v>9446</v>
      </c>
      <c r="C1005" s="32" t="s">
        <v>7002</v>
      </c>
      <c r="D1005" s="32">
        <v>16</v>
      </c>
      <c r="E1005" s="32">
        <v>0</v>
      </c>
    </row>
    <row r="1006" spans="1:5" x14ac:dyDescent="0.25">
      <c r="A1006">
        <v>1008</v>
      </c>
      <c r="B1006" t="s">
        <v>9447</v>
      </c>
      <c r="C1006" t="s">
        <v>7004</v>
      </c>
      <c r="D1006">
        <v>16</v>
      </c>
      <c r="E1006">
        <v>0</v>
      </c>
    </row>
    <row r="1007" spans="1:5" x14ac:dyDescent="0.25">
      <c r="A1007" s="32">
        <v>1009</v>
      </c>
      <c r="B1007" s="32" t="s">
        <v>9447</v>
      </c>
      <c r="C1007" s="32" t="s">
        <v>7006</v>
      </c>
      <c r="D1007" s="32">
        <v>16</v>
      </c>
      <c r="E1007" s="32">
        <v>0</v>
      </c>
    </row>
    <row r="1008" spans="1:5" x14ac:dyDescent="0.25">
      <c r="A1008">
        <v>1010</v>
      </c>
      <c r="B1008" t="s">
        <v>9447</v>
      </c>
      <c r="C1008" t="s">
        <v>7008</v>
      </c>
      <c r="D1008">
        <v>16</v>
      </c>
      <c r="E1008">
        <v>0</v>
      </c>
    </row>
    <row r="1009" spans="1:5" x14ac:dyDescent="0.25">
      <c r="A1009" s="32">
        <v>1011</v>
      </c>
      <c r="B1009" s="32" t="s">
        <v>9447</v>
      </c>
      <c r="C1009" s="32" t="s">
        <v>53</v>
      </c>
      <c r="D1009" s="32">
        <v>16</v>
      </c>
      <c r="E1009" s="32">
        <v>0</v>
      </c>
    </row>
    <row r="1010" spans="1:5" x14ac:dyDescent="0.25">
      <c r="A1010">
        <v>1012</v>
      </c>
      <c r="B1010" t="s">
        <v>9447</v>
      </c>
      <c r="C1010" t="s">
        <v>65</v>
      </c>
      <c r="D1010">
        <v>16</v>
      </c>
      <c r="E1010">
        <v>0</v>
      </c>
    </row>
    <row r="1011" spans="1:5" x14ac:dyDescent="0.25">
      <c r="A1011" s="32">
        <v>1013</v>
      </c>
      <c r="B1011" s="32" t="s">
        <v>9447</v>
      </c>
      <c r="C1011" s="32" t="s">
        <v>7012</v>
      </c>
      <c r="D1011" s="32">
        <v>6</v>
      </c>
      <c r="E1011" s="32">
        <v>0</v>
      </c>
    </row>
    <row r="1012" spans="1:5" x14ac:dyDescent="0.25">
      <c r="A1012">
        <v>1014</v>
      </c>
      <c r="B1012" t="s">
        <v>9447</v>
      </c>
      <c r="C1012" t="s">
        <v>7014</v>
      </c>
      <c r="D1012">
        <v>6</v>
      </c>
      <c r="E1012">
        <v>0</v>
      </c>
    </row>
    <row r="1013" spans="1:5" x14ac:dyDescent="0.25">
      <c r="A1013" s="32">
        <v>1015</v>
      </c>
      <c r="B1013" s="32" t="s">
        <v>9447</v>
      </c>
      <c r="C1013" s="32" t="s">
        <v>7016</v>
      </c>
      <c r="D1013" s="32">
        <v>6</v>
      </c>
      <c r="E1013" s="32">
        <v>0</v>
      </c>
    </row>
    <row r="1014" spans="1:5" x14ac:dyDescent="0.25">
      <c r="A1014">
        <v>1016</v>
      </c>
      <c r="B1014" t="s">
        <v>9447</v>
      </c>
      <c r="C1014" t="s">
        <v>45</v>
      </c>
      <c r="D1014">
        <v>8</v>
      </c>
      <c r="E1014">
        <v>0</v>
      </c>
    </row>
    <row r="1015" spans="1:5" x14ac:dyDescent="0.25">
      <c r="A1015" s="32">
        <v>1017</v>
      </c>
      <c r="B1015" s="32" t="s">
        <v>9447</v>
      </c>
      <c r="C1015" s="32" t="s">
        <v>27</v>
      </c>
      <c r="D1015" s="32">
        <v>4</v>
      </c>
      <c r="E1015" s="32">
        <v>0</v>
      </c>
    </row>
    <row r="1016" spans="1:5" x14ac:dyDescent="0.25">
      <c r="A1016">
        <v>1018</v>
      </c>
      <c r="B1016" t="s">
        <v>9447</v>
      </c>
      <c r="C1016" t="s">
        <v>7020</v>
      </c>
      <c r="D1016">
        <v>16</v>
      </c>
      <c r="E1016">
        <v>0</v>
      </c>
    </row>
    <row r="1017" spans="1:5" x14ac:dyDescent="0.25">
      <c r="A1017" s="32">
        <v>1019</v>
      </c>
      <c r="B1017" s="32" t="s">
        <v>9447</v>
      </c>
      <c r="C1017" s="32" t="s">
        <v>7022</v>
      </c>
      <c r="D1017" s="32">
        <v>16</v>
      </c>
      <c r="E1017" s="32">
        <v>0</v>
      </c>
    </row>
    <row r="1018" spans="1:5" x14ac:dyDescent="0.25">
      <c r="A1018">
        <v>1020</v>
      </c>
      <c r="B1018" t="s">
        <v>9448</v>
      </c>
      <c r="C1018" t="s">
        <v>95</v>
      </c>
      <c r="D1018">
        <v>3</v>
      </c>
      <c r="E1018">
        <v>50</v>
      </c>
    </row>
    <row r="1019" spans="1:5" x14ac:dyDescent="0.25">
      <c r="A1019" s="32">
        <v>1021</v>
      </c>
      <c r="B1019" s="32" t="s">
        <v>9448</v>
      </c>
      <c r="C1019" s="32" t="s">
        <v>7024</v>
      </c>
      <c r="D1019" s="32">
        <v>4</v>
      </c>
      <c r="E1019" s="32">
        <v>0</v>
      </c>
    </row>
    <row r="1020" spans="1:5" x14ac:dyDescent="0.25">
      <c r="A1020">
        <v>1022</v>
      </c>
      <c r="B1020" t="s">
        <v>9449</v>
      </c>
      <c r="C1020" t="s">
        <v>7026</v>
      </c>
      <c r="D1020">
        <v>10</v>
      </c>
      <c r="E1020">
        <v>1.5</v>
      </c>
    </row>
    <row r="1021" spans="1:5" x14ac:dyDescent="0.25">
      <c r="A1021" s="32">
        <v>1023</v>
      </c>
      <c r="B1021" s="32" t="s">
        <v>9449</v>
      </c>
      <c r="C1021" s="32" t="s">
        <v>71</v>
      </c>
      <c r="D1021" s="32">
        <v>12</v>
      </c>
      <c r="E1021" s="32">
        <v>8</v>
      </c>
    </row>
    <row r="1022" spans="1:5" x14ac:dyDescent="0.25">
      <c r="A1022">
        <v>1024</v>
      </c>
      <c r="B1022" t="s">
        <v>9449</v>
      </c>
      <c r="C1022" t="s">
        <v>94</v>
      </c>
      <c r="D1022">
        <v>12</v>
      </c>
      <c r="E1022">
        <v>6</v>
      </c>
    </row>
    <row r="1023" spans="1:5" x14ac:dyDescent="0.25">
      <c r="A1023" s="32">
        <v>1025</v>
      </c>
      <c r="B1023" s="32" t="s">
        <v>9449</v>
      </c>
      <c r="C1023" s="32" t="s">
        <v>101</v>
      </c>
      <c r="D1023" s="32">
        <v>7</v>
      </c>
      <c r="E1023" s="32">
        <v>2.5</v>
      </c>
    </row>
    <row r="1024" spans="1:5" x14ac:dyDescent="0.25">
      <c r="A1024">
        <v>1026</v>
      </c>
      <c r="B1024" t="s">
        <v>9449</v>
      </c>
      <c r="C1024" t="s">
        <v>7031</v>
      </c>
      <c r="D1024">
        <v>12</v>
      </c>
      <c r="E1024">
        <v>2</v>
      </c>
    </row>
    <row r="1025" spans="1:5" x14ac:dyDescent="0.25">
      <c r="A1025" s="32">
        <v>1027</v>
      </c>
      <c r="B1025" s="32" t="s">
        <v>9450</v>
      </c>
      <c r="C1025" s="32" t="s">
        <v>7033</v>
      </c>
      <c r="D1025" s="32">
        <v>10</v>
      </c>
      <c r="E1025" s="32">
        <v>0</v>
      </c>
    </row>
    <row r="1026" spans="1:5" x14ac:dyDescent="0.25">
      <c r="A1026">
        <v>1028</v>
      </c>
      <c r="B1026" t="s">
        <v>9451</v>
      </c>
      <c r="C1026" t="s">
        <v>12</v>
      </c>
      <c r="D1026">
        <v>24</v>
      </c>
      <c r="E1026">
        <v>0</v>
      </c>
    </row>
    <row r="1027" spans="1:5" x14ac:dyDescent="0.25">
      <c r="A1027" s="32">
        <v>1029</v>
      </c>
      <c r="B1027" s="32" t="s">
        <v>9451</v>
      </c>
      <c r="C1027" s="32" t="s">
        <v>62</v>
      </c>
      <c r="D1027" s="32">
        <v>16</v>
      </c>
      <c r="E1027" s="32">
        <v>0</v>
      </c>
    </row>
    <row r="1028" spans="1:5" x14ac:dyDescent="0.25">
      <c r="A1028">
        <v>1030</v>
      </c>
      <c r="B1028" t="s">
        <v>9451</v>
      </c>
      <c r="C1028" t="s">
        <v>7037</v>
      </c>
      <c r="D1028">
        <v>16</v>
      </c>
      <c r="E1028">
        <v>0</v>
      </c>
    </row>
    <row r="1029" spans="1:5" x14ac:dyDescent="0.25">
      <c r="A1029" s="32">
        <v>1031</v>
      </c>
      <c r="B1029" s="32" t="s">
        <v>9451</v>
      </c>
      <c r="C1029" s="32" t="s">
        <v>22</v>
      </c>
      <c r="D1029" s="32">
        <v>16</v>
      </c>
      <c r="E1029" s="32">
        <v>0</v>
      </c>
    </row>
    <row r="1030" spans="1:5" x14ac:dyDescent="0.25">
      <c r="A1030">
        <v>1032</v>
      </c>
      <c r="B1030" t="s">
        <v>9451</v>
      </c>
      <c r="C1030" t="s">
        <v>70</v>
      </c>
      <c r="D1030">
        <v>16</v>
      </c>
      <c r="E1030">
        <v>0</v>
      </c>
    </row>
    <row r="1031" spans="1:5" x14ac:dyDescent="0.25">
      <c r="A1031" s="32">
        <v>1033</v>
      </c>
      <c r="B1031" s="32" t="s">
        <v>9451</v>
      </c>
      <c r="C1031" s="32" t="s">
        <v>30</v>
      </c>
      <c r="D1031" s="32">
        <v>40</v>
      </c>
      <c r="E1031" s="32">
        <v>0</v>
      </c>
    </row>
    <row r="1032" spans="1:5" x14ac:dyDescent="0.25">
      <c r="A1032">
        <v>1034</v>
      </c>
      <c r="B1032" t="s">
        <v>9451</v>
      </c>
      <c r="C1032" t="s">
        <v>7042</v>
      </c>
      <c r="D1032">
        <v>16</v>
      </c>
      <c r="E1032">
        <v>0</v>
      </c>
    </row>
    <row r="1033" spans="1:5" x14ac:dyDescent="0.25">
      <c r="A1033" s="32">
        <v>1035</v>
      </c>
      <c r="B1033" s="32" t="s">
        <v>9451</v>
      </c>
      <c r="C1033" s="32" t="s">
        <v>26</v>
      </c>
      <c r="D1033" s="32">
        <v>18</v>
      </c>
      <c r="E1033" s="32">
        <v>0</v>
      </c>
    </row>
    <row r="1034" spans="1:5" x14ac:dyDescent="0.25">
      <c r="A1034">
        <v>1036</v>
      </c>
      <c r="B1034" t="s">
        <v>9451</v>
      </c>
      <c r="C1034" t="s">
        <v>7045</v>
      </c>
      <c r="D1034">
        <v>10</v>
      </c>
      <c r="E1034">
        <v>0</v>
      </c>
    </row>
    <row r="1035" spans="1:5" x14ac:dyDescent="0.25">
      <c r="A1035" s="32">
        <v>1037</v>
      </c>
      <c r="B1035" s="32" t="s">
        <v>9451</v>
      </c>
      <c r="C1035" s="32" t="s">
        <v>7047</v>
      </c>
      <c r="D1035" s="32">
        <v>10</v>
      </c>
      <c r="E1035" s="32">
        <v>0</v>
      </c>
    </row>
    <row r="1036" spans="1:5" x14ac:dyDescent="0.25">
      <c r="A1036">
        <v>1038</v>
      </c>
      <c r="B1036" t="s">
        <v>9451</v>
      </c>
      <c r="C1036" t="s">
        <v>7172</v>
      </c>
      <c r="D1036">
        <v>10</v>
      </c>
      <c r="E1036">
        <v>0</v>
      </c>
    </row>
    <row r="1037" spans="1:5" x14ac:dyDescent="0.25">
      <c r="A1037" s="32">
        <v>1039</v>
      </c>
      <c r="B1037" s="32" t="s">
        <v>9451</v>
      </c>
      <c r="C1037" s="32" t="s">
        <v>7174</v>
      </c>
      <c r="D1037" s="32">
        <v>10</v>
      </c>
      <c r="E1037" s="32">
        <v>0</v>
      </c>
    </row>
    <row r="1038" spans="1:5" x14ac:dyDescent="0.25">
      <c r="A1038">
        <v>1040</v>
      </c>
      <c r="B1038" t="s">
        <v>9452</v>
      </c>
      <c r="C1038" t="s">
        <v>7176</v>
      </c>
      <c r="D1038">
        <v>10</v>
      </c>
      <c r="E1038">
        <v>0</v>
      </c>
    </row>
    <row r="1039" spans="1:5" x14ac:dyDescent="0.25">
      <c r="A1039" s="32">
        <v>1041</v>
      </c>
      <c r="B1039" s="32" t="s">
        <v>9452</v>
      </c>
      <c r="C1039" s="32" t="s">
        <v>7178</v>
      </c>
      <c r="D1039" s="32">
        <v>10</v>
      </c>
      <c r="E1039" s="32">
        <v>0</v>
      </c>
    </row>
    <row r="1040" spans="1:5" x14ac:dyDescent="0.25">
      <c r="A1040">
        <v>1042</v>
      </c>
      <c r="B1040" t="s">
        <v>9452</v>
      </c>
      <c r="C1040" t="s">
        <v>7179</v>
      </c>
      <c r="D1040">
        <v>10</v>
      </c>
      <c r="E1040">
        <v>0</v>
      </c>
    </row>
    <row r="1041" spans="1:5" x14ac:dyDescent="0.25">
      <c r="A1041" s="32">
        <v>1043</v>
      </c>
      <c r="B1041" s="32" t="s">
        <v>9452</v>
      </c>
      <c r="C1041" s="32" t="s">
        <v>7180</v>
      </c>
      <c r="D1041" s="32">
        <v>10</v>
      </c>
      <c r="E1041" s="32">
        <v>0</v>
      </c>
    </row>
    <row r="1042" spans="1:5" x14ac:dyDescent="0.25">
      <c r="A1042">
        <v>1044</v>
      </c>
      <c r="B1042" t="s">
        <v>9452</v>
      </c>
      <c r="C1042" t="s">
        <v>7181</v>
      </c>
      <c r="D1042">
        <v>10</v>
      </c>
      <c r="E1042">
        <v>0</v>
      </c>
    </row>
    <row r="1043" spans="1:5" x14ac:dyDescent="0.25">
      <c r="A1043" s="32">
        <v>1045</v>
      </c>
      <c r="B1043" s="32" t="s">
        <v>9452</v>
      </c>
      <c r="C1043" s="32" t="s">
        <v>7182</v>
      </c>
      <c r="D1043" s="32">
        <v>10</v>
      </c>
      <c r="E1043" s="32">
        <v>0</v>
      </c>
    </row>
    <row r="1044" spans="1:5" x14ac:dyDescent="0.25">
      <c r="A1044">
        <v>1046</v>
      </c>
      <c r="B1044" t="s">
        <v>9452</v>
      </c>
      <c r="C1044" t="s">
        <v>7183</v>
      </c>
      <c r="D1044">
        <v>24</v>
      </c>
      <c r="E1044">
        <v>0</v>
      </c>
    </row>
    <row r="1045" spans="1:5" x14ac:dyDescent="0.25">
      <c r="A1045" s="32">
        <v>1047</v>
      </c>
      <c r="B1045" s="32" t="s">
        <v>9453</v>
      </c>
      <c r="C1045" s="32" t="s">
        <v>7184</v>
      </c>
      <c r="D1045" s="32">
        <v>36</v>
      </c>
      <c r="E1045" s="32">
        <v>0</v>
      </c>
    </row>
    <row r="1046" spans="1:5" x14ac:dyDescent="0.25">
      <c r="A1046">
        <v>1048</v>
      </c>
      <c r="B1046" t="s">
        <v>9453</v>
      </c>
      <c r="C1046" t="s">
        <v>7185</v>
      </c>
      <c r="D1046">
        <v>5</v>
      </c>
      <c r="E1046">
        <v>0</v>
      </c>
    </row>
    <row r="1047" spans="1:5" x14ac:dyDescent="0.25">
      <c r="A1047" s="32">
        <v>1049</v>
      </c>
      <c r="B1047" s="32" t="s">
        <v>9453</v>
      </c>
      <c r="C1047" s="32" t="s">
        <v>7186</v>
      </c>
      <c r="D1047" s="32">
        <v>5</v>
      </c>
      <c r="E1047" s="32">
        <v>0</v>
      </c>
    </row>
    <row r="1048" spans="1:5" x14ac:dyDescent="0.25">
      <c r="A1048">
        <v>1050</v>
      </c>
      <c r="B1048" t="s">
        <v>9453</v>
      </c>
      <c r="C1048" t="s">
        <v>7187</v>
      </c>
      <c r="D1048">
        <v>5</v>
      </c>
      <c r="E1048">
        <v>0</v>
      </c>
    </row>
    <row r="1049" spans="1:5" x14ac:dyDescent="0.25">
      <c r="A1049" s="32">
        <v>1051</v>
      </c>
      <c r="B1049" s="32" t="s">
        <v>9453</v>
      </c>
      <c r="C1049" s="32" t="s">
        <v>7188</v>
      </c>
      <c r="D1049" s="32">
        <v>5</v>
      </c>
      <c r="E1049" s="32">
        <v>0</v>
      </c>
    </row>
    <row r="1050" spans="1:5" x14ac:dyDescent="0.25">
      <c r="A1050">
        <v>1052</v>
      </c>
      <c r="B1050" t="s">
        <v>9453</v>
      </c>
      <c r="C1050" t="s">
        <v>7190</v>
      </c>
      <c r="D1050">
        <v>6</v>
      </c>
      <c r="E1050">
        <v>0</v>
      </c>
    </row>
    <row r="1051" spans="1:5" x14ac:dyDescent="0.25">
      <c r="A1051" s="32">
        <v>1053</v>
      </c>
      <c r="B1051" s="32" t="s">
        <v>9453</v>
      </c>
      <c r="C1051" s="32" t="s">
        <v>7192</v>
      </c>
      <c r="D1051" s="32">
        <v>12</v>
      </c>
      <c r="E1051" s="32">
        <v>0</v>
      </c>
    </row>
    <row r="1052" spans="1:5" x14ac:dyDescent="0.25">
      <c r="A1052">
        <v>1054</v>
      </c>
      <c r="B1052" t="s">
        <v>9453</v>
      </c>
      <c r="C1052" t="s">
        <v>7194</v>
      </c>
      <c r="D1052">
        <v>6</v>
      </c>
      <c r="E1052">
        <v>0</v>
      </c>
    </row>
    <row r="1053" spans="1:5" x14ac:dyDescent="0.25">
      <c r="A1053" s="32">
        <v>1055</v>
      </c>
      <c r="B1053" s="32" t="s">
        <v>9453</v>
      </c>
      <c r="C1053" s="32" t="s">
        <v>7196</v>
      </c>
      <c r="D1053" s="32">
        <v>10</v>
      </c>
      <c r="E1053" s="32">
        <v>0</v>
      </c>
    </row>
    <row r="1054" spans="1:5" x14ac:dyDescent="0.25">
      <c r="A1054">
        <v>1056</v>
      </c>
      <c r="B1054" t="s">
        <v>9453</v>
      </c>
      <c r="C1054" t="s">
        <v>7198</v>
      </c>
      <c r="D1054">
        <v>6</v>
      </c>
      <c r="E1054">
        <v>0</v>
      </c>
    </row>
    <row r="1055" spans="1:5" x14ac:dyDescent="0.25">
      <c r="A1055" s="32">
        <v>1057</v>
      </c>
      <c r="B1055" s="32" t="s">
        <v>9453</v>
      </c>
      <c r="C1055" s="32" t="s">
        <v>7200</v>
      </c>
      <c r="D1055" s="32">
        <v>10</v>
      </c>
      <c r="E1055" s="32">
        <v>0</v>
      </c>
    </row>
    <row r="1056" spans="1:5" x14ac:dyDescent="0.25">
      <c r="A1056">
        <v>1058</v>
      </c>
      <c r="B1056" t="s">
        <v>9454</v>
      </c>
      <c r="C1056" t="s">
        <v>7202</v>
      </c>
      <c r="D1056">
        <v>8</v>
      </c>
      <c r="E1056">
        <v>0</v>
      </c>
    </row>
    <row r="1057" spans="1:5" x14ac:dyDescent="0.25">
      <c r="A1057" s="32">
        <v>1059</v>
      </c>
      <c r="B1057" s="32" t="s">
        <v>9454</v>
      </c>
      <c r="C1057" s="32" t="s">
        <v>7204</v>
      </c>
      <c r="D1057" s="32">
        <v>10</v>
      </c>
      <c r="E1057" s="32">
        <v>0</v>
      </c>
    </row>
    <row r="1058" spans="1:5" x14ac:dyDescent="0.25">
      <c r="A1058">
        <v>1060</v>
      </c>
      <c r="B1058" t="s">
        <v>9454</v>
      </c>
      <c r="C1058" t="s">
        <v>7206</v>
      </c>
      <c r="D1058">
        <v>12</v>
      </c>
      <c r="E1058">
        <v>0</v>
      </c>
    </row>
    <row r="1059" spans="1:5" x14ac:dyDescent="0.25">
      <c r="A1059" s="32">
        <v>1061</v>
      </c>
      <c r="B1059" s="32" t="s">
        <v>9454</v>
      </c>
      <c r="C1059" s="32" t="s">
        <v>7208</v>
      </c>
      <c r="D1059" s="32">
        <v>6</v>
      </c>
      <c r="E1059" s="32">
        <v>0</v>
      </c>
    </row>
    <row r="1060" spans="1:5" x14ac:dyDescent="0.25">
      <c r="A1060">
        <v>1062</v>
      </c>
      <c r="B1060" t="s">
        <v>9454</v>
      </c>
      <c r="C1060" t="s">
        <v>7210</v>
      </c>
      <c r="D1060">
        <v>12</v>
      </c>
      <c r="E1060">
        <v>0</v>
      </c>
    </row>
    <row r="1061" spans="1:5" x14ac:dyDescent="0.25">
      <c r="A1061" s="32">
        <v>1063</v>
      </c>
      <c r="B1061" s="32" t="s">
        <v>9454</v>
      </c>
      <c r="C1061" s="32" t="s">
        <v>7212</v>
      </c>
      <c r="D1061" s="32">
        <v>8</v>
      </c>
      <c r="E1061" s="32">
        <v>0</v>
      </c>
    </row>
    <row r="1062" spans="1:5" x14ac:dyDescent="0.25">
      <c r="A1062">
        <v>1064</v>
      </c>
      <c r="B1062" t="s">
        <v>9448</v>
      </c>
      <c r="C1062" t="s">
        <v>7214</v>
      </c>
      <c r="D1062">
        <v>3</v>
      </c>
      <c r="E1062">
        <v>0</v>
      </c>
    </row>
    <row r="1063" spans="1:5" x14ac:dyDescent="0.25">
      <c r="A1063" s="32">
        <v>1065</v>
      </c>
      <c r="B1063" s="32" t="s">
        <v>9448</v>
      </c>
      <c r="C1063" s="32" t="s">
        <v>7215</v>
      </c>
      <c r="D1063" s="32">
        <v>4</v>
      </c>
      <c r="E1063" s="32">
        <v>40</v>
      </c>
    </row>
    <row r="1064" spans="1:5" x14ac:dyDescent="0.25">
      <c r="A1064">
        <v>1066</v>
      </c>
      <c r="B1064" t="s">
        <v>9448</v>
      </c>
      <c r="C1064" t="s">
        <v>7217</v>
      </c>
      <c r="D1064">
        <v>4</v>
      </c>
      <c r="E1064">
        <v>0</v>
      </c>
    </row>
    <row r="1065" spans="1:5" x14ac:dyDescent="0.25">
      <c r="A1065" s="32">
        <v>1067</v>
      </c>
      <c r="B1065" s="32" t="s">
        <v>9455</v>
      </c>
      <c r="C1065" s="32" t="s">
        <v>7219</v>
      </c>
      <c r="D1065" s="32">
        <v>10</v>
      </c>
      <c r="E1065" s="32">
        <v>0</v>
      </c>
    </row>
    <row r="1066" spans="1:5" x14ac:dyDescent="0.25">
      <c r="A1066">
        <v>1068</v>
      </c>
      <c r="B1066" t="s">
        <v>9455</v>
      </c>
      <c r="C1066" t="s">
        <v>7221</v>
      </c>
      <c r="D1066">
        <v>10</v>
      </c>
      <c r="E1066">
        <v>0</v>
      </c>
    </row>
    <row r="1067" spans="1:5" x14ac:dyDescent="0.25">
      <c r="A1067" s="32">
        <v>1069</v>
      </c>
      <c r="B1067" s="32" t="s">
        <v>9455</v>
      </c>
      <c r="C1067" s="32" t="s">
        <v>7223</v>
      </c>
      <c r="D1067" s="32">
        <v>24</v>
      </c>
      <c r="E1067" s="32">
        <v>0</v>
      </c>
    </row>
    <row r="1068" spans="1:5" x14ac:dyDescent="0.25">
      <c r="A1068">
        <v>1070</v>
      </c>
      <c r="B1068" t="s">
        <v>9455</v>
      </c>
      <c r="C1068" t="s">
        <v>7225</v>
      </c>
      <c r="D1068">
        <v>32</v>
      </c>
      <c r="E1068">
        <v>0</v>
      </c>
    </row>
    <row r="1069" spans="1:5" x14ac:dyDescent="0.25">
      <c r="A1069" s="32">
        <v>1071</v>
      </c>
      <c r="B1069" s="32" t="s">
        <v>9455</v>
      </c>
      <c r="C1069" s="32" t="s">
        <v>7227</v>
      </c>
      <c r="D1069" s="32">
        <v>24</v>
      </c>
      <c r="E1069" s="32">
        <v>0</v>
      </c>
    </row>
    <row r="1070" spans="1:5" x14ac:dyDescent="0.25">
      <c r="A1070">
        <v>1072</v>
      </c>
      <c r="B1070" t="s">
        <v>9455</v>
      </c>
      <c r="C1070" t="s">
        <v>7229</v>
      </c>
      <c r="D1070">
        <v>6</v>
      </c>
      <c r="E1070">
        <v>0</v>
      </c>
    </row>
    <row r="1071" spans="1:5" x14ac:dyDescent="0.25">
      <c r="A1071" s="32">
        <v>1073</v>
      </c>
      <c r="B1071" s="32" t="s">
        <v>9455</v>
      </c>
      <c r="C1071" s="32" t="s">
        <v>7231</v>
      </c>
      <c r="D1071" s="32">
        <v>6</v>
      </c>
      <c r="E1071" s="32">
        <v>0</v>
      </c>
    </row>
    <row r="1072" spans="1:5" x14ac:dyDescent="0.25">
      <c r="A1072">
        <v>1074</v>
      </c>
      <c r="B1072" t="s">
        <v>9455</v>
      </c>
      <c r="C1072" t="s">
        <v>7233</v>
      </c>
      <c r="D1072">
        <v>10</v>
      </c>
      <c r="E1072">
        <v>0</v>
      </c>
    </row>
    <row r="1073" spans="1:5" x14ac:dyDescent="0.25">
      <c r="A1073" s="32">
        <v>1075</v>
      </c>
      <c r="B1073" s="32" t="s">
        <v>9455</v>
      </c>
      <c r="C1073" s="32" t="s">
        <v>7235</v>
      </c>
      <c r="D1073" s="32">
        <v>12</v>
      </c>
      <c r="E1073" s="32">
        <v>0</v>
      </c>
    </row>
    <row r="1074" spans="1:5" x14ac:dyDescent="0.25">
      <c r="A1074">
        <v>1076</v>
      </c>
      <c r="B1074" t="s">
        <v>9455</v>
      </c>
      <c r="C1074" t="s">
        <v>7237</v>
      </c>
      <c r="D1074">
        <v>40</v>
      </c>
      <c r="E1074">
        <v>0</v>
      </c>
    </row>
    <row r="1075" spans="1:5" x14ac:dyDescent="0.25">
      <c r="A1075" s="32">
        <v>1077</v>
      </c>
      <c r="B1075" s="32" t="s">
        <v>9455</v>
      </c>
      <c r="C1075" s="32" t="s">
        <v>7239</v>
      </c>
      <c r="D1075" s="32">
        <v>24</v>
      </c>
      <c r="E1075" s="32">
        <v>0</v>
      </c>
    </row>
    <row r="1076" spans="1:5" x14ac:dyDescent="0.25">
      <c r="A1076">
        <v>1078</v>
      </c>
      <c r="B1076" t="s">
        <v>9455</v>
      </c>
      <c r="C1076" t="s">
        <v>7241</v>
      </c>
      <c r="D1076">
        <v>10</v>
      </c>
      <c r="E1076">
        <v>0</v>
      </c>
    </row>
    <row r="1077" spans="1:5" x14ac:dyDescent="0.25">
      <c r="A1077" s="32">
        <v>1079</v>
      </c>
      <c r="B1077" s="32" t="s">
        <v>9455</v>
      </c>
      <c r="C1077" s="32" t="s">
        <v>7243</v>
      </c>
      <c r="D1077" s="32">
        <v>10</v>
      </c>
      <c r="E1077" s="32">
        <v>0</v>
      </c>
    </row>
    <row r="1078" spans="1:5" x14ac:dyDescent="0.25">
      <c r="A1078">
        <v>1080</v>
      </c>
      <c r="B1078" t="s">
        <v>9455</v>
      </c>
      <c r="C1078" t="s">
        <v>7245</v>
      </c>
      <c r="D1078">
        <v>6</v>
      </c>
      <c r="E1078">
        <v>0</v>
      </c>
    </row>
    <row r="1079" spans="1:5" x14ac:dyDescent="0.25">
      <c r="A1079" s="32">
        <v>1081</v>
      </c>
      <c r="B1079" s="32" t="s">
        <v>9455</v>
      </c>
      <c r="C1079" s="32" t="s">
        <v>7247</v>
      </c>
      <c r="D1079" s="32">
        <v>3</v>
      </c>
      <c r="E1079" s="32">
        <v>0</v>
      </c>
    </row>
    <row r="1080" spans="1:5" x14ac:dyDescent="0.25">
      <c r="A1080">
        <v>1082</v>
      </c>
      <c r="B1080" t="s">
        <v>9456</v>
      </c>
      <c r="C1080" t="s">
        <v>7249</v>
      </c>
      <c r="D1080">
        <v>24</v>
      </c>
      <c r="E1080">
        <v>0</v>
      </c>
    </row>
    <row r="1081" spans="1:5" x14ac:dyDescent="0.25">
      <c r="A1081" s="32">
        <v>1083</v>
      </c>
      <c r="B1081" s="32" t="s">
        <v>9456</v>
      </c>
      <c r="C1081" s="32" t="s">
        <v>7251</v>
      </c>
      <c r="D1081" s="32">
        <v>16</v>
      </c>
      <c r="E1081" s="32">
        <v>0</v>
      </c>
    </row>
    <row r="1082" spans="1:5" x14ac:dyDescent="0.25">
      <c r="A1082">
        <v>1084</v>
      </c>
      <c r="B1082" t="s">
        <v>9456</v>
      </c>
      <c r="C1082" t="s">
        <v>7253</v>
      </c>
      <c r="D1082">
        <v>32</v>
      </c>
      <c r="E1082">
        <v>0</v>
      </c>
    </row>
    <row r="1083" spans="1:5" x14ac:dyDescent="0.25">
      <c r="A1083" s="32">
        <v>1085</v>
      </c>
      <c r="B1083" s="32" t="s">
        <v>9456</v>
      </c>
      <c r="C1083" s="32" t="s">
        <v>7255</v>
      </c>
      <c r="D1083" s="32">
        <v>24</v>
      </c>
      <c r="E1083" s="32">
        <v>0</v>
      </c>
    </row>
    <row r="1084" spans="1:5" x14ac:dyDescent="0.25">
      <c r="A1084">
        <v>1086</v>
      </c>
      <c r="B1084" t="s">
        <v>9456</v>
      </c>
      <c r="C1084" t="s">
        <v>7257</v>
      </c>
      <c r="D1084">
        <v>10</v>
      </c>
      <c r="E1084">
        <v>0</v>
      </c>
    </row>
    <row r="1085" spans="1:5" x14ac:dyDescent="0.25">
      <c r="A1085" s="32">
        <v>1087</v>
      </c>
      <c r="B1085" s="32" t="s">
        <v>9456</v>
      </c>
      <c r="C1085" s="32" t="s">
        <v>7259</v>
      </c>
      <c r="D1085" s="32">
        <v>10</v>
      </c>
      <c r="E1085" s="32">
        <v>0</v>
      </c>
    </row>
    <row r="1086" spans="1:5" x14ac:dyDescent="0.25">
      <c r="A1086">
        <v>1088</v>
      </c>
      <c r="B1086" t="s">
        <v>9456</v>
      </c>
      <c r="C1086" t="s">
        <v>7261</v>
      </c>
      <c r="D1086">
        <v>4</v>
      </c>
      <c r="E1086">
        <v>0</v>
      </c>
    </row>
    <row r="1087" spans="1:5" x14ac:dyDescent="0.25">
      <c r="A1087" s="32">
        <v>1089</v>
      </c>
      <c r="B1087" s="32" t="s">
        <v>9456</v>
      </c>
      <c r="C1087" s="32" t="s">
        <v>7263</v>
      </c>
      <c r="D1087" s="32">
        <v>10</v>
      </c>
      <c r="E1087" s="32">
        <v>0</v>
      </c>
    </row>
    <row r="1088" spans="1:5" x14ac:dyDescent="0.25">
      <c r="A1088">
        <v>1090</v>
      </c>
      <c r="B1088" t="s">
        <v>9456</v>
      </c>
      <c r="C1088" t="s">
        <v>7265</v>
      </c>
      <c r="D1088">
        <v>20</v>
      </c>
      <c r="E1088">
        <v>0</v>
      </c>
    </row>
    <row r="1089" spans="1:5" x14ac:dyDescent="0.25">
      <c r="A1089" s="32">
        <v>1091</v>
      </c>
      <c r="B1089" s="32" t="s">
        <v>9456</v>
      </c>
      <c r="C1089" s="32" t="s">
        <v>7267</v>
      </c>
      <c r="D1089" s="32">
        <v>32</v>
      </c>
      <c r="E1089" s="32">
        <v>0</v>
      </c>
    </row>
    <row r="1090" spans="1:5" x14ac:dyDescent="0.25">
      <c r="A1090">
        <v>1092</v>
      </c>
      <c r="B1090" t="s">
        <v>9457</v>
      </c>
      <c r="C1090" t="s">
        <v>7269</v>
      </c>
      <c r="D1090">
        <v>3</v>
      </c>
      <c r="E1090">
        <v>0</v>
      </c>
    </row>
    <row r="1091" spans="1:5" x14ac:dyDescent="0.25">
      <c r="A1091" s="32">
        <v>1093</v>
      </c>
      <c r="B1091" s="32" t="s">
        <v>9456</v>
      </c>
      <c r="C1091" s="32" t="s">
        <v>7271</v>
      </c>
      <c r="D1091" s="32">
        <v>6</v>
      </c>
      <c r="E1091" s="32">
        <v>0</v>
      </c>
    </row>
    <row r="1092" spans="1:5" x14ac:dyDescent="0.25">
      <c r="A1092">
        <v>1094</v>
      </c>
      <c r="B1092" t="s">
        <v>9459</v>
      </c>
      <c r="C1092" t="s">
        <v>7273</v>
      </c>
      <c r="D1092">
        <v>9</v>
      </c>
      <c r="E1092">
        <v>0</v>
      </c>
    </row>
    <row r="1093" spans="1:5" x14ac:dyDescent="0.25">
      <c r="A1093" s="32">
        <v>1095</v>
      </c>
      <c r="B1093" s="32" t="s">
        <v>9459</v>
      </c>
      <c r="C1093" s="32" t="s">
        <v>7275</v>
      </c>
      <c r="D1093" s="32">
        <v>9</v>
      </c>
      <c r="E1093" s="32">
        <v>0</v>
      </c>
    </row>
    <row r="1094" spans="1:5" x14ac:dyDescent="0.25">
      <c r="A1094">
        <v>1096</v>
      </c>
      <c r="B1094" t="s">
        <v>9458</v>
      </c>
      <c r="C1094" t="s">
        <v>7277</v>
      </c>
      <c r="D1094">
        <v>10</v>
      </c>
      <c r="E1094">
        <v>0</v>
      </c>
    </row>
    <row r="1095" spans="1:5" x14ac:dyDescent="0.25">
      <c r="A1095" s="32">
        <v>1097</v>
      </c>
      <c r="B1095" s="32" t="s">
        <v>9460</v>
      </c>
      <c r="C1095" s="32" t="s">
        <v>7279</v>
      </c>
      <c r="D1095" s="32">
        <v>10</v>
      </c>
      <c r="E1095" s="32">
        <v>0</v>
      </c>
    </row>
    <row r="1096" spans="1:5" x14ac:dyDescent="0.25">
      <c r="A1096">
        <v>1098</v>
      </c>
      <c r="B1096" t="s">
        <v>9460</v>
      </c>
      <c r="C1096" t="s">
        <v>7281</v>
      </c>
      <c r="D1096">
        <v>10</v>
      </c>
      <c r="E1096">
        <v>0</v>
      </c>
    </row>
    <row r="1097" spans="1:5" x14ac:dyDescent="0.25">
      <c r="A1097" s="32">
        <v>1099</v>
      </c>
      <c r="B1097" s="32" t="s">
        <v>9460</v>
      </c>
      <c r="C1097" s="32" t="s">
        <v>7283</v>
      </c>
      <c r="D1097" s="32">
        <v>10</v>
      </c>
      <c r="E1097" s="32">
        <v>0</v>
      </c>
    </row>
    <row r="1098" spans="1:5" x14ac:dyDescent="0.25">
      <c r="A1098">
        <v>1100</v>
      </c>
      <c r="B1098" t="s">
        <v>9460</v>
      </c>
      <c r="C1098" t="s">
        <v>7285</v>
      </c>
      <c r="D1098">
        <v>10</v>
      </c>
      <c r="E1098">
        <v>0</v>
      </c>
    </row>
    <row r="1099" spans="1:5" x14ac:dyDescent="0.25">
      <c r="A1099" s="32">
        <v>1101</v>
      </c>
      <c r="B1099" s="32" t="s">
        <v>9460</v>
      </c>
      <c r="C1099" s="32" t="s">
        <v>7287</v>
      </c>
      <c r="D1099" s="32">
        <v>12</v>
      </c>
      <c r="E1099" s="32">
        <v>0</v>
      </c>
    </row>
    <row r="1100" spans="1:5" x14ac:dyDescent="0.25">
      <c r="A1100">
        <v>1102</v>
      </c>
      <c r="B1100" t="s">
        <v>9460</v>
      </c>
      <c r="C1100" t="s">
        <v>7289</v>
      </c>
      <c r="D1100">
        <v>30</v>
      </c>
      <c r="E1100">
        <v>0</v>
      </c>
    </row>
    <row r="1101" spans="1:5" x14ac:dyDescent="0.25">
      <c r="A1101" s="32">
        <v>1103</v>
      </c>
      <c r="B1101" s="32" t="s">
        <v>9460</v>
      </c>
      <c r="C1101" s="32" t="s">
        <v>7291</v>
      </c>
      <c r="D1101" s="32">
        <v>24</v>
      </c>
      <c r="E1101" s="32">
        <v>0</v>
      </c>
    </row>
    <row r="1102" spans="1:5" x14ac:dyDescent="0.25">
      <c r="A1102">
        <v>1104</v>
      </c>
      <c r="B1102" t="s">
        <v>9461</v>
      </c>
      <c r="C1102" t="s">
        <v>7293</v>
      </c>
      <c r="D1102">
        <v>10</v>
      </c>
      <c r="E1102">
        <v>0</v>
      </c>
    </row>
    <row r="1103" spans="1:5" x14ac:dyDescent="0.25">
      <c r="A1103" s="32">
        <v>1105</v>
      </c>
      <c r="B1103" s="32" t="s">
        <v>9461</v>
      </c>
      <c r="C1103" s="32" t="s">
        <v>7295</v>
      </c>
      <c r="D1103" s="32">
        <v>15</v>
      </c>
      <c r="E1103" s="32">
        <v>0</v>
      </c>
    </row>
    <row r="1104" spans="1:5" x14ac:dyDescent="0.25">
      <c r="A1104">
        <v>1106</v>
      </c>
      <c r="B1104" t="s">
        <v>9461</v>
      </c>
      <c r="C1104" t="s">
        <v>7297</v>
      </c>
      <c r="D1104">
        <v>15</v>
      </c>
      <c r="E1104">
        <v>0</v>
      </c>
    </row>
    <row r="1105" spans="1:5" x14ac:dyDescent="0.25">
      <c r="A1105" s="32">
        <v>1107</v>
      </c>
      <c r="B1105" s="32" t="s">
        <v>9461</v>
      </c>
      <c r="C1105" s="32" t="s">
        <v>7299</v>
      </c>
      <c r="D1105" s="32">
        <v>12</v>
      </c>
      <c r="E1105" s="32">
        <v>0</v>
      </c>
    </row>
    <row r="1106" spans="1:5" x14ac:dyDescent="0.25">
      <c r="A1106">
        <v>1108</v>
      </c>
      <c r="B1106" t="s">
        <v>9461</v>
      </c>
      <c r="C1106" t="s">
        <v>7301</v>
      </c>
      <c r="D1106">
        <v>15</v>
      </c>
      <c r="E1106">
        <v>0</v>
      </c>
    </row>
    <row r="1107" spans="1:5" x14ac:dyDescent="0.25">
      <c r="A1107" s="32">
        <v>1109</v>
      </c>
      <c r="B1107" s="32" t="s">
        <v>9461</v>
      </c>
      <c r="C1107" s="32" t="s">
        <v>7303</v>
      </c>
      <c r="D1107" s="32">
        <v>8</v>
      </c>
      <c r="E1107" s="32">
        <v>0</v>
      </c>
    </row>
    <row r="1108" spans="1:5" x14ac:dyDescent="0.25">
      <c r="A1108">
        <v>1110</v>
      </c>
      <c r="B1108" t="s">
        <v>9461</v>
      </c>
      <c r="C1108" t="s">
        <v>7305</v>
      </c>
      <c r="D1108">
        <v>10</v>
      </c>
      <c r="E1108">
        <v>0</v>
      </c>
    </row>
    <row r="1109" spans="1:5" x14ac:dyDescent="0.25">
      <c r="A1109" s="32">
        <v>1111</v>
      </c>
      <c r="B1109" s="32" t="s">
        <v>9461</v>
      </c>
      <c r="C1109" s="32" t="s">
        <v>7307</v>
      </c>
      <c r="D1109" s="32">
        <v>10</v>
      </c>
      <c r="E1109" s="32">
        <v>0</v>
      </c>
    </row>
    <row r="1110" spans="1:5" x14ac:dyDescent="0.25">
      <c r="A1110">
        <v>1112</v>
      </c>
      <c r="B1110" t="s">
        <v>9461</v>
      </c>
      <c r="C1110" t="s">
        <v>7309</v>
      </c>
      <c r="D1110">
        <v>12</v>
      </c>
      <c r="E1110">
        <v>0</v>
      </c>
    </row>
    <row r="1111" spans="1:5" x14ac:dyDescent="0.25">
      <c r="A1111" s="32">
        <v>1113</v>
      </c>
      <c r="B1111" s="32" t="s">
        <v>9461</v>
      </c>
      <c r="C1111" s="32" t="s">
        <v>7311</v>
      </c>
      <c r="D1111" s="32">
        <v>12</v>
      </c>
      <c r="E1111" s="32">
        <v>0</v>
      </c>
    </row>
    <row r="1112" spans="1:5" x14ac:dyDescent="0.25">
      <c r="A1112">
        <v>1114</v>
      </c>
      <c r="B1112" t="s">
        <v>9461</v>
      </c>
      <c r="C1112" t="s">
        <v>7313</v>
      </c>
      <c r="D1112">
        <v>12</v>
      </c>
      <c r="E1112">
        <v>0</v>
      </c>
    </row>
    <row r="1113" spans="1:5" x14ac:dyDescent="0.25">
      <c r="A1113" s="32">
        <v>1115</v>
      </c>
      <c r="B1113" s="32" t="s">
        <v>9461</v>
      </c>
      <c r="C1113" s="32" t="s">
        <v>7315</v>
      </c>
      <c r="D1113" s="32">
        <v>6</v>
      </c>
      <c r="E1113" s="32">
        <v>0</v>
      </c>
    </row>
    <row r="1114" spans="1:5" x14ac:dyDescent="0.25">
      <c r="A1114">
        <v>1116</v>
      </c>
      <c r="B1114" t="s">
        <v>9461</v>
      </c>
      <c r="C1114" t="s">
        <v>7317</v>
      </c>
      <c r="D1114">
        <v>12</v>
      </c>
      <c r="E1114">
        <v>0</v>
      </c>
    </row>
    <row r="1115" spans="1:5" x14ac:dyDescent="0.25">
      <c r="A1115" s="32">
        <v>1117</v>
      </c>
      <c r="B1115" s="32" t="s">
        <v>9460</v>
      </c>
      <c r="C1115" s="32" t="s">
        <v>7049</v>
      </c>
      <c r="D1115" s="32">
        <v>36</v>
      </c>
      <c r="E1115" s="32">
        <v>0</v>
      </c>
    </row>
    <row r="1116" spans="1:5" x14ac:dyDescent="0.25">
      <c r="A1116">
        <v>1118</v>
      </c>
      <c r="B1116" t="s">
        <v>9460</v>
      </c>
      <c r="C1116" t="s">
        <v>7051</v>
      </c>
      <c r="D1116">
        <v>30</v>
      </c>
      <c r="E1116">
        <v>0</v>
      </c>
    </row>
    <row r="1117" spans="1:5" x14ac:dyDescent="0.25">
      <c r="A1117" s="32">
        <v>1119</v>
      </c>
      <c r="B1117" s="32" t="s">
        <v>9461</v>
      </c>
      <c r="C1117" s="32" t="s">
        <v>7053</v>
      </c>
      <c r="D1117" s="32">
        <v>10</v>
      </c>
      <c r="E1117" s="32">
        <v>0</v>
      </c>
    </row>
    <row r="1118" spans="1:5" x14ac:dyDescent="0.25">
      <c r="A1118">
        <v>1120</v>
      </c>
      <c r="B1118" t="s">
        <v>9461</v>
      </c>
      <c r="C1118" t="s">
        <v>7055</v>
      </c>
      <c r="D1118">
        <v>16</v>
      </c>
      <c r="E1118">
        <v>0</v>
      </c>
    </row>
    <row r="1119" spans="1:5" x14ac:dyDescent="0.25">
      <c r="A1119" s="32">
        <v>1121</v>
      </c>
      <c r="B1119" s="32" t="s">
        <v>9461</v>
      </c>
      <c r="C1119" s="32" t="s">
        <v>7057</v>
      </c>
      <c r="D1119" s="32">
        <v>18</v>
      </c>
      <c r="E1119" s="32">
        <v>0</v>
      </c>
    </row>
    <row r="1120" spans="1:5" x14ac:dyDescent="0.25">
      <c r="A1120">
        <v>1122</v>
      </c>
      <c r="B1120" t="s">
        <v>9461</v>
      </c>
      <c r="C1120" t="s">
        <v>7059</v>
      </c>
      <c r="D1120">
        <v>20</v>
      </c>
      <c r="E1120">
        <v>0</v>
      </c>
    </row>
    <row r="1121" spans="1:5" x14ac:dyDescent="0.25">
      <c r="A1121" s="32">
        <v>1123</v>
      </c>
      <c r="B1121" s="32" t="s">
        <v>9461</v>
      </c>
      <c r="C1121" s="32" t="s">
        <v>7061</v>
      </c>
      <c r="D1121" s="32">
        <v>15</v>
      </c>
      <c r="E1121" s="32">
        <v>0</v>
      </c>
    </row>
    <row r="1122" spans="1:5" x14ac:dyDescent="0.25">
      <c r="A1122">
        <v>1124</v>
      </c>
      <c r="B1122" t="s">
        <v>9461</v>
      </c>
      <c r="C1122" t="s">
        <v>7063</v>
      </c>
      <c r="D1122">
        <v>24</v>
      </c>
      <c r="E1122">
        <v>0</v>
      </c>
    </row>
    <row r="1123" spans="1:5" x14ac:dyDescent="0.25">
      <c r="A1123" s="32">
        <v>1125</v>
      </c>
      <c r="B1123" s="32" t="s">
        <v>9461</v>
      </c>
      <c r="C1123" s="32" t="s">
        <v>7065</v>
      </c>
      <c r="D1123" s="32">
        <v>12</v>
      </c>
      <c r="E1123" s="32">
        <v>0</v>
      </c>
    </row>
    <row r="1124" spans="1:5" x14ac:dyDescent="0.25">
      <c r="A1124">
        <v>1126</v>
      </c>
      <c r="B1124" t="s">
        <v>9461</v>
      </c>
      <c r="C1124" t="s">
        <v>7067</v>
      </c>
      <c r="D1124">
        <v>24</v>
      </c>
      <c r="E1124">
        <v>0</v>
      </c>
    </row>
    <row r="1125" spans="1:5" x14ac:dyDescent="0.25">
      <c r="A1125" s="32">
        <v>1127</v>
      </c>
      <c r="B1125" s="32" t="s">
        <v>9461</v>
      </c>
      <c r="C1125" s="32" t="s">
        <v>7069</v>
      </c>
      <c r="D1125" s="32">
        <v>24</v>
      </c>
      <c r="E1125" s="32">
        <v>0</v>
      </c>
    </row>
    <row r="1126" spans="1:5" x14ac:dyDescent="0.25">
      <c r="A1126">
        <v>1128</v>
      </c>
      <c r="B1126" t="s">
        <v>9461</v>
      </c>
      <c r="C1126" t="s">
        <v>32</v>
      </c>
      <c r="D1126">
        <v>24</v>
      </c>
      <c r="E1126">
        <v>0</v>
      </c>
    </row>
    <row r="1127" spans="1:5" x14ac:dyDescent="0.25">
      <c r="A1127" s="32">
        <v>1129</v>
      </c>
      <c r="B1127" s="32" t="s">
        <v>9461</v>
      </c>
      <c r="C1127" s="32" t="s">
        <v>113</v>
      </c>
      <c r="D1127" s="32">
        <v>24</v>
      </c>
      <c r="E1127" s="32">
        <v>0</v>
      </c>
    </row>
    <row r="1128" spans="1:5" x14ac:dyDescent="0.25">
      <c r="A1128">
        <v>1130</v>
      </c>
      <c r="B1128" t="s">
        <v>9461</v>
      </c>
      <c r="C1128" t="s">
        <v>7073</v>
      </c>
      <c r="D1128">
        <v>16</v>
      </c>
      <c r="E1128">
        <v>0</v>
      </c>
    </row>
    <row r="1129" spans="1:5" x14ac:dyDescent="0.25">
      <c r="A1129" s="32">
        <v>1131</v>
      </c>
      <c r="B1129" s="32" t="s">
        <v>9461</v>
      </c>
      <c r="C1129" s="32" t="s">
        <v>7075</v>
      </c>
      <c r="D1129" s="32">
        <v>18</v>
      </c>
      <c r="E1129" s="32">
        <v>0</v>
      </c>
    </row>
    <row r="1130" spans="1:5" x14ac:dyDescent="0.25">
      <c r="A1130">
        <v>1132</v>
      </c>
      <c r="B1130" t="s">
        <v>9461</v>
      </c>
      <c r="C1130" t="s">
        <v>29</v>
      </c>
      <c r="D1130">
        <v>6</v>
      </c>
      <c r="E1130">
        <v>0</v>
      </c>
    </row>
    <row r="1131" spans="1:5" x14ac:dyDescent="0.25">
      <c r="A1131" s="32">
        <v>1133</v>
      </c>
      <c r="B1131" s="32" t="s">
        <v>9461</v>
      </c>
      <c r="C1131" s="32" t="s">
        <v>87</v>
      </c>
      <c r="D1131" s="32">
        <v>10</v>
      </c>
      <c r="E1131" s="32">
        <v>0</v>
      </c>
    </row>
    <row r="1132" spans="1:5" x14ac:dyDescent="0.25">
      <c r="A1132">
        <v>1134</v>
      </c>
      <c r="B1132" t="s">
        <v>9459</v>
      </c>
      <c r="C1132" t="s">
        <v>7079</v>
      </c>
      <c r="D1132">
        <v>6</v>
      </c>
      <c r="E1132">
        <v>0</v>
      </c>
    </row>
    <row r="1133" spans="1:5" x14ac:dyDescent="0.25">
      <c r="A1133" s="32">
        <v>1135</v>
      </c>
      <c r="B1133" s="32" t="s">
        <v>9459</v>
      </c>
      <c r="C1133" s="32" t="s">
        <v>7319</v>
      </c>
      <c r="D1133" s="32">
        <v>9</v>
      </c>
      <c r="E1133" s="32">
        <v>0</v>
      </c>
    </row>
    <row r="1134" spans="1:5" x14ac:dyDescent="0.25">
      <c r="A1134">
        <v>1136</v>
      </c>
      <c r="B1134" t="s">
        <v>9459</v>
      </c>
      <c r="C1134" t="s">
        <v>7321</v>
      </c>
      <c r="D1134">
        <v>20</v>
      </c>
      <c r="E1134">
        <v>8</v>
      </c>
    </row>
    <row r="1135" spans="1:5" x14ac:dyDescent="0.25">
      <c r="A1135" s="32">
        <v>1137</v>
      </c>
      <c r="B1135" s="32" t="s">
        <v>9462</v>
      </c>
      <c r="C1135" s="32" t="s">
        <v>7081</v>
      </c>
      <c r="D1135" s="32">
        <v>18</v>
      </c>
      <c r="E1135" s="32">
        <v>0</v>
      </c>
    </row>
    <row r="1136" spans="1:5" x14ac:dyDescent="0.25">
      <c r="A1136">
        <v>1138</v>
      </c>
      <c r="B1136" t="s">
        <v>9462</v>
      </c>
      <c r="C1136" t="s">
        <v>7324</v>
      </c>
      <c r="D1136">
        <v>12</v>
      </c>
      <c r="E1136">
        <v>0</v>
      </c>
    </row>
    <row r="1137" spans="1:5" x14ac:dyDescent="0.25">
      <c r="A1137" s="32">
        <v>1139</v>
      </c>
      <c r="B1137" s="32" t="s">
        <v>9463</v>
      </c>
      <c r="C1137" s="32" t="s">
        <v>7326</v>
      </c>
      <c r="D1137" s="32">
        <v>4</v>
      </c>
      <c r="E1137" s="32">
        <v>0</v>
      </c>
    </row>
    <row r="1138" spans="1:5" x14ac:dyDescent="0.25">
      <c r="A1138">
        <v>1140</v>
      </c>
      <c r="B1138" t="s">
        <v>9463</v>
      </c>
      <c r="C1138" t="s">
        <v>7328</v>
      </c>
      <c r="D1138">
        <v>10</v>
      </c>
      <c r="E1138">
        <v>0</v>
      </c>
    </row>
    <row r="1139" spans="1:5" x14ac:dyDescent="0.25">
      <c r="A1139" s="32">
        <v>1141</v>
      </c>
      <c r="B1139" s="32" t="s">
        <v>9463</v>
      </c>
      <c r="C1139" s="32" t="s">
        <v>97</v>
      </c>
      <c r="D1139" s="32">
        <v>4</v>
      </c>
      <c r="E1139" s="32">
        <v>0</v>
      </c>
    </row>
    <row r="1140" spans="1:5" x14ac:dyDescent="0.25">
      <c r="A1140">
        <v>1142</v>
      </c>
      <c r="B1140" t="s">
        <v>9463</v>
      </c>
      <c r="C1140" t="s">
        <v>7331</v>
      </c>
      <c r="D1140">
        <v>5</v>
      </c>
      <c r="E1140">
        <v>0</v>
      </c>
    </row>
    <row r="1141" spans="1:5" x14ac:dyDescent="0.25">
      <c r="A1141" s="32">
        <v>1143</v>
      </c>
      <c r="B1141" s="32" t="s">
        <v>9463</v>
      </c>
      <c r="C1141" s="32" t="s">
        <v>78</v>
      </c>
      <c r="D1141" s="32">
        <v>8</v>
      </c>
      <c r="E1141" s="32">
        <v>0</v>
      </c>
    </row>
    <row r="1142" spans="1:5" x14ac:dyDescent="0.25">
      <c r="A1142">
        <v>1144</v>
      </c>
      <c r="B1142" t="s">
        <v>9463</v>
      </c>
      <c r="C1142" t="s">
        <v>7082</v>
      </c>
      <c r="D1142">
        <v>6</v>
      </c>
      <c r="E1142">
        <v>0</v>
      </c>
    </row>
    <row r="1143" spans="1:5" x14ac:dyDescent="0.25">
      <c r="A1143" s="32">
        <v>1145</v>
      </c>
      <c r="B1143" s="32" t="s">
        <v>9463</v>
      </c>
      <c r="C1143" s="32" t="s">
        <v>7335</v>
      </c>
      <c r="D1143" s="32">
        <v>8</v>
      </c>
      <c r="E1143" s="32">
        <v>0</v>
      </c>
    </row>
    <row r="1144" spans="1:5" x14ac:dyDescent="0.25">
      <c r="A1144">
        <v>1146</v>
      </c>
      <c r="B1144" t="s">
        <v>9463</v>
      </c>
      <c r="C1144" t="s">
        <v>7083</v>
      </c>
      <c r="D1144">
        <v>5</v>
      </c>
      <c r="E1144">
        <v>0</v>
      </c>
    </row>
    <row r="1145" spans="1:5" x14ac:dyDescent="0.25">
      <c r="A1145" s="32">
        <v>1147</v>
      </c>
      <c r="B1145" s="32" t="s">
        <v>9463</v>
      </c>
      <c r="C1145" s="32" t="s">
        <v>7338</v>
      </c>
      <c r="D1145" s="32">
        <v>5</v>
      </c>
      <c r="E1145" s="32">
        <v>0</v>
      </c>
    </row>
    <row r="1146" spans="1:5" x14ac:dyDescent="0.25">
      <c r="A1146">
        <v>1148</v>
      </c>
      <c r="B1146" t="s">
        <v>9463</v>
      </c>
      <c r="C1146" t="s">
        <v>7340</v>
      </c>
      <c r="D1146">
        <v>5</v>
      </c>
      <c r="E1146">
        <v>0</v>
      </c>
    </row>
    <row r="1147" spans="1:5" x14ac:dyDescent="0.25">
      <c r="A1147" s="32">
        <v>1149</v>
      </c>
      <c r="B1147" s="32" t="s">
        <v>9463</v>
      </c>
      <c r="C1147" s="32" t="s">
        <v>7342</v>
      </c>
      <c r="D1147" s="32">
        <v>4</v>
      </c>
      <c r="E1147" s="32">
        <v>0</v>
      </c>
    </row>
    <row r="1148" spans="1:5" x14ac:dyDescent="0.25">
      <c r="A1148">
        <v>1150</v>
      </c>
      <c r="B1148" t="s">
        <v>9463</v>
      </c>
      <c r="C1148" t="s">
        <v>7344</v>
      </c>
      <c r="D1148">
        <v>4</v>
      </c>
      <c r="E1148">
        <v>0</v>
      </c>
    </row>
    <row r="1149" spans="1:5" x14ac:dyDescent="0.25">
      <c r="A1149" s="32">
        <v>1151</v>
      </c>
      <c r="B1149" s="32" t="s">
        <v>9463</v>
      </c>
      <c r="C1149" s="32" t="s">
        <v>7084</v>
      </c>
      <c r="D1149" s="32">
        <v>3</v>
      </c>
      <c r="E1149" s="32">
        <v>0</v>
      </c>
    </row>
    <row r="1150" spans="1:5" x14ac:dyDescent="0.25">
      <c r="A1150">
        <v>1152</v>
      </c>
      <c r="B1150" t="s">
        <v>9463</v>
      </c>
      <c r="C1150" t="s">
        <v>7347</v>
      </c>
      <c r="D1150">
        <v>10</v>
      </c>
      <c r="E1150">
        <v>0</v>
      </c>
    </row>
    <row r="1151" spans="1:5" x14ac:dyDescent="0.25">
      <c r="A1151" s="32">
        <v>1153</v>
      </c>
      <c r="B1151" s="32" t="s">
        <v>9463</v>
      </c>
      <c r="C1151" s="32" t="s">
        <v>7349</v>
      </c>
      <c r="D1151" s="32">
        <v>8</v>
      </c>
      <c r="E1151" s="32">
        <v>0</v>
      </c>
    </row>
    <row r="1152" spans="1:5" x14ac:dyDescent="0.25">
      <c r="A1152">
        <v>1154</v>
      </c>
      <c r="B1152" t="s">
        <v>9463</v>
      </c>
      <c r="C1152" t="s">
        <v>61</v>
      </c>
      <c r="D1152">
        <v>6</v>
      </c>
      <c r="E1152">
        <v>0</v>
      </c>
    </row>
    <row r="1153" spans="1:5" x14ac:dyDescent="0.25">
      <c r="A1153" s="32">
        <v>1155</v>
      </c>
      <c r="B1153" s="32" t="s">
        <v>9463</v>
      </c>
      <c r="C1153" s="32" t="s">
        <v>115</v>
      </c>
      <c r="D1153" s="32">
        <v>25</v>
      </c>
      <c r="E1153" s="32">
        <v>0</v>
      </c>
    </row>
    <row r="1154" spans="1:5" x14ac:dyDescent="0.25">
      <c r="A1154">
        <v>1156</v>
      </c>
      <c r="B1154" t="s">
        <v>9463</v>
      </c>
      <c r="C1154" t="s">
        <v>7085</v>
      </c>
      <c r="D1154">
        <v>4</v>
      </c>
      <c r="E1154">
        <v>0</v>
      </c>
    </row>
    <row r="1155" spans="1:5" x14ac:dyDescent="0.25">
      <c r="A1155" s="32">
        <v>1157</v>
      </c>
      <c r="B1155" s="32" t="s">
        <v>9463</v>
      </c>
      <c r="C1155" s="32" t="s">
        <v>7354</v>
      </c>
      <c r="D1155" s="32">
        <v>12</v>
      </c>
      <c r="E1155" s="32">
        <v>0</v>
      </c>
    </row>
    <row r="1156" spans="1:5" x14ac:dyDescent="0.25">
      <c r="A1156">
        <v>1158</v>
      </c>
      <c r="B1156" t="s">
        <v>9463</v>
      </c>
      <c r="C1156" t="s">
        <v>7086</v>
      </c>
      <c r="D1156">
        <v>3</v>
      </c>
      <c r="E1156">
        <v>0</v>
      </c>
    </row>
    <row r="1157" spans="1:5" x14ac:dyDescent="0.25">
      <c r="A1157" s="32">
        <v>1159</v>
      </c>
      <c r="B1157" s="32" t="s">
        <v>9464</v>
      </c>
      <c r="C1157" s="32" t="s">
        <v>7087</v>
      </c>
      <c r="D1157" s="32">
        <v>4</v>
      </c>
      <c r="E1157" s="32">
        <v>0</v>
      </c>
    </row>
    <row r="1158" spans="1:5" x14ac:dyDescent="0.25">
      <c r="A1158">
        <v>1160</v>
      </c>
      <c r="B1158" t="s">
        <v>9464</v>
      </c>
      <c r="C1158" t="s">
        <v>7088</v>
      </c>
      <c r="D1158">
        <v>4</v>
      </c>
      <c r="E1158">
        <v>0</v>
      </c>
    </row>
    <row r="1159" spans="1:5" x14ac:dyDescent="0.25">
      <c r="A1159" s="32">
        <v>1161</v>
      </c>
      <c r="B1159" s="32" t="s">
        <v>9464</v>
      </c>
      <c r="C1159" s="32" t="s">
        <v>7089</v>
      </c>
      <c r="D1159" s="32">
        <v>5</v>
      </c>
      <c r="E1159" s="32">
        <v>0</v>
      </c>
    </row>
    <row r="1160" spans="1:5" x14ac:dyDescent="0.25">
      <c r="A1160">
        <v>1162</v>
      </c>
      <c r="B1160" t="s">
        <v>9464</v>
      </c>
      <c r="C1160" t="s">
        <v>7090</v>
      </c>
      <c r="D1160">
        <v>10</v>
      </c>
      <c r="E1160">
        <v>0</v>
      </c>
    </row>
    <row r="1161" spans="1:5" x14ac:dyDescent="0.25">
      <c r="A1161" s="32">
        <v>1163</v>
      </c>
      <c r="B1161" s="32" t="s">
        <v>9464</v>
      </c>
      <c r="C1161" s="32" t="s">
        <v>7091</v>
      </c>
      <c r="D1161" s="32">
        <v>10</v>
      </c>
      <c r="E1161" s="32">
        <v>0</v>
      </c>
    </row>
    <row r="1162" spans="1:5" x14ac:dyDescent="0.25">
      <c r="A1162">
        <v>1164</v>
      </c>
      <c r="B1162" t="s">
        <v>9464</v>
      </c>
      <c r="C1162" t="s">
        <v>111</v>
      </c>
      <c r="D1162">
        <v>5</v>
      </c>
      <c r="E1162">
        <v>0</v>
      </c>
    </row>
    <row r="1163" spans="1:5" x14ac:dyDescent="0.25">
      <c r="A1163" s="32">
        <v>1165</v>
      </c>
      <c r="B1163" s="32" t="s">
        <v>9464</v>
      </c>
      <c r="C1163" s="32" t="s">
        <v>112</v>
      </c>
      <c r="D1163" s="32">
        <v>4</v>
      </c>
      <c r="E1163" s="32">
        <v>0</v>
      </c>
    </row>
    <row r="1164" spans="1:5" x14ac:dyDescent="0.25">
      <c r="A1164">
        <v>1166</v>
      </c>
      <c r="B1164" t="s">
        <v>9464</v>
      </c>
      <c r="C1164" t="s">
        <v>106</v>
      </c>
      <c r="D1164">
        <v>6</v>
      </c>
      <c r="E1164">
        <v>0</v>
      </c>
    </row>
    <row r="1165" spans="1:5" x14ac:dyDescent="0.25">
      <c r="A1165" s="32">
        <v>1167</v>
      </c>
      <c r="B1165" s="32" t="s">
        <v>9464</v>
      </c>
      <c r="C1165" s="32" t="s">
        <v>7092</v>
      </c>
      <c r="D1165" s="32">
        <v>6</v>
      </c>
      <c r="E1165" s="32">
        <v>0</v>
      </c>
    </row>
    <row r="1166" spans="1:5" x14ac:dyDescent="0.25">
      <c r="A1166">
        <v>1168</v>
      </c>
      <c r="B1166" t="s">
        <v>9464</v>
      </c>
      <c r="C1166" t="s">
        <v>7093</v>
      </c>
      <c r="D1166">
        <v>3</v>
      </c>
      <c r="E1166">
        <v>0</v>
      </c>
    </row>
    <row r="1167" spans="1:5" x14ac:dyDescent="0.25">
      <c r="A1167" s="32">
        <v>1169</v>
      </c>
      <c r="B1167" s="32" t="s">
        <v>9464</v>
      </c>
      <c r="C1167" s="32" t="s">
        <v>7094</v>
      </c>
      <c r="D1167" s="32">
        <v>3</v>
      </c>
      <c r="E1167" s="32">
        <v>0</v>
      </c>
    </row>
    <row r="1168" spans="1:5" x14ac:dyDescent="0.25">
      <c r="A1168">
        <v>1170</v>
      </c>
      <c r="B1168" t="s">
        <v>9464</v>
      </c>
      <c r="C1168" t="s">
        <v>7368</v>
      </c>
      <c r="D1168">
        <v>6</v>
      </c>
      <c r="E1168">
        <v>0</v>
      </c>
    </row>
    <row r="1169" spans="1:5" x14ac:dyDescent="0.25">
      <c r="A1169" s="32">
        <v>1171</v>
      </c>
      <c r="B1169" s="32" t="s">
        <v>9464</v>
      </c>
      <c r="C1169" s="32" t="s">
        <v>7095</v>
      </c>
      <c r="D1169" s="32">
        <v>3</v>
      </c>
      <c r="E1169" s="32">
        <v>0</v>
      </c>
    </row>
    <row r="1170" spans="1:5" x14ac:dyDescent="0.25">
      <c r="A1170">
        <v>1172</v>
      </c>
      <c r="B1170" t="s">
        <v>9464</v>
      </c>
      <c r="C1170" t="s">
        <v>7371</v>
      </c>
      <c r="D1170">
        <v>5</v>
      </c>
      <c r="E1170">
        <v>0</v>
      </c>
    </row>
    <row r="1171" spans="1:5" x14ac:dyDescent="0.25">
      <c r="A1171" s="32">
        <v>1173</v>
      </c>
      <c r="B1171" s="32" t="s">
        <v>9464</v>
      </c>
      <c r="C1171" s="32" t="s">
        <v>47</v>
      </c>
      <c r="D1171" s="32">
        <v>5</v>
      </c>
      <c r="E1171" s="32">
        <v>0</v>
      </c>
    </row>
    <row r="1172" spans="1:5" x14ac:dyDescent="0.25">
      <c r="A1172">
        <v>1174</v>
      </c>
      <c r="B1172" t="s">
        <v>9464</v>
      </c>
      <c r="C1172" t="s">
        <v>46</v>
      </c>
      <c r="D1172">
        <v>3</v>
      </c>
      <c r="E1172">
        <v>0</v>
      </c>
    </row>
    <row r="1173" spans="1:5" x14ac:dyDescent="0.25">
      <c r="A1173" s="32">
        <v>1175</v>
      </c>
      <c r="B1173" s="32" t="s">
        <v>9464</v>
      </c>
      <c r="C1173" s="32" t="s">
        <v>74</v>
      </c>
      <c r="D1173" s="32">
        <v>10</v>
      </c>
      <c r="E1173" s="32">
        <v>0</v>
      </c>
    </row>
    <row r="1174" spans="1:5" x14ac:dyDescent="0.25">
      <c r="A1174">
        <v>1176</v>
      </c>
      <c r="B1174" t="s">
        <v>9464</v>
      </c>
      <c r="C1174" t="s">
        <v>75</v>
      </c>
      <c r="D1174">
        <v>4</v>
      </c>
      <c r="E1174">
        <v>0</v>
      </c>
    </row>
    <row r="1175" spans="1:5" x14ac:dyDescent="0.25">
      <c r="A1175" s="32">
        <v>1177</v>
      </c>
      <c r="B1175" s="32" t="s">
        <v>9464</v>
      </c>
      <c r="C1175" s="32" t="s">
        <v>7100</v>
      </c>
      <c r="D1175" s="32">
        <v>6</v>
      </c>
      <c r="E1175" s="32">
        <v>0</v>
      </c>
    </row>
    <row r="1176" spans="1:5" x14ac:dyDescent="0.25">
      <c r="A1176">
        <v>1178</v>
      </c>
      <c r="B1176" t="s">
        <v>9464</v>
      </c>
      <c r="C1176" t="s">
        <v>7102</v>
      </c>
      <c r="D1176">
        <v>5</v>
      </c>
      <c r="E1176">
        <v>0</v>
      </c>
    </row>
    <row r="1177" spans="1:5" x14ac:dyDescent="0.25">
      <c r="A1177" s="32">
        <v>1179</v>
      </c>
      <c r="B1177" s="32" t="s">
        <v>9464</v>
      </c>
      <c r="C1177" s="32" t="s">
        <v>7104</v>
      </c>
      <c r="D1177" s="32">
        <v>4</v>
      </c>
      <c r="E1177" s="32">
        <v>0</v>
      </c>
    </row>
    <row r="1178" spans="1:5" x14ac:dyDescent="0.25">
      <c r="A1178">
        <v>1180</v>
      </c>
      <c r="B1178" t="s">
        <v>9464</v>
      </c>
      <c r="C1178" t="s">
        <v>7106</v>
      </c>
      <c r="D1178">
        <v>30</v>
      </c>
      <c r="E1178">
        <v>0</v>
      </c>
    </row>
    <row r="1179" spans="1:5" x14ac:dyDescent="0.25">
      <c r="A1179" s="32">
        <v>1181</v>
      </c>
      <c r="B1179" s="32" t="s">
        <v>9464</v>
      </c>
      <c r="C1179" s="32" t="s">
        <v>7108</v>
      </c>
      <c r="D1179" s="32">
        <v>4</v>
      </c>
      <c r="E1179" s="32">
        <v>0</v>
      </c>
    </row>
    <row r="1180" spans="1:5" x14ac:dyDescent="0.25">
      <c r="A1180">
        <v>1182</v>
      </c>
      <c r="B1180" t="s">
        <v>9464</v>
      </c>
      <c r="C1180" t="s">
        <v>77</v>
      </c>
      <c r="D1180">
        <v>8</v>
      </c>
      <c r="E1180">
        <v>0</v>
      </c>
    </row>
    <row r="1181" spans="1:5" x14ac:dyDescent="0.25">
      <c r="A1181" s="32">
        <v>1183</v>
      </c>
      <c r="B1181" s="32" t="s">
        <v>9464</v>
      </c>
      <c r="C1181" s="32" t="s">
        <v>92</v>
      </c>
      <c r="D1181" s="32">
        <v>20</v>
      </c>
      <c r="E1181" s="32">
        <v>0</v>
      </c>
    </row>
    <row r="1182" spans="1:5" x14ac:dyDescent="0.25">
      <c r="A1182">
        <v>1184</v>
      </c>
      <c r="B1182" t="s">
        <v>9464</v>
      </c>
      <c r="C1182" t="s">
        <v>7112</v>
      </c>
      <c r="D1182">
        <v>6</v>
      </c>
      <c r="E1182">
        <v>0</v>
      </c>
    </row>
    <row r="1183" spans="1:5" x14ac:dyDescent="0.25">
      <c r="A1183" s="32">
        <v>1185</v>
      </c>
      <c r="B1183" s="32" t="s">
        <v>9464</v>
      </c>
      <c r="C1183" s="32" t="s">
        <v>105</v>
      </c>
      <c r="D1183" s="32">
        <v>8</v>
      </c>
      <c r="E1183" s="32">
        <v>0</v>
      </c>
    </row>
    <row r="1184" spans="1:5" x14ac:dyDescent="0.25">
      <c r="A1184">
        <v>1186</v>
      </c>
      <c r="B1184" t="s">
        <v>9464</v>
      </c>
      <c r="C1184" t="s">
        <v>7115</v>
      </c>
      <c r="D1184">
        <v>10</v>
      </c>
      <c r="E1184">
        <v>0</v>
      </c>
    </row>
    <row r="1185" spans="1:5" x14ac:dyDescent="0.25">
      <c r="A1185" s="32">
        <v>1187</v>
      </c>
      <c r="B1185" s="32" t="s">
        <v>9464</v>
      </c>
      <c r="C1185" s="32" t="s">
        <v>7117</v>
      </c>
      <c r="D1185" s="32">
        <v>4</v>
      </c>
      <c r="E1185" s="32">
        <v>0</v>
      </c>
    </row>
    <row r="1186" spans="1:5" x14ac:dyDescent="0.25">
      <c r="A1186">
        <v>1188</v>
      </c>
      <c r="B1186" t="s">
        <v>9464</v>
      </c>
      <c r="C1186" t="s">
        <v>7119</v>
      </c>
      <c r="D1186">
        <v>3</v>
      </c>
      <c r="E1186">
        <v>0</v>
      </c>
    </row>
    <row r="1187" spans="1:5" x14ac:dyDescent="0.25">
      <c r="A1187" s="32">
        <v>1189</v>
      </c>
      <c r="B1187" s="32" t="s">
        <v>9464</v>
      </c>
      <c r="C1187" s="32" t="s">
        <v>7121</v>
      </c>
      <c r="D1187" s="32">
        <v>4</v>
      </c>
      <c r="E1187" s="32">
        <v>0</v>
      </c>
    </row>
    <row r="1188" spans="1:5" x14ac:dyDescent="0.25">
      <c r="A1188">
        <v>1190</v>
      </c>
      <c r="B1188" t="s">
        <v>9464</v>
      </c>
      <c r="C1188" t="s">
        <v>7123</v>
      </c>
      <c r="D1188">
        <v>5</v>
      </c>
      <c r="E1188">
        <v>0</v>
      </c>
    </row>
    <row r="1189" spans="1:5" x14ac:dyDescent="0.25">
      <c r="A1189" s="32">
        <v>1191</v>
      </c>
      <c r="B1189" s="32" t="s">
        <v>9464</v>
      </c>
      <c r="C1189" s="32" t="s">
        <v>7125</v>
      </c>
      <c r="D1189" s="32">
        <v>6</v>
      </c>
      <c r="E1189" s="32">
        <v>0</v>
      </c>
    </row>
    <row r="1190" spans="1:5" x14ac:dyDescent="0.25">
      <c r="A1190">
        <v>1192</v>
      </c>
      <c r="B1190" t="s">
        <v>9464</v>
      </c>
      <c r="C1190" t="s">
        <v>7127</v>
      </c>
      <c r="D1190">
        <v>4</v>
      </c>
      <c r="E1190">
        <v>0</v>
      </c>
    </row>
    <row r="1191" spans="1:5" x14ac:dyDescent="0.25">
      <c r="A1191" s="32">
        <v>1193</v>
      </c>
      <c r="B1191" s="32" t="s">
        <v>9465</v>
      </c>
      <c r="C1191" s="32" t="s">
        <v>7129</v>
      </c>
      <c r="D1191" s="32">
        <v>10</v>
      </c>
      <c r="E1191" s="32">
        <v>0</v>
      </c>
    </row>
    <row r="1192" spans="1:5" x14ac:dyDescent="0.25">
      <c r="A1192">
        <v>1194</v>
      </c>
      <c r="B1192" t="s">
        <v>9465</v>
      </c>
      <c r="C1192" t="s">
        <v>7374</v>
      </c>
      <c r="D1192">
        <v>10</v>
      </c>
      <c r="E1192">
        <v>15.8</v>
      </c>
    </row>
    <row r="1193" spans="1:5" x14ac:dyDescent="0.25">
      <c r="A1193" s="32">
        <v>1195</v>
      </c>
      <c r="B1193" s="32" t="s">
        <v>9465</v>
      </c>
      <c r="C1193" s="32" t="s">
        <v>7376</v>
      </c>
      <c r="D1193" s="32">
        <v>10</v>
      </c>
      <c r="E1193" s="32">
        <v>15.8</v>
      </c>
    </row>
    <row r="1194" spans="1:5" x14ac:dyDescent="0.25">
      <c r="A1194">
        <v>1196</v>
      </c>
      <c r="B1194" t="s">
        <v>9465</v>
      </c>
      <c r="C1194" t="s">
        <v>7378</v>
      </c>
      <c r="D1194">
        <v>10</v>
      </c>
      <c r="E1194">
        <v>7.9</v>
      </c>
    </row>
    <row r="1195" spans="1:5" x14ac:dyDescent="0.25">
      <c r="A1195" s="32">
        <v>1197</v>
      </c>
      <c r="B1195" s="32" t="s">
        <v>9465</v>
      </c>
      <c r="C1195" s="32" t="s">
        <v>7380</v>
      </c>
      <c r="D1195" s="32">
        <v>12</v>
      </c>
      <c r="E1195" s="32">
        <v>0</v>
      </c>
    </row>
    <row r="1196" spans="1:5" x14ac:dyDescent="0.25">
      <c r="A1196">
        <v>1198</v>
      </c>
      <c r="B1196" t="s">
        <v>9465</v>
      </c>
      <c r="C1196" t="s">
        <v>7381</v>
      </c>
      <c r="D1196">
        <v>12</v>
      </c>
      <c r="E1196">
        <v>0</v>
      </c>
    </row>
    <row r="1197" spans="1:5" x14ac:dyDescent="0.25">
      <c r="A1197" s="32">
        <v>1199</v>
      </c>
      <c r="B1197" s="32" t="s">
        <v>9465</v>
      </c>
      <c r="C1197" s="32" t="s">
        <v>7383</v>
      </c>
      <c r="D1197" s="32">
        <v>12</v>
      </c>
      <c r="E1197" s="32">
        <v>0</v>
      </c>
    </row>
    <row r="1198" spans="1:5" x14ac:dyDescent="0.25">
      <c r="A1198">
        <v>1200</v>
      </c>
      <c r="B1198" t="s">
        <v>9465</v>
      </c>
      <c r="C1198" t="s">
        <v>7384</v>
      </c>
      <c r="D1198">
        <v>30</v>
      </c>
      <c r="E1198">
        <v>0</v>
      </c>
    </row>
    <row r="1199" spans="1:5" x14ac:dyDescent="0.25">
      <c r="A1199" s="32">
        <v>1201</v>
      </c>
      <c r="B1199" s="32" t="s">
        <v>9465</v>
      </c>
      <c r="C1199" s="32" t="s">
        <v>7386</v>
      </c>
      <c r="D1199" s="32">
        <v>15</v>
      </c>
      <c r="E1199" s="32">
        <v>0</v>
      </c>
    </row>
    <row r="1200" spans="1:5" x14ac:dyDescent="0.25">
      <c r="A1200">
        <v>1202</v>
      </c>
      <c r="B1200" t="s">
        <v>9465</v>
      </c>
      <c r="C1200" t="s">
        <v>7387</v>
      </c>
      <c r="D1200">
        <v>10</v>
      </c>
      <c r="E1200">
        <v>0</v>
      </c>
    </row>
    <row r="1201" spans="1:5" x14ac:dyDescent="0.25">
      <c r="A1201" s="32">
        <v>1203</v>
      </c>
      <c r="B1201" s="32" t="s">
        <v>9465</v>
      </c>
      <c r="C1201" s="32" t="s">
        <v>7389</v>
      </c>
      <c r="D1201" s="32">
        <v>20</v>
      </c>
      <c r="E1201" s="32">
        <v>0</v>
      </c>
    </row>
    <row r="1202" spans="1:5" x14ac:dyDescent="0.25">
      <c r="A1202">
        <v>1204</v>
      </c>
      <c r="B1202" t="s">
        <v>9466</v>
      </c>
      <c r="C1202" t="s">
        <v>7391</v>
      </c>
      <c r="D1202">
        <v>12</v>
      </c>
      <c r="E1202">
        <v>0</v>
      </c>
    </row>
    <row r="1203" spans="1:5" x14ac:dyDescent="0.25">
      <c r="A1203" s="32">
        <v>1205</v>
      </c>
      <c r="B1203" s="32" t="s">
        <v>9466</v>
      </c>
      <c r="C1203" s="32" t="s">
        <v>7393</v>
      </c>
      <c r="D1203" s="32">
        <v>4</v>
      </c>
      <c r="E1203" s="32">
        <v>4</v>
      </c>
    </row>
    <row r="1204" spans="1:5" x14ac:dyDescent="0.25">
      <c r="A1204">
        <v>1206</v>
      </c>
      <c r="B1204" t="s">
        <v>9466</v>
      </c>
      <c r="C1204" t="s">
        <v>7395</v>
      </c>
      <c r="D1204">
        <v>5</v>
      </c>
      <c r="E1204">
        <v>0</v>
      </c>
    </row>
    <row r="1205" spans="1:5" x14ac:dyDescent="0.25">
      <c r="A1205" s="32">
        <v>1207</v>
      </c>
      <c r="B1205" s="32" t="s">
        <v>9466</v>
      </c>
      <c r="C1205" s="32" t="s">
        <v>7397</v>
      </c>
      <c r="D1205" s="32">
        <v>5</v>
      </c>
      <c r="E1205" s="32">
        <v>0</v>
      </c>
    </row>
    <row r="1206" spans="1:5" x14ac:dyDescent="0.25">
      <c r="A1206">
        <v>1208</v>
      </c>
      <c r="B1206" t="s">
        <v>9466</v>
      </c>
      <c r="C1206" t="s">
        <v>7399</v>
      </c>
      <c r="D1206">
        <v>5</v>
      </c>
      <c r="E1206">
        <v>0</v>
      </c>
    </row>
    <row r="1207" spans="1:5" x14ac:dyDescent="0.25">
      <c r="A1207" s="32">
        <v>1209</v>
      </c>
      <c r="B1207" s="32" t="s">
        <v>9467</v>
      </c>
      <c r="C1207" s="32" t="s">
        <v>7401</v>
      </c>
      <c r="D1207" s="32">
        <v>12</v>
      </c>
      <c r="E1207" s="32">
        <v>0</v>
      </c>
    </row>
    <row r="1208" spans="1:5" x14ac:dyDescent="0.25">
      <c r="A1208">
        <v>1210</v>
      </c>
      <c r="B1208" t="s">
        <v>9467</v>
      </c>
      <c r="C1208" t="s">
        <v>7403</v>
      </c>
      <c r="D1208">
        <v>6</v>
      </c>
      <c r="E1208">
        <v>0</v>
      </c>
    </row>
    <row r="1209" spans="1:5" x14ac:dyDescent="0.25">
      <c r="A1209" s="32">
        <v>1211</v>
      </c>
      <c r="B1209" s="32" t="s">
        <v>9467</v>
      </c>
      <c r="C1209" s="32" t="s">
        <v>7405</v>
      </c>
      <c r="D1209" s="32">
        <v>6</v>
      </c>
      <c r="E1209" s="32">
        <v>0</v>
      </c>
    </row>
    <row r="1210" spans="1:5" x14ac:dyDescent="0.25">
      <c r="A1210">
        <v>1212</v>
      </c>
      <c r="B1210" t="s">
        <v>9467</v>
      </c>
      <c r="C1210" t="s">
        <v>7407</v>
      </c>
      <c r="D1210">
        <v>40</v>
      </c>
      <c r="E1210">
        <v>0</v>
      </c>
    </row>
    <row r="1211" spans="1:5" x14ac:dyDescent="0.25">
      <c r="A1211" s="32">
        <v>1213</v>
      </c>
      <c r="B1211" s="32" t="s">
        <v>9467</v>
      </c>
      <c r="C1211" s="32" t="s">
        <v>7408</v>
      </c>
      <c r="D1211" s="32">
        <v>18</v>
      </c>
      <c r="E1211" s="32">
        <v>0</v>
      </c>
    </row>
    <row r="1212" spans="1:5" x14ac:dyDescent="0.25">
      <c r="A1212">
        <v>1214</v>
      </c>
      <c r="B1212" t="s">
        <v>9467</v>
      </c>
      <c r="C1212" t="s">
        <v>7409</v>
      </c>
      <c r="D1212">
        <v>24</v>
      </c>
      <c r="E1212">
        <v>0</v>
      </c>
    </row>
    <row r="1213" spans="1:5" x14ac:dyDescent="0.25">
      <c r="A1213" s="32">
        <v>1215</v>
      </c>
      <c r="B1213" s="32" t="s">
        <v>9467</v>
      </c>
      <c r="C1213" s="32" t="s">
        <v>7411</v>
      </c>
      <c r="D1213" s="32">
        <v>48</v>
      </c>
      <c r="E1213" s="32">
        <v>0</v>
      </c>
    </row>
    <row r="1214" spans="1:5" x14ac:dyDescent="0.25">
      <c r="A1214">
        <v>1216</v>
      </c>
      <c r="B1214" t="s">
        <v>9467</v>
      </c>
      <c r="C1214" t="s">
        <v>7413</v>
      </c>
      <c r="D1214">
        <v>5</v>
      </c>
      <c r="E1214">
        <v>0</v>
      </c>
    </row>
    <row r="1215" spans="1:5" x14ac:dyDescent="0.25">
      <c r="A1215" s="32">
        <v>1217</v>
      </c>
      <c r="B1215" s="32" t="s">
        <v>9467</v>
      </c>
      <c r="C1215" s="32" t="s">
        <v>7415</v>
      </c>
      <c r="D1215" s="32">
        <v>5</v>
      </c>
      <c r="E1215" s="32">
        <v>0</v>
      </c>
    </row>
    <row r="1216" spans="1:5" x14ac:dyDescent="0.25">
      <c r="A1216">
        <v>1218</v>
      </c>
      <c r="B1216" t="s">
        <v>9467</v>
      </c>
      <c r="C1216" t="s">
        <v>7417</v>
      </c>
      <c r="D1216">
        <v>6</v>
      </c>
      <c r="E1216">
        <v>0</v>
      </c>
    </row>
    <row r="1217" spans="1:5" x14ac:dyDescent="0.25">
      <c r="A1217" s="32">
        <v>1219</v>
      </c>
      <c r="B1217" s="32" t="s">
        <v>9467</v>
      </c>
      <c r="C1217" s="32" t="s">
        <v>7419</v>
      </c>
      <c r="D1217" s="32">
        <v>4</v>
      </c>
      <c r="E1217" s="32">
        <v>0</v>
      </c>
    </row>
    <row r="1218" spans="1:5" x14ac:dyDescent="0.25">
      <c r="A1218">
        <v>1220</v>
      </c>
      <c r="B1218" t="s">
        <v>9464</v>
      </c>
      <c r="C1218" t="s">
        <v>7421</v>
      </c>
      <c r="D1218">
        <v>3</v>
      </c>
      <c r="E1218">
        <v>0</v>
      </c>
    </row>
    <row r="1219" spans="1:5" x14ac:dyDescent="0.25">
      <c r="A1219" s="32">
        <v>1221</v>
      </c>
      <c r="B1219" s="32" t="s">
        <v>9464</v>
      </c>
      <c r="C1219" s="32" t="s">
        <v>7422</v>
      </c>
      <c r="D1219" s="32">
        <v>6</v>
      </c>
      <c r="E1219" s="32">
        <v>0</v>
      </c>
    </row>
    <row r="1220" spans="1:5" x14ac:dyDescent="0.25">
      <c r="A1220">
        <v>1222</v>
      </c>
      <c r="B1220" t="s">
        <v>9463</v>
      </c>
      <c r="C1220" t="s">
        <v>7424</v>
      </c>
      <c r="D1220">
        <v>12</v>
      </c>
      <c r="E1220">
        <v>0</v>
      </c>
    </row>
    <row r="1221" spans="1:5" x14ac:dyDescent="0.25">
      <c r="A1221" s="32">
        <v>1223</v>
      </c>
      <c r="B1221" s="32" t="s">
        <v>9463</v>
      </c>
      <c r="C1221" s="32" t="s">
        <v>7426</v>
      </c>
      <c r="D1221" s="32">
        <v>12</v>
      </c>
      <c r="E1221" s="32">
        <v>0</v>
      </c>
    </row>
    <row r="1222" spans="1:5" x14ac:dyDescent="0.25">
      <c r="A1222">
        <v>1224</v>
      </c>
      <c r="B1222" t="s">
        <v>9468</v>
      </c>
      <c r="C1222" t="s">
        <v>7428</v>
      </c>
      <c r="D1222">
        <v>15</v>
      </c>
      <c r="E1222">
        <v>0</v>
      </c>
    </row>
    <row r="1223" spans="1:5" x14ac:dyDescent="0.25">
      <c r="A1223" s="32">
        <v>1225</v>
      </c>
      <c r="B1223" s="32" t="s">
        <v>9468</v>
      </c>
      <c r="C1223" s="32" t="s">
        <v>7430</v>
      </c>
      <c r="D1223" s="32">
        <v>5</v>
      </c>
      <c r="E1223" s="32">
        <v>0</v>
      </c>
    </row>
    <row r="1224" spans="1:5" x14ac:dyDescent="0.25">
      <c r="A1224">
        <v>1226</v>
      </c>
      <c r="B1224" t="s">
        <v>9468</v>
      </c>
      <c r="C1224" t="s">
        <v>7432</v>
      </c>
      <c r="D1224">
        <v>4</v>
      </c>
      <c r="E1224">
        <v>0</v>
      </c>
    </row>
    <row r="1225" spans="1:5" x14ac:dyDescent="0.25">
      <c r="A1225" s="32">
        <v>1227</v>
      </c>
      <c r="B1225" s="32" t="s">
        <v>9468</v>
      </c>
      <c r="C1225" s="32" t="s">
        <v>7434</v>
      </c>
      <c r="D1225" s="32">
        <v>10</v>
      </c>
      <c r="E1225" s="32">
        <v>0</v>
      </c>
    </row>
    <row r="1226" spans="1:5" x14ac:dyDescent="0.25">
      <c r="A1226">
        <v>1228</v>
      </c>
      <c r="B1226" t="s">
        <v>9469</v>
      </c>
      <c r="C1226" t="s">
        <v>7436</v>
      </c>
      <c r="D1226">
        <v>5</v>
      </c>
      <c r="E1226">
        <v>0</v>
      </c>
    </row>
    <row r="1227" spans="1:5" x14ac:dyDescent="0.25">
      <c r="A1227" s="32">
        <v>1229</v>
      </c>
      <c r="B1227" s="32" t="s">
        <v>9469</v>
      </c>
      <c r="C1227" s="32" t="s">
        <v>7438</v>
      </c>
      <c r="D1227" s="32">
        <v>4</v>
      </c>
      <c r="E1227" s="32">
        <v>0</v>
      </c>
    </row>
    <row r="1228" spans="1:5" x14ac:dyDescent="0.25">
      <c r="A1228">
        <v>1230</v>
      </c>
      <c r="B1228" t="s">
        <v>9469</v>
      </c>
      <c r="C1228" t="s">
        <v>7440</v>
      </c>
      <c r="D1228">
        <v>10</v>
      </c>
      <c r="E1228">
        <v>0</v>
      </c>
    </row>
    <row r="1229" spans="1:5" x14ac:dyDescent="0.25">
      <c r="A1229" s="32">
        <v>1231</v>
      </c>
      <c r="B1229" s="32" t="s">
        <v>9470</v>
      </c>
      <c r="C1229" s="32" t="s">
        <v>7442</v>
      </c>
      <c r="D1229" s="32">
        <v>8</v>
      </c>
      <c r="E1229" s="32">
        <v>0</v>
      </c>
    </row>
    <row r="1230" spans="1:5" x14ac:dyDescent="0.25">
      <c r="A1230">
        <v>1232</v>
      </c>
      <c r="B1230" t="s">
        <v>9470</v>
      </c>
      <c r="C1230" t="s">
        <v>7444</v>
      </c>
      <c r="D1230">
        <v>4</v>
      </c>
      <c r="E1230">
        <v>0</v>
      </c>
    </row>
    <row r="1231" spans="1:5" x14ac:dyDescent="0.25">
      <c r="A1231" s="32">
        <v>1233</v>
      </c>
      <c r="B1231" s="32" t="s">
        <v>9470</v>
      </c>
      <c r="C1231" s="32" t="s">
        <v>7446</v>
      </c>
      <c r="D1231" s="32">
        <v>3</v>
      </c>
      <c r="E1231" s="32">
        <v>0</v>
      </c>
    </row>
    <row r="1232" spans="1:5" x14ac:dyDescent="0.25">
      <c r="A1232">
        <v>1234</v>
      </c>
      <c r="B1232" t="s">
        <v>9470</v>
      </c>
      <c r="C1232" t="s">
        <v>7448</v>
      </c>
      <c r="D1232">
        <v>6</v>
      </c>
      <c r="E1232">
        <v>0</v>
      </c>
    </row>
    <row r="1233" spans="1:5" x14ac:dyDescent="0.25">
      <c r="A1233" s="32">
        <v>1235</v>
      </c>
      <c r="B1233" s="32" t="s">
        <v>9470</v>
      </c>
      <c r="C1233" s="32" t="s">
        <v>7450</v>
      </c>
      <c r="D1233" s="32">
        <v>6</v>
      </c>
      <c r="E1233" s="32">
        <v>0</v>
      </c>
    </row>
    <row r="1234" spans="1:5" x14ac:dyDescent="0.25">
      <c r="A1234">
        <v>1236</v>
      </c>
      <c r="B1234" t="s">
        <v>9470</v>
      </c>
      <c r="C1234" t="s">
        <v>7452</v>
      </c>
      <c r="D1234">
        <v>12</v>
      </c>
      <c r="E1234">
        <v>0</v>
      </c>
    </row>
    <row r="1235" spans="1:5" x14ac:dyDescent="0.25">
      <c r="A1235" s="32">
        <v>1237</v>
      </c>
      <c r="B1235" s="32" t="s">
        <v>9470</v>
      </c>
      <c r="C1235" s="32" t="s">
        <v>7454</v>
      </c>
      <c r="D1235" s="32">
        <v>4</v>
      </c>
      <c r="E1235" s="32">
        <v>0</v>
      </c>
    </row>
    <row r="1236" spans="1:5" x14ac:dyDescent="0.25">
      <c r="A1236">
        <v>1238</v>
      </c>
      <c r="B1236" t="s">
        <v>9470</v>
      </c>
      <c r="C1236" t="s">
        <v>7456</v>
      </c>
      <c r="D1236">
        <v>32</v>
      </c>
      <c r="E1236">
        <v>0</v>
      </c>
    </row>
    <row r="1237" spans="1:5" x14ac:dyDescent="0.25">
      <c r="A1237" s="32">
        <v>1239</v>
      </c>
      <c r="B1237" s="32" t="s">
        <v>9470</v>
      </c>
      <c r="C1237" s="32" t="s">
        <v>7457</v>
      </c>
      <c r="D1237" s="32">
        <v>47</v>
      </c>
      <c r="E1237" s="32">
        <v>0</v>
      </c>
    </row>
    <row r="1238" spans="1:5" x14ac:dyDescent="0.25">
      <c r="A1238">
        <v>1240</v>
      </c>
      <c r="B1238" t="s">
        <v>9469</v>
      </c>
      <c r="C1238" t="s">
        <v>7459</v>
      </c>
      <c r="D1238">
        <v>6</v>
      </c>
      <c r="E1238">
        <v>0</v>
      </c>
    </row>
    <row r="1239" spans="1:5" x14ac:dyDescent="0.25">
      <c r="A1239" s="32">
        <v>1241</v>
      </c>
      <c r="B1239" s="32" t="s">
        <v>9469</v>
      </c>
      <c r="C1239" s="32" t="s">
        <v>7460</v>
      </c>
      <c r="D1239" s="32">
        <v>6</v>
      </c>
      <c r="E1239" s="32">
        <v>0</v>
      </c>
    </row>
    <row r="1240" spans="1:5" x14ac:dyDescent="0.25">
      <c r="A1240">
        <v>1242</v>
      </c>
      <c r="B1240" t="s">
        <v>9469</v>
      </c>
      <c r="C1240" t="s">
        <v>7461</v>
      </c>
      <c r="D1240">
        <v>3</v>
      </c>
      <c r="E1240">
        <v>0</v>
      </c>
    </row>
    <row r="1241" spans="1:5" x14ac:dyDescent="0.25">
      <c r="A1241" s="32">
        <v>1243</v>
      </c>
      <c r="B1241" s="32" t="s">
        <v>9469</v>
      </c>
      <c r="C1241" s="32" t="s">
        <v>7463</v>
      </c>
      <c r="D1241" s="32">
        <v>6</v>
      </c>
      <c r="E1241" s="32">
        <v>0</v>
      </c>
    </row>
    <row r="1242" spans="1:5" x14ac:dyDescent="0.25">
      <c r="A1242">
        <v>1244</v>
      </c>
      <c r="B1242" t="s">
        <v>9469</v>
      </c>
      <c r="C1242" t="s">
        <v>7465</v>
      </c>
      <c r="D1242">
        <v>15</v>
      </c>
      <c r="E1242">
        <v>0</v>
      </c>
    </row>
    <row r="1243" spans="1:5" x14ac:dyDescent="0.25">
      <c r="A1243" s="32">
        <v>1245</v>
      </c>
      <c r="B1243" s="32" t="s">
        <v>9469</v>
      </c>
      <c r="C1243" s="32" t="s">
        <v>7467</v>
      </c>
      <c r="D1243" s="32">
        <v>4</v>
      </c>
      <c r="E1243" s="32">
        <v>0</v>
      </c>
    </row>
    <row r="1244" spans="1:5" x14ac:dyDescent="0.25">
      <c r="A1244">
        <v>1246</v>
      </c>
      <c r="B1244" t="s">
        <v>9469</v>
      </c>
      <c r="C1244" t="s">
        <v>7469</v>
      </c>
      <c r="D1244">
        <v>4</v>
      </c>
      <c r="E1244">
        <v>0</v>
      </c>
    </row>
    <row r="1245" spans="1:5" x14ac:dyDescent="0.25">
      <c r="A1245" s="32">
        <v>1247</v>
      </c>
      <c r="B1245" s="32" t="s">
        <v>9469</v>
      </c>
      <c r="C1245" s="32" t="s">
        <v>7471</v>
      </c>
      <c r="D1245" s="32">
        <v>6</v>
      </c>
      <c r="E1245" s="32">
        <v>0</v>
      </c>
    </row>
    <row r="1246" spans="1:5" x14ac:dyDescent="0.25">
      <c r="A1246">
        <v>1248</v>
      </c>
      <c r="B1246" t="s">
        <v>9469</v>
      </c>
      <c r="C1246" t="s">
        <v>7473</v>
      </c>
      <c r="D1246">
        <v>3</v>
      </c>
      <c r="E1246">
        <v>0</v>
      </c>
    </row>
    <row r="1247" spans="1:5" x14ac:dyDescent="0.25">
      <c r="A1247" s="32">
        <v>1249</v>
      </c>
      <c r="B1247" s="32" t="s">
        <v>9469</v>
      </c>
      <c r="C1247" s="32" t="s">
        <v>7475</v>
      </c>
      <c r="D1247" s="32">
        <v>15</v>
      </c>
      <c r="E1247" s="32">
        <v>0</v>
      </c>
    </row>
    <row r="1248" spans="1:5" x14ac:dyDescent="0.25">
      <c r="A1248">
        <v>1250</v>
      </c>
      <c r="B1248" t="s">
        <v>9469</v>
      </c>
      <c r="C1248" t="s">
        <v>7476</v>
      </c>
      <c r="D1248">
        <v>5</v>
      </c>
      <c r="E1248">
        <v>0</v>
      </c>
    </row>
    <row r="1249" spans="1:5" x14ac:dyDescent="0.25">
      <c r="A1249" s="32">
        <v>1251</v>
      </c>
      <c r="B1249" s="32" t="s">
        <v>9469</v>
      </c>
      <c r="C1249" s="32" t="s">
        <v>7478</v>
      </c>
      <c r="D1249" s="32">
        <v>5</v>
      </c>
      <c r="E1249" s="32">
        <v>0</v>
      </c>
    </row>
    <row r="1250" spans="1:5" x14ac:dyDescent="0.25">
      <c r="A1250">
        <v>1252</v>
      </c>
      <c r="B1250" t="s">
        <v>9469</v>
      </c>
      <c r="C1250" t="s">
        <v>7480</v>
      </c>
      <c r="D1250">
        <v>4</v>
      </c>
      <c r="E1250">
        <v>0</v>
      </c>
    </row>
    <row r="1251" spans="1:5" x14ac:dyDescent="0.25">
      <c r="A1251" s="32">
        <v>1253</v>
      </c>
      <c r="B1251" s="32" t="s">
        <v>9469</v>
      </c>
      <c r="C1251" s="32" t="s">
        <v>7482</v>
      </c>
      <c r="D1251" s="32">
        <v>6</v>
      </c>
      <c r="E1251" s="32">
        <v>0</v>
      </c>
    </row>
    <row r="1252" spans="1:5" x14ac:dyDescent="0.25">
      <c r="A1252">
        <v>1254</v>
      </c>
      <c r="B1252" t="s">
        <v>9469</v>
      </c>
      <c r="C1252" t="s">
        <v>7484</v>
      </c>
      <c r="D1252">
        <v>12</v>
      </c>
      <c r="E1252">
        <v>0</v>
      </c>
    </row>
    <row r="1253" spans="1:5" x14ac:dyDescent="0.25">
      <c r="A1253" s="32">
        <v>1255</v>
      </c>
      <c r="B1253" s="32" t="s">
        <v>9469</v>
      </c>
      <c r="C1253" s="32" t="s">
        <v>7486</v>
      </c>
      <c r="D1253" s="32">
        <v>3</v>
      </c>
      <c r="E1253" s="32">
        <v>0</v>
      </c>
    </row>
    <row r="1254" spans="1:5" x14ac:dyDescent="0.25">
      <c r="A1254">
        <v>1256</v>
      </c>
      <c r="B1254" t="s">
        <v>9469</v>
      </c>
      <c r="C1254" t="s">
        <v>7488</v>
      </c>
      <c r="D1254">
        <v>6</v>
      </c>
      <c r="E1254">
        <v>0</v>
      </c>
    </row>
    <row r="1255" spans="1:5" x14ac:dyDescent="0.25">
      <c r="A1255" s="32">
        <v>1257</v>
      </c>
      <c r="B1255" s="32" t="s">
        <v>9469</v>
      </c>
      <c r="C1255" s="32" t="s">
        <v>7490</v>
      </c>
      <c r="D1255" s="32">
        <v>3</v>
      </c>
      <c r="E1255" s="32">
        <v>0</v>
      </c>
    </row>
    <row r="1256" spans="1:5" x14ac:dyDescent="0.25">
      <c r="A1256">
        <v>1258</v>
      </c>
      <c r="B1256" t="s">
        <v>9469</v>
      </c>
      <c r="C1256" t="s">
        <v>7492</v>
      </c>
      <c r="D1256">
        <v>5</v>
      </c>
      <c r="E1256">
        <v>0</v>
      </c>
    </row>
    <row r="1257" spans="1:5" x14ac:dyDescent="0.25">
      <c r="A1257" s="32">
        <v>1259</v>
      </c>
      <c r="B1257" s="32" t="s">
        <v>9469</v>
      </c>
      <c r="C1257" s="32" t="s">
        <v>7494</v>
      </c>
      <c r="D1257" s="32">
        <v>3</v>
      </c>
      <c r="E1257" s="32">
        <v>0</v>
      </c>
    </row>
    <row r="1258" spans="1:5" x14ac:dyDescent="0.25">
      <c r="A1258">
        <v>1260</v>
      </c>
      <c r="B1258" t="s">
        <v>9469</v>
      </c>
      <c r="C1258" t="s">
        <v>7496</v>
      </c>
      <c r="D1258">
        <v>8</v>
      </c>
      <c r="E1258">
        <v>0</v>
      </c>
    </row>
    <row r="1259" spans="1:5" x14ac:dyDescent="0.25">
      <c r="A1259" s="32">
        <v>1261</v>
      </c>
      <c r="B1259" s="32" t="s">
        <v>9469</v>
      </c>
      <c r="C1259" s="32" t="s">
        <v>7498</v>
      </c>
      <c r="D1259" s="32">
        <v>3</v>
      </c>
      <c r="E1259" s="32">
        <v>0</v>
      </c>
    </row>
    <row r="1260" spans="1:5" x14ac:dyDescent="0.25">
      <c r="A1260">
        <v>1262</v>
      </c>
      <c r="B1260" t="s">
        <v>9469</v>
      </c>
      <c r="C1260" t="s">
        <v>7500</v>
      </c>
      <c r="D1260">
        <v>6</v>
      </c>
      <c r="E1260">
        <v>0</v>
      </c>
    </row>
    <row r="1261" spans="1:5" x14ac:dyDescent="0.25">
      <c r="A1261" s="32">
        <v>1263</v>
      </c>
      <c r="B1261" s="32" t="s">
        <v>9469</v>
      </c>
      <c r="C1261" s="32" t="s">
        <v>7502</v>
      </c>
      <c r="D1261" s="32">
        <v>3</v>
      </c>
      <c r="E1261" s="32">
        <v>0</v>
      </c>
    </row>
    <row r="1262" spans="1:5" x14ac:dyDescent="0.25">
      <c r="A1262">
        <v>1264</v>
      </c>
      <c r="B1262" t="s">
        <v>9469</v>
      </c>
      <c r="C1262" t="s">
        <v>7504</v>
      </c>
      <c r="D1262">
        <v>5</v>
      </c>
      <c r="E1262">
        <v>0</v>
      </c>
    </row>
    <row r="1263" spans="1:5" x14ac:dyDescent="0.25">
      <c r="A1263" s="32">
        <v>1265</v>
      </c>
      <c r="B1263" s="32" t="s">
        <v>9469</v>
      </c>
      <c r="C1263" s="32" t="s">
        <v>7506</v>
      </c>
      <c r="D1263" s="32">
        <v>4</v>
      </c>
      <c r="E1263" s="32">
        <v>0</v>
      </c>
    </row>
    <row r="1264" spans="1:5" x14ac:dyDescent="0.25">
      <c r="A1264">
        <v>1266</v>
      </c>
      <c r="B1264" t="s">
        <v>9469</v>
      </c>
      <c r="C1264" t="s">
        <v>7508</v>
      </c>
      <c r="D1264">
        <v>6</v>
      </c>
      <c r="E1264">
        <v>0</v>
      </c>
    </row>
    <row r="1265" spans="1:5" x14ac:dyDescent="0.25">
      <c r="A1265" s="32">
        <v>1267</v>
      </c>
      <c r="B1265" s="32" t="s">
        <v>9469</v>
      </c>
      <c r="C1265" s="32" t="s">
        <v>7510</v>
      </c>
      <c r="D1265" s="32">
        <v>3</v>
      </c>
      <c r="E1265" s="32">
        <v>0</v>
      </c>
    </row>
    <row r="1266" spans="1:5" x14ac:dyDescent="0.25">
      <c r="A1266">
        <v>1268</v>
      </c>
      <c r="B1266" t="s">
        <v>9469</v>
      </c>
      <c r="C1266" t="s">
        <v>7512</v>
      </c>
      <c r="D1266">
        <v>6</v>
      </c>
      <c r="E1266">
        <v>0</v>
      </c>
    </row>
    <row r="1267" spans="1:5" x14ac:dyDescent="0.25">
      <c r="A1267" s="32">
        <v>1269</v>
      </c>
      <c r="B1267" s="32" t="s">
        <v>9469</v>
      </c>
      <c r="C1267" s="32" t="s">
        <v>7514</v>
      </c>
      <c r="D1267" s="32">
        <v>5</v>
      </c>
      <c r="E1267" s="32">
        <v>0</v>
      </c>
    </row>
    <row r="1268" spans="1:5" x14ac:dyDescent="0.25">
      <c r="A1268">
        <v>1270</v>
      </c>
      <c r="B1268" t="s">
        <v>9469</v>
      </c>
      <c r="C1268" t="s">
        <v>7516</v>
      </c>
      <c r="D1268">
        <v>4</v>
      </c>
      <c r="E1268">
        <v>0</v>
      </c>
    </row>
    <row r="1269" spans="1:5" x14ac:dyDescent="0.25">
      <c r="A1269" s="32">
        <v>1271</v>
      </c>
      <c r="B1269" s="32" t="s">
        <v>9469</v>
      </c>
      <c r="C1269" s="32" t="s">
        <v>7518</v>
      </c>
      <c r="D1269" s="32">
        <v>4</v>
      </c>
      <c r="E1269" s="32">
        <v>0</v>
      </c>
    </row>
    <row r="1270" spans="1:5" x14ac:dyDescent="0.25">
      <c r="A1270">
        <v>1272</v>
      </c>
      <c r="B1270" t="s">
        <v>9469</v>
      </c>
      <c r="C1270" t="s">
        <v>7520</v>
      </c>
      <c r="D1270">
        <v>3</v>
      </c>
      <c r="E1270">
        <v>1.8149999999999999</v>
      </c>
    </row>
    <row r="1271" spans="1:5" x14ac:dyDescent="0.25">
      <c r="A1271" s="32">
        <v>1273</v>
      </c>
      <c r="B1271" s="32" t="s">
        <v>9471</v>
      </c>
      <c r="C1271" s="32" t="s">
        <v>7522</v>
      </c>
      <c r="D1271" s="32">
        <v>5</v>
      </c>
      <c r="E1271" s="32">
        <v>0</v>
      </c>
    </row>
    <row r="1272" spans="1:5" x14ac:dyDescent="0.25">
      <c r="A1272">
        <v>1274</v>
      </c>
      <c r="B1272" t="s">
        <v>9471</v>
      </c>
      <c r="C1272" t="s">
        <v>7523</v>
      </c>
      <c r="D1272">
        <v>10</v>
      </c>
      <c r="E1272">
        <v>0</v>
      </c>
    </row>
    <row r="1273" spans="1:5" x14ac:dyDescent="0.25">
      <c r="A1273" s="32">
        <v>1275</v>
      </c>
      <c r="B1273" s="32" t="s">
        <v>9471</v>
      </c>
      <c r="C1273" s="32" t="s">
        <v>7524</v>
      </c>
      <c r="D1273" s="32">
        <v>50</v>
      </c>
      <c r="E1273" s="32">
        <v>0</v>
      </c>
    </row>
    <row r="1274" spans="1:5" x14ac:dyDescent="0.25">
      <c r="A1274">
        <v>1276</v>
      </c>
      <c r="B1274" t="s">
        <v>9471</v>
      </c>
      <c r="C1274" t="s">
        <v>7526</v>
      </c>
      <c r="D1274">
        <v>10</v>
      </c>
      <c r="E1274">
        <v>0</v>
      </c>
    </row>
    <row r="1275" spans="1:5" x14ac:dyDescent="0.25">
      <c r="A1275" s="32">
        <v>1277</v>
      </c>
      <c r="B1275" s="32" t="s">
        <v>9471</v>
      </c>
      <c r="C1275" s="32" t="s">
        <v>7528</v>
      </c>
      <c r="D1275" s="32">
        <v>10</v>
      </c>
      <c r="E1275" s="32">
        <v>0</v>
      </c>
    </row>
    <row r="1276" spans="1:5" x14ac:dyDescent="0.25">
      <c r="A1276">
        <v>1278</v>
      </c>
      <c r="B1276" t="s">
        <v>9471</v>
      </c>
      <c r="C1276" t="s">
        <v>7530</v>
      </c>
      <c r="D1276">
        <v>15</v>
      </c>
      <c r="E1276">
        <v>0</v>
      </c>
    </row>
    <row r="1277" spans="1:5" x14ac:dyDescent="0.25">
      <c r="A1277" s="32">
        <v>1279</v>
      </c>
      <c r="B1277" s="32" t="s">
        <v>9471</v>
      </c>
      <c r="C1277" s="32" t="s">
        <v>7532</v>
      </c>
      <c r="D1277" s="32">
        <v>25</v>
      </c>
      <c r="E1277" s="32">
        <v>0</v>
      </c>
    </row>
    <row r="1278" spans="1:5" x14ac:dyDescent="0.25">
      <c r="A1278">
        <v>1280</v>
      </c>
      <c r="B1278" t="s">
        <v>9471</v>
      </c>
      <c r="C1278" t="s">
        <v>7534</v>
      </c>
      <c r="D1278">
        <v>6</v>
      </c>
      <c r="E1278">
        <v>0</v>
      </c>
    </row>
    <row r="1279" spans="1:5" x14ac:dyDescent="0.25">
      <c r="A1279" s="32">
        <v>1281</v>
      </c>
      <c r="B1279" s="32" t="s">
        <v>9472</v>
      </c>
      <c r="C1279" s="32" t="s">
        <v>7536</v>
      </c>
      <c r="D1279" s="32">
        <v>16</v>
      </c>
      <c r="E1279" s="32">
        <v>0</v>
      </c>
    </row>
    <row r="1280" spans="1:5" x14ac:dyDescent="0.25">
      <c r="A1280">
        <v>1282</v>
      </c>
      <c r="B1280" t="s">
        <v>9472</v>
      </c>
      <c r="C1280" t="s">
        <v>7538</v>
      </c>
      <c r="D1280">
        <v>4</v>
      </c>
      <c r="E1280">
        <v>0</v>
      </c>
    </row>
    <row r="1281" spans="1:5" x14ac:dyDescent="0.25">
      <c r="A1281" s="32">
        <v>1283</v>
      </c>
      <c r="B1281" s="32" t="s">
        <v>9473</v>
      </c>
      <c r="C1281" s="32" t="s">
        <v>7540</v>
      </c>
      <c r="D1281" s="32">
        <v>5</v>
      </c>
      <c r="E1281" s="32">
        <v>0</v>
      </c>
    </row>
    <row r="1282" spans="1:5" x14ac:dyDescent="0.25">
      <c r="A1282">
        <v>1284</v>
      </c>
      <c r="B1282" t="s">
        <v>9474</v>
      </c>
      <c r="C1282" t="s">
        <v>7542</v>
      </c>
      <c r="D1282">
        <v>5</v>
      </c>
      <c r="E1282">
        <v>0</v>
      </c>
    </row>
    <row r="1283" spans="1:5" x14ac:dyDescent="0.25">
      <c r="A1283" s="32">
        <v>1285</v>
      </c>
      <c r="B1283" s="32" t="s">
        <v>9474</v>
      </c>
      <c r="C1283" s="32" t="s">
        <v>7544</v>
      </c>
      <c r="D1283" s="32">
        <v>18</v>
      </c>
      <c r="E1283" s="32">
        <v>0</v>
      </c>
    </row>
    <row r="1284" spans="1:5" x14ac:dyDescent="0.25">
      <c r="A1284">
        <v>1286</v>
      </c>
      <c r="B1284" t="s">
        <v>9474</v>
      </c>
      <c r="C1284" t="s">
        <v>7546</v>
      </c>
      <c r="D1284">
        <v>25</v>
      </c>
      <c r="E1284">
        <v>0</v>
      </c>
    </row>
    <row r="1285" spans="1:5" x14ac:dyDescent="0.25">
      <c r="A1285" s="32">
        <v>1287</v>
      </c>
      <c r="B1285" s="32" t="s">
        <v>9474</v>
      </c>
      <c r="C1285" s="32" t="s">
        <v>7548</v>
      </c>
      <c r="D1285" s="32">
        <v>30</v>
      </c>
      <c r="E1285" s="32">
        <v>0</v>
      </c>
    </row>
    <row r="1286" spans="1:5" x14ac:dyDescent="0.25">
      <c r="A1286">
        <v>1288</v>
      </c>
      <c r="B1286" t="s">
        <v>9474</v>
      </c>
      <c r="C1286" t="s">
        <v>7550</v>
      </c>
      <c r="D1286">
        <v>4</v>
      </c>
      <c r="E1286">
        <v>0</v>
      </c>
    </row>
    <row r="1287" spans="1:5" x14ac:dyDescent="0.25">
      <c r="A1287" s="32">
        <v>1289</v>
      </c>
      <c r="B1287" s="32" t="s">
        <v>9474</v>
      </c>
      <c r="C1287" s="32" t="s">
        <v>7552</v>
      </c>
      <c r="D1287" s="32">
        <v>4</v>
      </c>
      <c r="E1287" s="32">
        <v>0</v>
      </c>
    </row>
    <row r="1288" spans="1:5" x14ac:dyDescent="0.25">
      <c r="A1288">
        <v>1290</v>
      </c>
      <c r="B1288" t="s">
        <v>9474</v>
      </c>
      <c r="C1288" t="s">
        <v>7554</v>
      </c>
      <c r="D1288">
        <v>25</v>
      </c>
      <c r="E1288">
        <v>0</v>
      </c>
    </row>
    <row r="1289" spans="1:5" x14ac:dyDescent="0.25">
      <c r="A1289" s="32">
        <v>1291</v>
      </c>
      <c r="B1289" s="32" t="s">
        <v>9474</v>
      </c>
      <c r="C1289" s="32" t="s">
        <v>7556</v>
      </c>
      <c r="D1289" s="32">
        <v>3</v>
      </c>
      <c r="E1289" s="32">
        <v>0</v>
      </c>
    </row>
    <row r="1290" spans="1:5" x14ac:dyDescent="0.25">
      <c r="A1290">
        <v>1292</v>
      </c>
      <c r="B1290" t="s">
        <v>9474</v>
      </c>
      <c r="C1290" t="s">
        <v>7558</v>
      </c>
      <c r="D1290">
        <v>6</v>
      </c>
      <c r="E1290">
        <v>0</v>
      </c>
    </row>
    <row r="1291" spans="1:5" x14ac:dyDescent="0.25">
      <c r="A1291" s="32">
        <v>1293</v>
      </c>
      <c r="B1291" s="32" t="s">
        <v>9474</v>
      </c>
      <c r="C1291" s="32" t="s">
        <v>7560</v>
      </c>
      <c r="D1291" s="32">
        <v>4</v>
      </c>
      <c r="E1291" s="32">
        <v>0</v>
      </c>
    </row>
    <row r="1292" spans="1:5" x14ac:dyDescent="0.25">
      <c r="A1292">
        <v>1294</v>
      </c>
      <c r="B1292" t="s">
        <v>9474</v>
      </c>
      <c r="C1292" t="s">
        <v>7562</v>
      </c>
      <c r="D1292">
        <v>4</v>
      </c>
      <c r="E1292">
        <v>0</v>
      </c>
    </row>
    <row r="1293" spans="1:5" x14ac:dyDescent="0.25">
      <c r="A1293" s="32">
        <v>1295</v>
      </c>
      <c r="B1293" s="32" t="s">
        <v>9474</v>
      </c>
      <c r="C1293" s="32" t="s">
        <v>7564</v>
      </c>
      <c r="D1293" s="32">
        <v>6</v>
      </c>
      <c r="E1293" s="32">
        <v>0</v>
      </c>
    </row>
    <row r="1294" spans="1:5" x14ac:dyDescent="0.25">
      <c r="A1294">
        <v>1296</v>
      </c>
      <c r="B1294" t="s">
        <v>9474</v>
      </c>
      <c r="C1294" t="s">
        <v>7566</v>
      </c>
      <c r="D1294">
        <v>3</v>
      </c>
      <c r="E1294">
        <v>0</v>
      </c>
    </row>
    <row r="1295" spans="1:5" x14ac:dyDescent="0.25">
      <c r="A1295" s="32">
        <v>1297</v>
      </c>
      <c r="B1295" s="32" t="s">
        <v>9474</v>
      </c>
      <c r="C1295" s="32" t="s">
        <v>7568</v>
      </c>
      <c r="D1295" s="32">
        <v>3</v>
      </c>
      <c r="E1295" s="32">
        <v>0</v>
      </c>
    </row>
    <row r="1296" spans="1:5" x14ac:dyDescent="0.25">
      <c r="A1296">
        <v>1298</v>
      </c>
      <c r="B1296" t="s">
        <v>9474</v>
      </c>
      <c r="C1296" t="s">
        <v>7570</v>
      </c>
      <c r="D1296">
        <v>10</v>
      </c>
      <c r="E1296">
        <v>0</v>
      </c>
    </row>
    <row r="1297" spans="1:5" x14ac:dyDescent="0.25">
      <c r="A1297" s="32">
        <v>1299</v>
      </c>
      <c r="B1297" s="32" t="s">
        <v>9474</v>
      </c>
      <c r="C1297" s="32" t="s">
        <v>7572</v>
      </c>
      <c r="D1297" s="32">
        <v>6</v>
      </c>
      <c r="E1297" s="32">
        <v>0</v>
      </c>
    </row>
    <row r="1298" spans="1:5" x14ac:dyDescent="0.25">
      <c r="A1298">
        <v>1300</v>
      </c>
      <c r="B1298" t="s">
        <v>9474</v>
      </c>
      <c r="C1298" t="s">
        <v>7573</v>
      </c>
      <c r="D1298">
        <v>5</v>
      </c>
      <c r="E1298">
        <v>0</v>
      </c>
    </row>
    <row r="1299" spans="1:5" x14ac:dyDescent="0.25">
      <c r="A1299" s="32">
        <v>1301</v>
      </c>
      <c r="B1299" s="32" t="s">
        <v>9474</v>
      </c>
      <c r="C1299" s="32" t="s">
        <v>7575</v>
      </c>
      <c r="D1299" s="32">
        <v>5</v>
      </c>
      <c r="E1299" s="32">
        <v>0</v>
      </c>
    </row>
    <row r="1300" spans="1:5" x14ac:dyDescent="0.25">
      <c r="A1300">
        <v>1302</v>
      </c>
      <c r="B1300" t="s">
        <v>9474</v>
      </c>
      <c r="C1300" t="s">
        <v>7577</v>
      </c>
      <c r="D1300">
        <v>4</v>
      </c>
      <c r="E1300">
        <v>0</v>
      </c>
    </row>
    <row r="1301" spans="1:5" x14ac:dyDescent="0.25">
      <c r="A1301" s="32">
        <v>1303</v>
      </c>
      <c r="B1301" s="32" t="s">
        <v>9474</v>
      </c>
      <c r="C1301" s="32" t="s">
        <v>7579</v>
      </c>
      <c r="D1301" s="32">
        <v>6</v>
      </c>
      <c r="E1301" s="32">
        <v>0</v>
      </c>
    </row>
    <row r="1302" spans="1:5" x14ac:dyDescent="0.25">
      <c r="A1302">
        <v>1304</v>
      </c>
      <c r="B1302" t="s">
        <v>9474</v>
      </c>
      <c r="C1302" t="s">
        <v>7581</v>
      </c>
      <c r="D1302">
        <v>4</v>
      </c>
      <c r="E1302">
        <v>0</v>
      </c>
    </row>
    <row r="1303" spans="1:5" x14ac:dyDescent="0.25">
      <c r="A1303" s="32">
        <v>1305</v>
      </c>
      <c r="B1303" s="32" t="s">
        <v>9475</v>
      </c>
      <c r="C1303" s="32" t="s">
        <v>7583</v>
      </c>
      <c r="D1303" s="32">
        <v>18</v>
      </c>
      <c r="E1303" s="32">
        <v>0</v>
      </c>
    </row>
    <row r="1304" spans="1:5" x14ac:dyDescent="0.25">
      <c r="A1304">
        <v>1306</v>
      </c>
      <c r="B1304" t="s">
        <v>9475</v>
      </c>
      <c r="C1304" t="s">
        <v>7585</v>
      </c>
      <c r="D1304">
        <v>12</v>
      </c>
      <c r="E1304">
        <v>0</v>
      </c>
    </row>
    <row r="1305" spans="1:5" x14ac:dyDescent="0.25">
      <c r="A1305" s="32">
        <v>1307</v>
      </c>
      <c r="B1305" s="32" t="s">
        <v>9475</v>
      </c>
      <c r="C1305" s="32" t="s">
        <v>7587</v>
      </c>
      <c r="D1305" s="32">
        <v>24</v>
      </c>
      <c r="E1305" s="32">
        <v>0</v>
      </c>
    </row>
    <row r="1306" spans="1:5" x14ac:dyDescent="0.25">
      <c r="A1306">
        <v>1308</v>
      </c>
      <c r="B1306" t="s">
        <v>9475</v>
      </c>
      <c r="C1306" t="s">
        <v>7589</v>
      </c>
      <c r="D1306">
        <v>48</v>
      </c>
      <c r="E1306">
        <v>0</v>
      </c>
    </row>
    <row r="1307" spans="1:5" x14ac:dyDescent="0.25">
      <c r="A1307" s="32">
        <v>1309</v>
      </c>
      <c r="B1307" s="32" t="s">
        <v>9475</v>
      </c>
      <c r="C1307" s="32" t="s">
        <v>7591</v>
      </c>
      <c r="D1307" s="32">
        <v>48</v>
      </c>
      <c r="E1307" s="32">
        <v>0</v>
      </c>
    </row>
    <row r="1308" spans="1:5" x14ac:dyDescent="0.25">
      <c r="A1308">
        <v>1310</v>
      </c>
      <c r="B1308" t="s">
        <v>9475</v>
      </c>
      <c r="C1308" t="s">
        <v>7593</v>
      </c>
      <c r="D1308">
        <v>10</v>
      </c>
      <c r="E1308">
        <v>0</v>
      </c>
    </row>
    <row r="1309" spans="1:5" x14ac:dyDescent="0.25">
      <c r="A1309" s="32">
        <v>1311</v>
      </c>
      <c r="B1309" s="32" t="s">
        <v>9475</v>
      </c>
      <c r="C1309" s="32" t="s">
        <v>7595</v>
      </c>
      <c r="D1309" s="32">
        <v>12</v>
      </c>
      <c r="E1309" s="32">
        <v>0</v>
      </c>
    </row>
    <row r="1310" spans="1:5" x14ac:dyDescent="0.25">
      <c r="A1310">
        <v>1312</v>
      </c>
      <c r="B1310" t="s">
        <v>9475</v>
      </c>
      <c r="C1310" t="s">
        <v>7597</v>
      </c>
      <c r="D1310">
        <v>5</v>
      </c>
      <c r="E1310">
        <v>0</v>
      </c>
    </row>
    <row r="1311" spans="1:5" x14ac:dyDescent="0.25">
      <c r="A1311" s="32">
        <v>1313</v>
      </c>
      <c r="B1311" s="32" t="s">
        <v>9475</v>
      </c>
      <c r="C1311" s="32" t="s">
        <v>7599</v>
      </c>
      <c r="D1311" s="32">
        <v>10</v>
      </c>
      <c r="E1311" s="32">
        <v>0</v>
      </c>
    </row>
    <row r="1312" spans="1:5" x14ac:dyDescent="0.25">
      <c r="A1312">
        <v>1314</v>
      </c>
      <c r="B1312" t="s">
        <v>9475</v>
      </c>
      <c r="C1312" t="s">
        <v>7601</v>
      </c>
      <c r="D1312">
        <v>10</v>
      </c>
      <c r="E1312">
        <v>0</v>
      </c>
    </row>
    <row r="1313" spans="1:5" x14ac:dyDescent="0.25">
      <c r="A1313" s="32">
        <v>1315</v>
      </c>
      <c r="B1313" s="32" t="s">
        <v>9474</v>
      </c>
      <c r="C1313" s="32" t="s">
        <v>7603</v>
      </c>
      <c r="D1313" s="32">
        <v>4</v>
      </c>
      <c r="E1313" s="32">
        <v>0</v>
      </c>
    </row>
    <row r="1314" spans="1:5" x14ac:dyDescent="0.25">
      <c r="A1314">
        <v>1316</v>
      </c>
      <c r="B1314" t="s">
        <v>9474</v>
      </c>
      <c r="C1314" t="s">
        <v>7605</v>
      </c>
      <c r="D1314">
        <v>5</v>
      </c>
      <c r="E1314">
        <v>0</v>
      </c>
    </row>
    <row r="1315" spans="1:5" x14ac:dyDescent="0.25">
      <c r="A1315" s="32">
        <v>1317</v>
      </c>
      <c r="B1315" s="32" t="s">
        <v>9474</v>
      </c>
      <c r="C1315" s="32" t="s">
        <v>7607</v>
      </c>
      <c r="D1315" s="32">
        <v>42</v>
      </c>
      <c r="E1315" s="32">
        <v>0</v>
      </c>
    </row>
    <row r="1316" spans="1:5" x14ac:dyDescent="0.25">
      <c r="A1316">
        <v>1318</v>
      </c>
      <c r="B1316" t="s">
        <v>9475</v>
      </c>
      <c r="C1316" t="s">
        <v>7609</v>
      </c>
      <c r="D1316">
        <v>3</v>
      </c>
      <c r="E1316">
        <v>57</v>
      </c>
    </row>
    <row r="1317" spans="1:5" x14ac:dyDescent="0.25">
      <c r="A1317" s="32">
        <v>1319</v>
      </c>
      <c r="B1317" s="32" t="s">
        <v>9474</v>
      </c>
      <c r="C1317" s="32" t="s">
        <v>7611</v>
      </c>
      <c r="D1317" s="32">
        <v>4</v>
      </c>
      <c r="E1317" s="32">
        <v>0</v>
      </c>
    </row>
    <row r="1318" spans="1:5" x14ac:dyDescent="0.25">
      <c r="A1318">
        <v>1320</v>
      </c>
      <c r="B1318" t="s">
        <v>9474</v>
      </c>
      <c r="C1318" t="s">
        <v>7613</v>
      </c>
      <c r="D1318">
        <v>6</v>
      </c>
      <c r="E1318">
        <v>0</v>
      </c>
    </row>
    <row r="1319" spans="1:5" x14ac:dyDescent="0.25">
      <c r="A1319" s="32">
        <v>1321</v>
      </c>
      <c r="B1319" s="32" t="s">
        <v>9474</v>
      </c>
      <c r="C1319" s="32" t="s">
        <v>7614</v>
      </c>
      <c r="D1319" s="32">
        <v>5</v>
      </c>
      <c r="E1319" s="32">
        <v>0</v>
      </c>
    </row>
    <row r="1320" spans="1:5" x14ac:dyDescent="0.25">
      <c r="A1320">
        <v>1322</v>
      </c>
      <c r="B1320" t="s">
        <v>9474</v>
      </c>
      <c r="C1320" t="s">
        <v>7616</v>
      </c>
      <c r="D1320">
        <v>8</v>
      </c>
      <c r="E1320">
        <v>0</v>
      </c>
    </row>
    <row r="1321" spans="1:5" x14ac:dyDescent="0.25">
      <c r="A1321" s="32">
        <v>1323</v>
      </c>
      <c r="B1321" s="32" t="s">
        <v>9474</v>
      </c>
      <c r="C1321" s="32" t="s">
        <v>7618</v>
      </c>
      <c r="D1321" s="32">
        <v>3</v>
      </c>
      <c r="E1321" s="32">
        <v>0</v>
      </c>
    </row>
    <row r="1322" spans="1:5" x14ac:dyDescent="0.25">
      <c r="A1322">
        <v>1324</v>
      </c>
      <c r="B1322" t="s">
        <v>9474</v>
      </c>
      <c r="C1322" t="s">
        <v>7620</v>
      </c>
      <c r="D1322">
        <v>6</v>
      </c>
      <c r="E1322">
        <v>0</v>
      </c>
    </row>
    <row r="1323" spans="1:5" x14ac:dyDescent="0.25">
      <c r="A1323" s="32">
        <v>1325</v>
      </c>
      <c r="B1323" s="32" t="s">
        <v>9474</v>
      </c>
      <c r="C1323" s="32" t="s">
        <v>7622</v>
      </c>
      <c r="D1323" s="32">
        <v>4</v>
      </c>
      <c r="E1323" s="32">
        <v>0</v>
      </c>
    </row>
    <row r="1324" spans="1:5" x14ac:dyDescent="0.25">
      <c r="A1324">
        <v>1326</v>
      </c>
      <c r="B1324" t="s">
        <v>9474</v>
      </c>
      <c r="C1324" t="s">
        <v>7624</v>
      </c>
      <c r="D1324">
        <v>6</v>
      </c>
      <c r="E1324">
        <v>0</v>
      </c>
    </row>
    <row r="1325" spans="1:5" x14ac:dyDescent="0.25">
      <c r="A1325" s="32">
        <v>1327</v>
      </c>
      <c r="B1325" s="32" t="s">
        <v>9474</v>
      </c>
      <c r="C1325" s="32" t="s">
        <v>7626</v>
      </c>
      <c r="D1325" s="32">
        <v>4</v>
      </c>
      <c r="E1325" s="32">
        <v>0</v>
      </c>
    </row>
    <row r="1326" spans="1:5" x14ac:dyDescent="0.25">
      <c r="A1326">
        <v>1328</v>
      </c>
      <c r="B1326" t="s">
        <v>9474</v>
      </c>
      <c r="C1326" t="s">
        <v>7628</v>
      </c>
      <c r="D1326">
        <v>4</v>
      </c>
      <c r="E1326">
        <v>0</v>
      </c>
    </row>
    <row r="1327" spans="1:5" x14ac:dyDescent="0.25">
      <c r="A1327" s="32">
        <v>1329</v>
      </c>
      <c r="B1327" s="32" t="s">
        <v>9474</v>
      </c>
      <c r="C1327" s="32" t="s">
        <v>7630</v>
      </c>
      <c r="D1327" s="32">
        <v>16</v>
      </c>
      <c r="E1327" s="32">
        <v>0</v>
      </c>
    </row>
    <row r="1328" spans="1:5" x14ac:dyDescent="0.25">
      <c r="A1328">
        <v>1330</v>
      </c>
      <c r="B1328" t="s">
        <v>9474</v>
      </c>
      <c r="C1328" t="s">
        <v>7632</v>
      </c>
      <c r="D1328">
        <v>12</v>
      </c>
      <c r="E1328">
        <v>0</v>
      </c>
    </row>
    <row r="1329" spans="1:5" x14ac:dyDescent="0.25">
      <c r="A1329" s="32">
        <v>1331</v>
      </c>
      <c r="B1329" s="32" t="s">
        <v>9474</v>
      </c>
      <c r="C1329" s="32" t="s">
        <v>7634</v>
      </c>
      <c r="D1329" s="32">
        <v>12</v>
      </c>
      <c r="E1329" s="32">
        <v>0</v>
      </c>
    </row>
    <row r="1330" spans="1:5" x14ac:dyDescent="0.25">
      <c r="A1330">
        <v>1332</v>
      </c>
      <c r="B1330" t="s">
        <v>9474</v>
      </c>
      <c r="C1330" t="s">
        <v>7636</v>
      </c>
      <c r="D1330">
        <v>4</v>
      </c>
      <c r="E1330">
        <v>0</v>
      </c>
    </row>
    <row r="1331" spans="1:5" x14ac:dyDescent="0.25">
      <c r="A1331" s="32">
        <v>1333</v>
      </c>
      <c r="B1331" s="32" t="s">
        <v>9474</v>
      </c>
      <c r="C1331" s="32" t="s">
        <v>7638</v>
      </c>
      <c r="D1331" s="32">
        <v>6</v>
      </c>
      <c r="E1331" s="32">
        <v>0</v>
      </c>
    </row>
    <row r="1332" spans="1:5" x14ac:dyDescent="0.25">
      <c r="A1332">
        <v>1334</v>
      </c>
      <c r="B1332" t="s">
        <v>9474</v>
      </c>
      <c r="C1332" t="s">
        <v>7640</v>
      </c>
      <c r="D1332">
        <v>3</v>
      </c>
      <c r="E1332">
        <v>0</v>
      </c>
    </row>
    <row r="1333" spans="1:5" x14ac:dyDescent="0.25">
      <c r="A1333" s="32">
        <v>1335</v>
      </c>
      <c r="B1333" s="32" t="s">
        <v>9474</v>
      </c>
      <c r="C1333" s="32" t="s">
        <v>7642</v>
      </c>
      <c r="D1333" s="32">
        <v>5</v>
      </c>
      <c r="E1333" s="32">
        <v>0</v>
      </c>
    </row>
    <row r="1334" spans="1:5" x14ac:dyDescent="0.25">
      <c r="A1334">
        <v>1336</v>
      </c>
      <c r="B1334" t="s">
        <v>9474</v>
      </c>
      <c r="C1334" t="s">
        <v>7644</v>
      </c>
      <c r="D1334">
        <v>3</v>
      </c>
      <c r="E1334">
        <v>0</v>
      </c>
    </row>
    <row r="1335" spans="1:5" x14ac:dyDescent="0.25">
      <c r="A1335" s="32">
        <v>1337</v>
      </c>
      <c r="B1335" s="32" t="s">
        <v>9475</v>
      </c>
      <c r="C1335" s="32" t="s">
        <v>7646</v>
      </c>
      <c r="D1335" s="32">
        <v>3</v>
      </c>
      <c r="E1335" s="32">
        <v>74</v>
      </c>
    </row>
    <row r="1336" spans="1:5" x14ac:dyDescent="0.25">
      <c r="A1336">
        <v>1338</v>
      </c>
      <c r="B1336" t="s">
        <v>9474</v>
      </c>
      <c r="C1336" t="s">
        <v>7648</v>
      </c>
      <c r="D1336">
        <v>3</v>
      </c>
      <c r="E1336">
        <v>0</v>
      </c>
    </row>
    <row r="1337" spans="1:5" x14ac:dyDescent="0.25">
      <c r="A1337" s="32">
        <v>1339</v>
      </c>
      <c r="B1337" s="32" t="s">
        <v>9476</v>
      </c>
      <c r="C1337" s="32" t="s">
        <v>7650</v>
      </c>
      <c r="D1337" s="32">
        <v>40</v>
      </c>
      <c r="E1337" s="32">
        <v>0</v>
      </c>
    </row>
    <row r="1338" spans="1:5" x14ac:dyDescent="0.25">
      <c r="A1338">
        <v>1340</v>
      </c>
      <c r="B1338" t="s">
        <v>9476</v>
      </c>
      <c r="C1338" t="s">
        <v>7651</v>
      </c>
      <c r="D1338">
        <v>40</v>
      </c>
      <c r="E1338">
        <v>0</v>
      </c>
    </row>
    <row r="1339" spans="1:5" x14ac:dyDescent="0.25">
      <c r="A1339" s="32">
        <v>1341</v>
      </c>
      <c r="B1339" s="32" t="s">
        <v>9476</v>
      </c>
      <c r="C1339" s="32" t="s">
        <v>7653</v>
      </c>
      <c r="D1339" s="32">
        <v>16</v>
      </c>
      <c r="E1339" s="32">
        <v>0</v>
      </c>
    </row>
    <row r="1340" spans="1:5" x14ac:dyDescent="0.25">
      <c r="A1340">
        <v>1342</v>
      </c>
      <c r="B1340" t="s">
        <v>9476</v>
      </c>
      <c r="C1340" t="s">
        <v>7655</v>
      </c>
      <c r="D1340">
        <v>16</v>
      </c>
      <c r="E1340">
        <v>0</v>
      </c>
    </row>
    <row r="1341" spans="1:5" x14ac:dyDescent="0.25">
      <c r="A1341" s="32">
        <v>1343</v>
      </c>
      <c r="B1341" s="32" t="s">
        <v>9476</v>
      </c>
      <c r="C1341" s="32" t="s">
        <v>7657</v>
      </c>
      <c r="D1341" s="32">
        <v>16</v>
      </c>
      <c r="E1341" s="32">
        <v>0</v>
      </c>
    </row>
    <row r="1342" spans="1:5" x14ac:dyDescent="0.25">
      <c r="A1342">
        <v>1344</v>
      </c>
      <c r="B1342" t="s">
        <v>9476</v>
      </c>
      <c r="C1342" t="s">
        <v>7659</v>
      </c>
      <c r="D1342">
        <v>15</v>
      </c>
      <c r="E1342">
        <v>0</v>
      </c>
    </row>
    <row r="1343" spans="1:5" x14ac:dyDescent="0.25">
      <c r="A1343" s="32">
        <v>1345</v>
      </c>
      <c r="B1343" s="32" t="s">
        <v>9476</v>
      </c>
      <c r="C1343" s="32" t="s">
        <v>7661</v>
      </c>
      <c r="D1343" s="32">
        <v>3</v>
      </c>
      <c r="E1343" s="32">
        <v>0</v>
      </c>
    </row>
    <row r="1344" spans="1:5" x14ac:dyDescent="0.25">
      <c r="A1344">
        <v>1346</v>
      </c>
      <c r="B1344" t="s">
        <v>9476</v>
      </c>
      <c r="C1344" t="s">
        <v>7663</v>
      </c>
      <c r="D1344">
        <v>9</v>
      </c>
      <c r="E1344">
        <v>0</v>
      </c>
    </row>
    <row r="1345" spans="1:5" x14ac:dyDescent="0.25">
      <c r="A1345" s="32">
        <v>1347</v>
      </c>
      <c r="B1345" s="32" t="s">
        <v>9476</v>
      </c>
      <c r="C1345" s="32" t="s">
        <v>7665</v>
      </c>
      <c r="D1345" s="32">
        <v>6</v>
      </c>
      <c r="E1345" s="32">
        <v>0</v>
      </c>
    </row>
    <row r="1346" spans="1:5" x14ac:dyDescent="0.25">
      <c r="A1346">
        <v>1348</v>
      </c>
      <c r="B1346" t="s">
        <v>9476</v>
      </c>
      <c r="C1346" t="s">
        <v>7667</v>
      </c>
      <c r="D1346">
        <v>24</v>
      </c>
      <c r="E1346">
        <v>0</v>
      </c>
    </row>
    <row r="1347" spans="1:5" x14ac:dyDescent="0.25">
      <c r="A1347" s="32">
        <v>1349</v>
      </c>
      <c r="B1347" s="32" t="s">
        <v>9476</v>
      </c>
      <c r="C1347" s="32" t="s">
        <v>7668</v>
      </c>
      <c r="D1347" s="32">
        <v>24</v>
      </c>
      <c r="E1347" s="32">
        <v>0</v>
      </c>
    </row>
    <row r="1348" spans="1:5" x14ac:dyDescent="0.25">
      <c r="A1348">
        <v>1350</v>
      </c>
      <c r="B1348" t="s">
        <v>9476</v>
      </c>
      <c r="C1348" t="s">
        <v>7670</v>
      </c>
      <c r="D1348">
        <v>6</v>
      </c>
      <c r="E1348">
        <v>0</v>
      </c>
    </row>
    <row r="1349" spans="1:5" x14ac:dyDescent="0.25">
      <c r="A1349" s="32">
        <v>1351</v>
      </c>
      <c r="B1349" s="32" t="s">
        <v>9476</v>
      </c>
      <c r="C1349" s="32" t="s">
        <v>7672</v>
      </c>
      <c r="D1349" s="32">
        <v>12</v>
      </c>
      <c r="E1349" s="32">
        <v>0</v>
      </c>
    </row>
    <row r="1350" spans="1:5" x14ac:dyDescent="0.25">
      <c r="A1350">
        <v>1352</v>
      </c>
      <c r="B1350" t="s">
        <v>9476</v>
      </c>
      <c r="C1350" t="s">
        <v>7674</v>
      </c>
      <c r="D1350">
        <v>10</v>
      </c>
      <c r="E1350">
        <v>0</v>
      </c>
    </row>
    <row r="1351" spans="1:5" x14ac:dyDescent="0.25">
      <c r="A1351" s="32">
        <v>1353</v>
      </c>
      <c r="B1351" s="32" t="s">
        <v>9476</v>
      </c>
      <c r="C1351" s="32" t="s">
        <v>7676</v>
      </c>
      <c r="D1351" s="32">
        <v>15</v>
      </c>
      <c r="E1351" s="32">
        <v>0</v>
      </c>
    </row>
    <row r="1352" spans="1:5" x14ac:dyDescent="0.25">
      <c r="A1352">
        <v>1354</v>
      </c>
      <c r="B1352" t="s">
        <v>9476</v>
      </c>
      <c r="C1352" t="s">
        <v>7678</v>
      </c>
      <c r="D1352">
        <v>20</v>
      </c>
      <c r="E1352">
        <v>0</v>
      </c>
    </row>
    <row r="1353" spans="1:5" x14ac:dyDescent="0.25">
      <c r="A1353" s="32">
        <v>1355</v>
      </c>
      <c r="B1353" s="32" t="s">
        <v>9476</v>
      </c>
      <c r="C1353" s="32" t="s">
        <v>7680</v>
      </c>
      <c r="D1353" s="32">
        <v>12</v>
      </c>
      <c r="E1353" s="32">
        <v>0</v>
      </c>
    </row>
    <row r="1354" spans="1:5" x14ac:dyDescent="0.25">
      <c r="A1354">
        <v>1356</v>
      </c>
      <c r="B1354" t="s">
        <v>9477</v>
      </c>
      <c r="C1354" t="s">
        <v>7682</v>
      </c>
      <c r="D1354">
        <v>3</v>
      </c>
      <c r="E1354">
        <v>0</v>
      </c>
    </row>
    <row r="1355" spans="1:5" x14ac:dyDescent="0.25">
      <c r="A1355" s="32">
        <v>1357</v>
      </c>
      <c r="B1355" s="32" t="s">
        <v>9478</v>
      </c>
      <c r="C1355" s="32" t="s">
        <v>7684</v>
      </c>
      <c r="D1355" s="32">
        <v>3</v>
      </c>
      <c r="E1355" s="32">
        <v>0</v>
      </c>
    </row>
    <row r="1356" spans="1:5" x14ac:dyDescent="0.25">
      <c r="A1356">
        <v>1358</v>
      </c>
      <c r="B1356" t="s">
        <v>9479</v>
      </c>
      <c r="C1356" t="s">
        <v>7686</v>
      </c>
      <c r="D1356">
        <v>25</v>
      </c>
      <c r="E1356">
        <v>0</v>
      </c>
    </row>
    <row r="1357" spans="1:5" x14ac:dyDescent="0.25">
      <c r="A1357" s="32">
        <v>1359</v>
      </c>
      <c r="B1357" s="32" t="s">
        <v>9479</v>
      </c>
      <c r="C1357" s="32" t="s">
        <v>7688</v>
      </c>
      <c r="D1357" s="32">
        <v>23</v>
      </c>
      <c r="E1357" s="32">
        <v>0</v>
      </c>
    </row>
    <row r="1358" spans="1:5" x14ac:dyDescent="0.25">
      <c r="A1358">
        <v>1360</v>
      </c>
      <c r="B1358" t="s">
        <v>9476</v>
      </c>
      <c r="C1358" t="s">
        <v>7690</v>
      </c>
      <c r="D1358">
        <v>3</v>
      </c>
      <c r="E1358">
        <v>0</v>
      </c>
    </row>
    <row r="1359" spans="1:5" x14ac:dyDescent="0.25">
      <c r="A1359" s="32">
        <v>1361</v>
      </c>
      <c r="B1359" s="32" t="s">
        <v>9476</v>
      </c>
      <c r="C1359" s="32" t="s">
        <v>7692</v>
      </c>
      <c r="D1359" s="32">
        <v>6</v>
      </c>
      <c r="E1359" s="32">
        <v>0</v>
      </c>
    </row>
    <row r="1360" spans="1:5" x14ac:dyDescent="0.25">
      <c r="A1360">
        <v>1362</v>
      </c>
      <c r="B1360" t="s">
        <v>9476</v>
      </c>
      <c r="C1360" t="s">
        <v>7694</v>
      </c>
      <c r="D1360">
        <v>10</v>
      </c>
      <c r="E1360">
        <v>0</v>
      </c>
    </row>
    <row r="1361" spans="1:5" x14ac:dyDescent="0.25">
      <c r="A1361" s="32">
        <v>1363</v>
      </c>
      <c r="B1361" s="32" t="s">
        <v>9476</v>
      </c>
      <c r="C1361" s="32" t="s">
        <v>7696</v>
      </c>
      <c r="D1361" s="32">
        <v>6</v>
      </c>
      <c r="E1361" s="32">
        <v>0</v>
      </c>
    </row>
    <row r="1362" spans="1:5" x14ac:dyDescent="0.25">
      <c r="A1362">
        <v>1364</v>
      </c>
      <c r="B1362" t="s">
        <v>9476</v>
      </c>
      <c r="C1362" t="s">
        <v>7698</v>
      </c>
      <c r="D1362">
        <v>24</v>
      </c>
      <c r="E1362">
        <v>0</v>
      </c>
    </row>
    <row r="1363" spans="1:5" x14ac:dyDescent="0.25">
      <c r="A1363" s="32">
        <v>1365</v>
      </c>
      <c r="B1363" s="32" t="s">
        <v>9476</v>
      </c>
      <c r="C1363" s="32" t="s">
        <v>7699</v>
      </c>
      <c r="D1363" s="32">
        <v>40</v>
      </c>
      <c r="E1363" s="32">
        <v>0</v>
      </c>
    </row>
    <row r="1364" spans="1:5" x14ac:dyDescent="0.25">
      <c r="A1364">
        <v>1366</v>
      </c>
      <c r="B1364" t="s">
        <v>9479</v>
      </c>
      <c r="C1364" t="s">
        <v>7700</v>
      </c>
      <c r="D1364">
        <v>15</v>
      </c>
      <c r="E1364">
        <v>0</v>
      </c>
    </row>
    <row r="1365" spans="1:5" x14ac:dyDescent="0.25">
      <c r="A1365" s="32">
        <v>1367</v>
      </c>
      <c r="B1365" s="32" t="s">
        <v>9479</v>
      </c>
      <c r="C1365" s="32" t="s">
        <v>7702</v>
      </c>
      <c r="D1365" s="32">
        <v>15</v>
      </c>
      <c r="E1365" s="32">
        <v>0</v>
      </c>
    </row>
    <row r="1366" spans="1:5" x14ac:dyDescent="0.25">
      <c r="A1366">
        <v>1368</v>
      </c>
      <c r="B1366" t="s">
        <v>9479</v>
      </c>
      <c r="C1366" t="s">
        <v>7704</v>
      </c>
      <c r="D1366">
        <v>15</v>
      </c>
      <c r="E1366">
        <v>0</v>
      </c>
    </row>
    <row r="1367" spans="1:5" x14ac:dyDescent="0.25">
      <c r="A1367" s="32">
        <v>1369</v>
      </c>
      <c r="B1367" s="32" t="s">
        <v>9480</v>
      </c>
      <c r="C1367" s="32" t="s">
        <v>7706</v>
      </c>
      <c r="D1367" s="32">
        <v>50</v>
      </c>
      <c r="E1367" s="32">
        <v>0</v>
      </c>
    </row>
    <row r="1368" spans="1:5" x14ac:dyDescent="0.25">
      <c r="A1368">
        <v>1370</v>
      </c>
      <c r="B1368" t="s">
        <v>9481</v>
      </c>
      <c r="C1368" t="s">
        <v>50</v>
      </c>
      <c r="D1368">
        <v>32</v>
      </c>
      <c r="E1368">
        <v>0</v>
      </c>
    </row>
    <row r="1369" spans="1:5" x14ac:dyDescent="0.25">
      <c r="A1369" s="32">
        <v>1371</v>
      </c>
      <c r="B1369" s="32" t="s">
        <v>9481</v>
      </c>
      <c r="C1369" s="32" t="s">
        <v>7131</v>
      </c>
      <c r="D1369" s="32">
        <v>32</v>
      </c>
      <c r="E1369" s="32">
        <v>0</v>
      </c>
    </row>
    <row r="1370" spans="1:5" x14ac:dyDescent="0.25">
      <c r="A1370" s="32">
        <v>1375</v>
      </c>
      <c r="B1370" s="32" t="s">
        <v>9481</v>
      </c>
      <c r="C1370" s="32" t="s">
        <v>34</v>
      </c>
      <c r="D1370" s="32">
        <v>60</v>
      </c>
      <c r="E1370" s="32">
        <v>0</v>
      </c>
    </row>
    <row r="1371" spans="1:5" x14ac:dyDescent="0.25">
      <c r="A1371">
        <v>1376</v>
      </c>
      <c r="B1371" t="s">
        <v>9481</v>
      </c>
      <c r="C1371" t="s">
        <v>33</v>
      </c>
      <c r="D1371">
        <v>10</v>
      </c>
      <c r="E1371">
        <v>0</v>
      </c>
    </row>
    <row r="1372" spans="1:5" x14ac:dyDescent="0.25">
      <c r="A1372" s="32">
        <v>1377</v>
      </c>
      <c r="B1372" s="32" t="s">
        <v>9481</v>
      </c>
      <c r="C1372" s="32" t="s">
        <v>7709</v>
      </c>
      <c r="D1372" s="32">
        <v>12</v>
      </c>
      <c r="E1372" s="32">
        <v>0</v>
      </c>
    </row>
    <row r="1373" spans="1:5" x14ac:dyDescent="0.25">
      <c r="A1373">
        <v>1378</v>
      </c>
      <c r="B1373" t="s">
        <v>9481</v>
      </c>
      <c r="C1373" t="s">
        <v>7711</v>
      </c>
      <c r="D1373">
        <v>10</v>
      </c>
      <c r="E1373">
        <v>0</v>
      </c>
    </row>
    <row r="1374" spans="1:5" x14ac:dyDescent="0.25">
      <c r="A1374" s="32">
        <v>1379</v>
      </c>
      <c r="B1374" s="32" t="s">
        <v>9481</v>
      </c>
      <c r="C1374" s="32" t="s">
        <v>7713</v>
      </c>
      <c r="D1374" s="32">
        <v>16</v>
      </c>
      <c r="E1374" s="32">
        <v>0</v>
      </c>
    </row>
    <row r="1375" spans="1:5" x14ac:dyDescent="0.25">
      <c r="A1375">
        <v>1380</v>
      </c>
      <c r="B1375" t="s">
        <v>9481</v>
      </c>
      <c r="C1375" t="s">
        <v>7715</v>
      </c>
      <c r="D1375">
        <v>20</v>
      </c>
      <c r="E1375">
        <v>0</v>
      </c>
    </row>
    <row r="1376" spans="1:5" x14ac:dyDescent="0.25">
      <c r="A1376" s="32">
        <v>1381</v>
      </c>
      <c r="B1376" s="32" t="s">
        <v>9481</v>
      </c>
      <c r="C1376" s="32" t="s">
        <v>7717</v>
      </c>
      <c r="D1376" s="32">
        <v>16</v>
      </c>
      <c r="E1376" s="32">
        <v>0</v>
      </c>
    </row>
    <row r="1377" spans="1:5" x14ac:dyDescent="0.25">
      <c r="A1377">
        <v>1382</v>
      </c>
      <c r="B1377" t="s">
        <v>9481</v>
      </c>
      <c r="C1377" t="s">
        <v>7719</v>
      </c>
      <c r="D1377">
        <v>20</v>
      </c>
      <c r="E1377">
        <v>0</v>
      </c>
    </row>
    <row r="1378" spans="1:5" x14ac:dyDescent="0.25">
      <c r="A1378" s="32">
        <v>1383</v>
      </c>
      <c r="B1378" s="32" t="s">
        <v>9481</v>
      </c>
      <c r="C1378" s="32" t="s">
        <v>7721</v>
      </c>
      <c r="D1378" s="32">
        <v>32</v>
      </c>
      <c r="E1378" s="32">
        <v>0</v>
      </c>
    </row>
    <row r="1379" spans="1:5" x14ac:dyDescent="0.25">
      <c r="A1379">
        <v>1384</v>
      </c>
      <c r="B1379" t="s">
        <v>9481</v>
      </c>
      <c r="C1379" t="s">
        <v>7723</v>
      </c>
      <c r="D1379">
        <v>32</v>
      </c>
      <c r="E1379">
        <v>0</v>
      </c>
    </row>
    <row r="1380" spans="1:5" x14ac:dyDescent="0.25">
      <c r="A1380" s="32">
        <v>1385</v>
      </c>
      <c r="B1380" s="32" t="s">
        <v>9481</v>
      </c>
      <c r="C1380" s="32" t="s">
        <v>7725</v>
      </c>
      <c r="D1380" s="32">
        <v>24</v>
      </c>
      <c r="E1380" s="32">
        <v>0</v>
      </c>
    </row>
    <row r="1381" spans="1:5" x14ac:dyDescent="0.25">
      <c r="A1381">
        <v>1386</v>
      </c>
      <c r="B1381" t="s">
        <v>9481</v>
      </c>
      <c r="C1381" t="s">
        <v>7727</v>
      </c>
      <c r="D1381">
        <v>24</v>
      </c>
      <c r="E1381">
        <v>0</v>
      </c>
    </row>
    <row r="1382" spans="1:5" x14ac:dyDescent="0.25">
      <c r="A1382" s="32">
        <v>1387</v>
      </c>
      <c r="B1382" s="32" t="s">
        <v>9481</v>
      </c>
      <c r="C1382" s="32" t="s">
        <v>7729</v>
      </c>
      <c r="D1382" s="32">
        <v>32</v>
      </c>
      <c r="E1382" s="32">
        <v>0</v>
      </c>
    </row>
    <row r="1383" spans="1:5" x14ac:dyDescent="0.25">
      <c r="A1383">
        <v>1388</v>
      </c>
      <c r="B1383" t="s">
        <v>9481</v>
      </c>
      <c r="C1383" t="s">
        <v>7731</v>
      </c>
      <c r="D1383">
        <v>32</v>
      </c>
      <c r="E1383">
        <v>0</v>
      </c>
    </row>
    <row r="1384" spans="1:5" x14ac:dyDescent="0.25">
      <c r="A1384" s="32">
        <v>1389</v>
      </c>
      <c r="B1384" s="32" t="s">
        <v>9481</v>
      </c>
      <c r="C1384" s="32" t="s">
        <v>7733</v>
      </c>
      <c r="D1384" s="32">
        <v>16</v>
      </c>
      <c r="E1384" s="32">
        <v>0</v>
      </c>
    </row>
    <row r="1385" spans="1:5" x14ac:dyDescent="0.25">
      <c r="A1385">
        <v>1390</v>
      </c>
      <c r="B1385" t="s">
        <v>9481</v>
      </c>
      <c r="C1385" t="s">
        <v>7735</v>
      </c>
      <c r="D1385">
        <v>16</v>
      </c>
      <c r="E1385">
        <v>0</v>
      </c>
    </row>
    <row r="1386" spans="1:5" x14ac:dyDescent="0.25">
      <c r="A1386" s="32">
        <v>1391</v>
      </c>
      <c r="B1386" s="32" t="s">
        <v>9482</v>
      </c>
      <c r="C1386" s="32" t="s">
        <v>7737</v>
      </c>
      <c r="D1386" s="32">
        <v>60</v>
      </c>
      <c r="E1386" s="32">
        <v>0</v>
      </c>
    </row>
    <row r="1387" spans="1:5" x14ac:dyDescent="0.25">
      <c r="A1387">
        <v>1392</v>
      </c>
      <c r="B1387" t="s">
        <v>9479</v>
      </c>
      <c r="C1387" t="s">
        <v>7739</v>
      </c>
      <c r="D1387">
        <v>3</v>
      </c>
      <c r="E1387">
        <v>0</v>
      </c>
    </row>
    <row r="1388" spans="1:5" x14ac:dyDescent="0.25">
      <c r="A1388" s="32">
        <v>1393</v>
      </c>
      <c r="B1388" s="32" t="s">
        <v>9483</v>
      </c>
      <c r="C1388" s="32" t="s">
        <v>7741</v>
      </c>
      <c r="D1388" s="32">
        <v>60</v>
      </c>
      <c r="E1388" s="32">
        <v>0</v>
      </c>
    </row>
    <row r="1389" spans="1:5" x14ac:dyDescent="0.25">
      <c r="A1389">
        <v>1394</v>
      </c>
      <c r="B1389" t="s">
        <v>9483</v>
      </c>
      <c r="C1389" t="s">
        <v>7743</v>
      </c>
      <c r="D1389">
        <v>40</v>
      </c>
      <c r="E1389">
        <v>0</v>
      </c>
    </row>
    <row r="1390" spans="1:5" x14ac:dyDescent="0.25">
      <c r="A1390" s="32">
        <v>1395</v>
      </c>
      <c r="B1390" s="32" t="s">
        <v>9483</v>
      </c>
      <c r="C1390" s="32" t="s">
        <v>7745</v>
      </c>
      <c r="D1390" s="32">
        <v>40</v>
      </c>
      <c r="E1390" s="32">
        <v>0</v>
      </c>
    </row>
    <row r="1391" spans="1:5" x14ac:dyDescent="0.25">
      <c r="A1391">
        <v>1396</v>
      </c>
      <c r="B1391" t="s">
        <v>9483</v>
      </c>
      <c r="C1391" t="s">
        <v>7747</v>
      </c>
      <c r="D1391">
        <v>44</v>
      </c>
      <c r="E1391">
        <v>0</v>
      </c>
    </row>
    <row r="1392" spans="1:5" x14ac:dyDescent="0.25">
      <c r="A1392" s="32">
        <v>1397</v>
      </c>
      <c r="B1392" s="32" t="s">
        <v>9483</v>
      </c>
      <c r="C1392" s="32" t="s">
        <v>7748</v>
      </c>
      <c r="D1392" s="32">
        <v>30</v>
      </c>
      <c r="E1392" s="32">
        <v>0</v>
      </c>
    </row>
    <row r="1393" spans="1:5" x14ac:dyDescent="0.25">
      <c r="A1393">
        <v>1398</v>
      </c>
      <c r="B1393" t="s">
        <v>9483</v>
      </c>
      <c r="C1393" t="s">
        <v>7749</v>
      </c>
      <c r="D1393">
        <v>50</v>
      </c>
      <c r="E1393">
        <v>0</v>
      </c>
    </row>
    <row r="1394" spans="1:5" x14ac:dyDescent="0.25">
      <c r="A1394" s="32">
        <v>1399</v>
      </c>
      <c r="B1394" s="32" t="s">
        <v>9483</v>
      </c>
      <c r="C1394" s="32" t="s">
        <v>7751</v>
      </c>
      <c r="D1394" s="32">
        <v>30</v>
      </c>
      <c r="E1394" s="32">
        <v>0</v>
      </c>
    </row>
    <row r="1395" spans="1:5" x14ac:dyDescent="0.25">
      <c r="A1395">
        <v>1400</v>
      </c>
      <c r="B1395" t="s">
        <v>9483</v>
      </c>
      <c r="C1395" t="s">
        <v>7753</v>
      </c>
      <c r="D1395">
        <v>40</v>
      </c>
      <c r="E1395">
        <v>0</v>
      </c>
    </row>
    <row r="1396" spans="1:5" x14ac:dyDescent="0.25">
      <c r="A1396" s="32">
        <v>1401</v>
      </c>
      <c r="B1396" s="32" t="s">
        <v>9483</v>
      </c>
      <c r="C1396" s="32" t="s">
        <v>7755</v>
      </c>
      <c r="D1396" s="32">
        <v>30</v>
      </c>
      <c r="E1396" s="32">
        <v>0</v>
      </c>
    </row>
    <row r="1397" spans="1:5" x14ac:dyDescent="0.25">
      <c r="A1397">
        <v>1402</v>
      </c>
      <c r="B1397" t="s">
        <v>9483</v>
      </c>
      <c r="C1397" t="s">
        <v>7757</v>
      </c>
      <c r="D1397">
        <v>40</v>
      </c>
      <c r="E1397">
        <v>0</v>
      </c>
    </row>
    <row r="1398" spans="1:5" x14ac:dyDescent="0.25">
      <c r="A1398" s="32">
        <v>1403</v>
      </c>
      <c r="B1398" s="32" t="s">
        <v>9483</v>
      </c>
      <c r="C1398" s="32" t="s">
        <v>7759</v>
      </c>
      <c r="D1398" s="32">
        <v>50</v>
      </c>
      <c r="E1398" s="32">
        <v>0</v>
      </c>
    </row>
    <row r="1399" spans="1:5" x14ac:dyDescent="0.25">
      <c r="A1399">
        <v>1404</v>
      </c>
      <c r="B1399" t="s">
        <v>9483</v>
      </c>
      <c r="C1399" t="s">
        <v>7761</v>
      </c>
      <c r="D1399">
        <v>50</v>
      </c>
      <c r="E1399">
        <v>0</v>
      </c>
    </row>
    <row r="1400" spans="1:5" x14ac:dyDescent="0.25">
      <c r="A1400" s="32">
        <v>1405</v>
      </c>
      <c r="B1400" s="32" t="s">
        <v>9483</v>
      </c>
      <c r="C1400" s="32" t="s">
        <v>7763</v>
      </c>
      <c r="D1400" s="32">
        <v>40</v>
      </c>
      <c r="E1400" s="32">
        <v>0</v>
      </c>
    </row>
    <row r="1401" spans="1:5" x14ac:dyDescent="0.25">
      <c r="A1401">
        <v>1406</v>
      </c>
      <c r="B1401" t="s">
        <v>9483</v>
      </c>
      <c r="C1401" t="s">
        <v>7765</v>
      </c>
      <c r="D1401">
        <v>40</v>
      </c>
      <c r="E1401">
        <v>0</v>
      </c>
    </row>
    <row r="1402" spans="1:5" x14ac:dyDescent="0.25">
      <c r="A1402" s="32">
        <v>1407</v>
      </c>
      <c r="B1402" s="32" t="s">
        <v>9483</v>
      </c>
      <c r="C1402" s="32" t="s">
        <v>7767</v>
      </c>
      <c r="D1402" s="32">
        <v>30</v>
      </c>
      <c r="E1402" s="32">
        <v>0</v>
      </c>
    </row>
    <row r="1403" spans="1:5" x14ac:dyDescent="0.25">
      <c r="A1403">
        <v>1408</v>
      </c>
      <c r="B1403" t="s">
        <v>9483</v>
      </c>
      <c r="C1403" t="s">
        <v>7769</v>
      </c>
      <c r="D1403">
        <v>30</v>
      </c>
      <c r="E1403">
        <v>0</v>
      </c>
    </row>
    <row r="1404" spans="1:5" x14ac:dyDescent="0.25">
      <c r="A1404" s="32">
        <v>1409</v>
      </c>
      <c r="B1404" s="32" t="s">
        <v>9483</v>
      </c>
      <c r="C1404" s="32" t="s">
        <v>7771</v>
      </c>
      <c r="D1404" s="32">
        <v>60</v>
      </c>
      <c r="E1404" s="32">
        <v>0</v>
      </c>
    </row>
    <row r="1405" spans="1:5" x14ac:dyDescent="0.25">
      <c r="A1405">
        <v>1410</v>
      </c>
      <c r="B1405" t="s">
        <v>9483</v>
      </c>
      <c r="C1405" t="s">
        <v>7773</v>
      </c>
      <c r="D1405">
        <v>60</v>
      </c>
      <c r="E1405">
        <v>0</v>
      </c>
    </row>
    <row r="1406" spans="1:5" x14ac:dyDescent="0.25">
      <c r="A1406" s="32">
        <v>1411</v>
      </c>
      <c r="B1406" s="32" t="s">
        <v>9483</v>
      </c>
      <c r="C1406" s="32" t="s">
        <v>7775</v>
      </c>
      <c r="D1406" s="32">
        <v>30</v>
      </c>
      <c r="E1406" s="32">
        <v>0</v>
      </c>
    </row>
    <row r="1407" spans="1:5" x14ac:dyDescent="0.25">
      <c r="A1407">
        <v>1412</v>
      </c>
      <c r="B1407" t="s">
        <v>9483</v>
      </c>
      <c r="C1407" t="s">
        <v>7777</v>
      </c>
      <c r="D1407">
        <v>40</v>
      </c>
      <c r="E1407">
        <v>0</v>
      </c>
    </row>
    <row r="1408" spans="1:5" x14ac:dyDescent="0.25">
      <c r="A1408" s="32">
        <v>1413</v>
      </c>
      <c r="B1408" s="32" t="s">
        <v>9483</v>
      </c>
      <c r="C1408" s="32" t="s">
        <v>7779</v>
      </c>
      <c r="D1408" s="32">
        <v>80</v>
      </c>
      <c r="E1408" s="32">
        <v>0</v>
      </c>
    </row>
    <row r="1409" spans="1:5" x14ac:dyDescent="0.25">
      <c r="A1409">
        <v>1414</v>
      </c>
      <c r="B1409" t="s">
        <v>9483</v>
      </c>
      <c r="C1409" t="s">
        <v>7781</v>
      </c>
      <c r="D1409">
        <v>60</v>
      </c>
      <c r="E1409">
        <v>0</v>
      </c>
    </row>
    <row r="1410" spans="1:5" x14ac:dyDescent="0.25">
      <c r="A1410" s="32">
        <v>1415</v>
      </c>
      <c r="B1410" s="32" t="s">
        <v>9483</v>
      </c>
      <c r="C1410" s="32" t="s">
        <v>7783</v>
      </c>
      <c r="D1410" s="32">
        <v>80</v>
      </c>
      <c r="E1410" s="32">
        <v>0</v>
      </c>
    </row>
    <row r="1411" spans="1:5" x14ac:dyDescent="0.25">
      <c r="A1411">
        <v>1416</v>
      </c>
      <c r="B1411" t="s">
        <v>9484</v>
      </c>
      <c r="C1411" t="s">
        <v>7785</v>
      </c>
      <c r="D1411">
        <v>16</v>
      </c>
      <c r="E1411">
        <v>0</v>
      </c>
    </row>
    <row r="1412" spans="1:5" x14ac:dyDescent="0.25">
      <c r="A1412" s="32">
        <v>1417</v>
      </c>
      <c r="B1412" s="32" t="s">
        <v>9484</v>
      </c>
      <c r="C1412" s="32" t="s">
        <v>7787</v>
      </c>
      <c r="D1412" s="32">
        <v>16</v>
      </c>
      <c r="E1412" s="32">
        <v>0</v>
      </c>
    </row>
    <row r="1413" spans="1:5" x14ac:dyDescent="0.25">
      <c r="A1413">
        <v>1418</v>
      </c>
      <c r="B1413" t="s">
        <v>9484</v>
      </c>
      <c r="C1413" t="s">
        <v>7789</v>
      </c>
      <c r="D1413">
        <v>48</v>
      </c>
      <c r="E1413">
        <v>0</v>
      </c>
    </row>
    <row r="1414" spans="1:5" x14ac:dyDescent="0.25">
      <c r="A1414" s="32">
        <v>1419</v>
      </c>
      <c r="B1414" s="32" t="s">
        <v>9484</v>
      </c>
      <c r="C1414" s="32" t="s">
        <v>7791</v>
      </c>
      <c r="D1414" s="32">
        <v>15</v>
      </c>
      <c r="E1414" s="32">
        <v>0</v>
      </c>
    </row>
    <row r="1415" spans="1:5" x14ac:dyDescent="0.25">
      <c r="A1415">
        <v>1420</v>
      </c>
      <c r="B1415" t="s">
        <v>9484</v>
      </c>
      <c r="C1415" t="s">
        <v>7793</v>
      </c>
      <c r="D1415">
        <v>18</v>
      </c>
      <c r="E1415">
        <v>0</v>
      </c>
    </row>
    <row r="1416" spans="1:5" x14ac:dyDescent="0.25">
      <c r="A1416" s="32">
        <v>1421</v>
      </c>
      <c r="B1416" s="32" t="s">
        <v>9484</v>
      </c>
      <c r="C1416" s="32" t="s">
        <v>7795</v>
      </c>
      <c r="D1416" s="32">
        <v>60</v>
      </c>
      <c r="E1416" s="32">
        <v>0</v>
      </c>
    </row>
    <row r="1417" spans="1:5" x14ac:dyDescent="0.25">
      <c r="A1417">
        <v>1422</v>
      </c>
      <c r="B1417" t="s">
        <v>9484</v>
      </c>
      <c r="C1417" t="s">
        <v>7797</v>
      </c>
      <c r="D1417">
        <v>40</v>
      </c>
      <c r="E1417">
        <v>0</v>
      </c>
    </row>
    <row r="1418" spans="1:5" x14ac:dyDescent="0.25">
      <c r="A1418" s="32">
        <v>1423</v>
      </c>
      <c r="B1418" s="32" t="s">
        <v>9484</v>
      </c>
      <c r="C1418" s="32" t="s">
        <v>7799</v>
      </c>
      <c r="D1418" s="32">
        <v>40</v>
      </c>
      <c r="E1418" s="32">
        <v>0</v>
      </c>
    </row>
    <row r="1419" spans="1:5" x14ac:dyDescent="0.25">
      <c r="A1419">
        <v>1424</v>
      </c>
      <c r="B1419" t="s">
        <v>9484</v>
      </c>
      <c r="C1419" t="s">
        <v>7801</v>
      </c>
      <c r="D1419">
        <v>40</v>
      </c>
      <c r="E1419">
        <v>0</v>
      </c>
    </row>
    <row r="1420" spans="1:5" x14ac:dyDescent="0.25">
      <c r="A1420" s="32">
        <v>1425</v>
      </c>
      <c r="B1420" s="32" t="s">
        <v>9485</v>
      </c>
      <c r="C1420" s="32" t="s">
        <v>7803</v>
      </c>
      <c r="D1420" s="32">
        <v>30</v>
      </c>
      <c r="E1420" s="32">
        <v>0</v>
      </c>
    </row>
    <row r="1421" spans="1:5" x14ac:dyDescent="0.25">
      <c r="A1421">
        <v>1426</v>
      </c>
      <c r="B1421" t="s">
        <v>9485</v>
      </c>
      <c r="C1421" t="s">
        <v>7805</v>
      </c>
      <c r="D1421">
        <v>50</v>
      </c>
      <c r="E1421">
        <v>0</v>
      </c>
    </row>
    <row r="1422" spans="1:5" x14ac:dyDescent="0.25">
      <c r="A1422" s="32">
        <v>1427</v>
      </c>
      <c r="B1422" s="32" t="s">
        <v>9485</v>
      </c>
      <c r="C1422" s="32" t="s">
        <v>7807</v>
      </c>
      <c r="D1422" s="32">
        <v>30</v>
      </c>
      <c r="E1422" s="32">
        <v>0</v>
      </c>
    </row>
    <row r="1423" spans="1:5" x14ac:dyDescent="0.25">
      <c r="A1423">
        <v>1428</v>
      </c>
      <c r="B1423" t="s">
        <v>9485</v>
      </c>
      <c r="C1423" t="s">
        <v>7809</v>
      </c>
      <c r="D1423">
        <v>30</v>
      </c>
      <c r="E1423">
        <v>0</v>
      </c>
    </row>
    <row r="1424" spans="1:5" x14ac:dyDescent="0.25">
      <c r="A1424" s="32">
        <v>1429</v>
      </c>
      <c r="B1424" s="32" t="s">
        <v>9485</v>
      </c>
      <c r="C1424" s="32" t="s">
        <v>7811</v>
      </c>
      <c r="D1424" s="32">
        <v>30</v>
      </c>
      <c r="E1424" s="32">
        <v>0</v>
      </c>
    </row>
    <row r="1425" spans="1:5" x14ac:dyDescent="0.25">
      <c r="A1425">
        <v>1430</v>
      </c>
      <c r="B1425" t="s">
        <v>9485</v>
      </c>
      <c r="C1425" t="s">
        <v>7813</v>
      </c>
      <c r="D1425">
        <v>30</v>
      </c>
      <c r="E1425">
        <v>0</v>
      </c>
    </row>
    <row r="1426" spans="1:5" x14ac:dyDescent="0.25">
      <c r="A1426" s="32">
        <v>1431</v>
      </c>
      <c r="B1426" s="32" t="s">
        <v>9485</v>
      </c>
      <c r="C1426" s="32" t="s">
        <v>7815</v>
      </c>
      <c r="D1426" s="32">
        <v>60</v>
      </c>
      <c r="E1426" s="32">
        <v>0</v>
      </c>
    </row>
    <row r="1427" spans="1:5" x14ac:dyDescent="0.25">
      <c r="A1427">
        <v>1432</v>
      </c>
      <c r="B1427" t="s">
        <v>9485</v>
      </c>
      <c r="C1427" t="s">
        <v>7817</v>
      </c>
      <c r="D1427">
        <v>60</v>
      </c>
      <c r="E1427">
        <v>0</v>
      </c>
    </row>
    <row r="1428" spans="1:5" x14ac:dyDescent="0.25">
      <c r="A1428" s="32">
        <v>1433</v>
      </c>
      <c r="B1428" s="32" t="s">
        <v>9485</v>
      </c>
      <c r="C1428" s="32" t="s">
        <v>7819</v>
      </c>
      <c r="D1428" s="32">
        <v>50</v>
      </c>
      <c r="E1428" s="32">
        <v>0</v>
      </c>
    </row>
    <row r="1429" spans="1:5" x14ac:dyDescent="0.25">
      <c r="A1429">
        <v>1434</v>
      </c>
      <c r="B1429" t="s">
        <v>9485</v>
      </c>
      <c r="C1429" t="s">
        <v>7821</v>
      </c>
      <c r="D1429">
        <v>60</v>
      </c>
      <c r="E1429">
        <v>0</v>
      </c>
    </row>
    <row r="1430" spans="1:5" x14ac:dyDescent="0.25">
      <c r="A1430" s="32">
        <v>1435</v>
      </c>
      <c r="B1430" s="32" t="s">
        <v>9485</v>
      </c>
      <c r="C1430" s="32" t="s">
        <v>7823</v>
      </c>
      <c r="D1430" s="32">
        <v>60</v>
      </c>
      <c r="E1430" s="32">
        <v>0</v>
      </c>
    </row>
    <row r="1431" spans="1:5" x14ac:dyDescent="0.25">
      <c r="A1431">
        <v>1436</v>
      </c>
      <c r="B1431" t="s">
        <v>9485</v>
      </c>
      <c r="C1431" t="s">
        <v>7825</v>
      </c>
      <c r="D1431">
        <v>40</v>
      </c>
      <c r="E1431">
        <v>0</v>
      </c>
    </row>
    <row r="1432" spans="1:5" x14ac:dyDescent="0.25">
      <c r="A1432" s="32">
        <v>1437</v>
      </c>
      <c r="B1432" s="32" t="s">
        <v>9485</v>
      </c>
      <c r="C1432" s="32" t="s">
        <v>7827</v>
      </c>
      <c r="D1432" s="32">
        <v>40</v>
      </c>
      <c r="E1432" s="32">
        <v>0</v>
      </c>
    </row>
    <row r="1433" spans="1:5" x14ac:dyDescent="0.25">
      <c r="A1433">
        <v>1438</v>
      </c>
      <c r="B1433" t="s">
        <v>9486</v>
      </c>
      <c r="C1433" t="s">
        <v>7829</v>
      </c>
      <c r="D1433">
        <v>50</v>
      </c>
      <c r="E1433">
        <v>0</v>
      </c>
    </row>
    <row r="1434" spans="1:5" x14ac:dyDescent="0.25">
      <c r="A1434" s="32">
        <v>1439</v>
      </c>
      <c r="B1434" s="32" t="s">
        <v>9487</v>
      </c>
      <c r="C1434" s="32" t="s">
        <v>7831</v>
      </c>
      <c r="D1434" s="32">
        <v>50</v>
      </c>
      <c r="E1434" s="32">
        <v>0</v>
      </c>
    </row>
    <row r="1435" spans="1:5" x14ac:dyDescent="0.25">
      <c r="A1435">
        <v>1440</v>
      </c>
      <c r="B1435" t="s">
        <v>9489</v>
      </c>
      <c r="C1435" t="s">
        <v>7832</v>
      </c>
      <c r="D1435">
        <v>12</v>
      </c>
      <c r="E1435">
        <v>0</v>
      </c>
    </row>
    <row r="1436" spans="1:5" x14ac:dyDescent="0.25">
      <c r="A1436" s="32">
        <v>1441</v>
      </c>
      <c r="B1436" s="32" t="s">
        <v>9489</v>
      </c>
      <c r="C1436" s="32" t="s">
        <v>7833</v>
      </c>
      <c r="D1436" s="32">
        <v>10</v>
      </c>
      <c r="E1436" s="32">
        <v>0</v>
      </c>
    </row>
    <row r="1437" spans="1:5" x14ac:dyDescent="0.25">
      <c r="A1437">
        <v>1442</v>
      </c>
      <c r="B1437" t="s">
        <v>9487</v>
      </c>
      <c r="C1437" t="s">
        <v>7834</v>
      </c>
      <c r="D1437">
        <v>60</v>
      </c>
      <c r="E1437">
        <v>0</v>
      </c>
    </row>
    <row r="1438" spans="1:5" x14ac:dyDescent="0.25">
      <c r="A1438" s="32">
        <v>1443</v>
      </c>
      <c r="B1438" s="32" t="s">
        <v>9487</v>
      </c>
      <c r="C1438" s="32" t="s">
        <v>7835</v>
      </c>
      <c r="D1438" s="32">
        <v>60</v>
      </c>
      <c r="E1438" s="32">
        <v>0</v>
      </c>
    </row>
    <row r="1439" spans="1:5" x14ac:dyDescent="0.25">
      <c r="A1439">
        <v>1444</v>
      </c>
      <c r="B1439" t="s">
        <v>9487</v>
      </c>
      <c r="C1439" t="s">
        <v>7837</v>
      </c>
      <c r="D1439">
        <v>30</v>
      </c>
      <c r="E1439">
        <v>0</v>
      </c>
    </row>
    <row r="1440" spans="1:5" x14ac:dyDescent="0.25">
      <c r="A1440" s="32">
        <v>1445</v>
      </c>
      <c r="B1440" s="32" t="s">
        <v>9487</v>
      </c>
      <c r="C1440" s="32" t="s">
        <v>7839</v>
      </c>
      <c r="D1440" s="32">
        <v>40</v>
      </c>
      <c r="E1440" s="32">
        <v>0</v>
      </c>
    </row>
    <row r="1441" spans="1:5" x14ac:dyDescent="0.25">
      <c r="A1441">
        <v>1446</v>
      </c>
      <c r="B1441" t="s">
        <v>9487</v>
      </c>
      <c r="C1441" t="s">
        <v>7841</v>
      </c>
      <c r="D1441">
        <v>40</v>
      </c>
      <c r="E1441">
        <v>0</v>
      </c>
    </row>
    <row r="1442" spans="1:5" x14ac:dyDescent="0.25">
      <c r="A1442" s="32">
        <v>1447</v>
      </c>
      <c r="B1442" s="32" t="s">
        <v>9487</v>
      </c>
      <c r="C1442" s="32" t="s">
        <v>7147</v>
      </c>
      <c r="D1442" s="32">
        <v>3</v>
      </c>
      <c r="E1442" s="32">
        <v>0</v>
      </c>
    </row>
    <row r="1443" spans="1:5" x14ac:dyDescent="0.25">
      <c r="A1443">
        <v>1448</v>
      </c>
      <c r="B1443" t="s">
        <v>9487</v>
      </c>
      <c r="C1443" t="s">
        <v>13</v>
      </c>
      <c r="D1443">
        <v>4</v>
      </c>
      <c r="E1443">
        <v>0</v>
      </c>
    </row>
    <row r="1444" spans="1:5" x14ac:dyDescent="0.25">
      <c r="A1444" s="32">
        <v>1449</v>
      </c>
      <c r="B1444" s="32" t="s">
        <v>9487</v>
      </c>
      <c r="C1444" s="32" t="s">
        <v>7149</v>
      </c>
      <c r="D1444" s="32">
        <v>4</v>
      </c>
      <c r="E1444" s="32">
        <v>0</v>
      </c>
    </row>
    <row r="1445" spans="1:5" x14ac:dyDescent="0.25">
      <c r="A1445">
        <v>1450</v>
      </c>
      <c r="B1445" t="s">
        <v>9487</v>
      </c>
      <c r="C1445" t="s">
        <v>7151</v>
      </c>
      <c r="D1445">
        <v>3</v>
      </c>
      <c r="E1445">
        <v>0</v>
      </c>
    </row>
    <row r="1446" spans="1:5" x14ac:dyDescent="0.25">
      <c r="A1446" s="32">
        <v>1451</v>
      </c>
      <c r="B1446" s="32" t="s">
        <v>9487</v>
      </c>
      <c r="C1446" s="32" t="s">
        <v>7153</v>
      </c>
      <c r="D1446" s="32">
        <v>10</v>
      </c>
      <c r="E1446" s="32">
        <v>0</v>
      </c>
    </row>
    <row r="1447" spans="1:5" x14ac:dyDescent="0.25">
      <c r="A1447">
        <v>1452</v>
      </c>
      <c r="B1447" t="s">
        <v>9487</v>
      </c>
      <c r="C1447" t="s">
        <v>7155</v>
      </c>
      <c r="D1447">
        <v>50</v>
      </c>
      <c r="E1447">
        <v>0</v>
      </c>
    </row>
    <row r="1448" spans="1:5" x14ac:dyDescent="0.25">
      <c r="A1448" s="32">
        <v>1453</v>
      </c>
      <c r="B1448" s="32" t="s">
        <v>9487</v>
      </c>
      <c r="C1448" s="32" t="s">
        <v>7157</v>
      </c>
      <c r="D1448" s="32">
        <v>60</v>
      </c>
      <c r="E1448" s="32">
        <v>0</v>
      </c>
    </row>
    <row r="1449" spans="1:5" x14ac:dyDescent="0.25">
      <c r="A1449">
        <v>1454</v>
      </c>
      <c r="B1449" t="s">
        <v>9487</v>
      </c>
      <c r="C1449" t="s">
        <v>40</v>
      </c>
      <c r="D1449">
        <v>60</v>
      </c>
      <c r="E1449">
        <v>0</v>
      </c>
    </row>
    <row r="1450" spans="1:5" x14ac:dyDescent="0.25">
      <c r="A1450" s="32">
        <v>1455</v>
      </c>
      <c r="B1450" s="32" t="s">
        <v>9487</v>
      </c>
      <c r="C1450" s="32" t="s">
        <v>39</v>
      </c>
      <c r="D1450" s="32">
        <v>60</v>
      </c>
      <c r="E1450" s="32">
        <v>0</v>
      </c>
    </row>
    <row r="1451" spans="1:5" x14ac:dyDescent="0.25">
      <c r="A1451">
        <v>1456</v>
      </c>
      <c r="B1451" t="s">
        <v>9487</v>
      </c>
      <c r="C1451" t="s">
        <v>103</v>
      </c>
      <c r="D1451">
        <v>120</v>
      </c>
      <c r="E1451">
        <v>0</v>
      </c>
    </row>
    <row r="1452" spans="1:5" x14ac:dyDescent="0.25">
      <c r="A1452" s="32">
        <v>1457</v>
      </c>
      <c r="B1452" s="32" t="s">
        <v>9487</v>
      </c>
      <c r="C1452" s="32" t="s">
        <v>104</v>
      </c>
      <c r="D1452" s="32">
        <v>120</v>
      </c>
      <c r="E1452" s="32">
        <v>0</v>
      </c>
    </row>
    <row r="1453" spans="1:5" x14ac:dyDescent="0.25">
      <c r="A1453">
        <v>1458</v>
      </c>
      <c r="B1453" t="s">
        <v>9487</v>
      </c>
      <c r="C1453" t="s">
        <v>102</v>
      </c>
      <c r="D1453">
        <v>50</v>
      </c>
      <c r="E1453">
        <v>0</v>
      </c>
    </row>
    <row r="1454" spans="1:5" x14ac:dyDescent="0.25">
      <c r="A1454" s="32">
        <v>1459</v>
      </c>
      <c r="B1454" s="32" t="s">
        <v>9487</v>
      </c>
      <c r="C1454" s="32" t="s">
        <v>15</v>
      </c>
      <c r="D1454" s="32">
        <v>60</v>
      </c>
      <c r="E1454" s="32">
        <v>0</v>
      </c>
    </row>
    <row r="1455" spans="1:5" x14ac:dyDescent="0.25">
      <c r="A1455">
        <v>1460</v>
      </c>
      <c r="B1455" t="s">
        <v>9487</v>
      </c>
      <c r="C1455" t="s">
        <v>14</v>
      </c>
      <c r="D1455">
        <v>60</v>
      </c>
      <c r="E1455">
        <v>0</v>
      </c>
    </row>
    <row r="1456" spans="1:5" x14ac:dyDescent="0.25">
      <c r="A1456" s="32">
        <v>1461</v>
      </c>
      <c r="B1456" s="32" t="s">
        <v>9487</v>
      </c>
      <c r="C1456" s="32" t="s">
        <v>116</v>
      </c>
      <c r="D1456" s="32">
        <v>60</v>
      </c>
      <c r="E1456" s="32">
        <v>0</v>
      </c>
    </row>
    <row r="1457" spans="1:5" x14ac:dyDescent="0.25">
      <c r="A1457">
        <v>1462</v>
      </c>
      <c r="B1457" t="s">
        <v>9487</v>
      </c>
      <c r="C1457" t="s">
        <v>117</v>
      </c>
      <c r="D1457">
        <v>60</v>
      </c>
      <c r="E1457">
        <v>0</v>
      </c>
    </row>
    <row r="1458" spans="1:5" x14ac:dyDescent="0.25">
      <c r="A1458" s="32">
        <v>1463</v>
      </c>
      <c r="B1458" s="32" t="s">
        <v>9487</v>
      </c>
      <c r="C1458" s="32" t="s">
        <v>38</v>
      </c>
      <c r="D1458" s="32">
        <v>40</v>
      </c>
      <c r="E1458" s="32">
        <v>0</v>
      </c>
    </row>
    <row r="1459" spans="1:5" x14ac:dyDescent="0.25">
      <c r="A1459">
        <v>1464</v>
      </c>
      <c r="B1459" t="s">
        <v>9488</v>
      </c>
      <c r="C1459" t="s">
        <v>69</v>
      </c>
      <c r="D1459">
        <v>50</v>
      </c>
      <c r="E1459">
        <v>0</v>
      </c>
    </row>
    <row r="1460" spans="1:5" x14ac:dyDescent="0.25">
      <c r="A1460" s="32">
        <v>1465</v>
      </c>
      <c r="B1460" s="32" t="s">
        <v>9488</v>
      </c>
      <c r="C1460" s="32" t="s">
        <v>37</v>
      </c>
      <c r="D1460" s="32">
        <v>50</v>
      </c>
      <c r="E1460" s="32">
        <v>0</v>
      </c>
    </row>
    <row r="1461" spans="1:5" x14ac:dyDescent="0.25">
      <c r="A1461">
        <v>1466</v>
      </c>
      <c r="B1461" t="s">
        <v>9488</v>
      </c>
      <c r="C1461" t="s">
        <v>118</v>
      </c>
      <c r="D1461">
        <v>50</v>
      </c>
      <c r="E1461">
        <v>0</v>
      </c>
    </row>
    <row r="1462" spans="1:5" x14ac:dyDescent="0.25">
      <c r="A1462" s="32">
        <v>1467</v>
      </c>
      <c r="B1462" s="32" t="s">
        <v>9488</v>
      </c>
      <c r="C1462" s="32" t="s">
        <v>119</v>
      </c>
      <c r="D1462" s="32">
        <v>50</v>
      </c>
      <c r="E1462" s="32">
        <v>0</v>
      </c>
    </row>
    <row r="1463" spans="1:5" x14ac:dyDescent="0.25">
      <c r="A1463">
        <v>1468</v>
      </c>
      <c r="B1463" t="s">
        <v>9484</v>
      </c>
      <c r="C1463" t="s">
        <v>17</v>
      </c>
      <c r="D1463">
        <v>50</v>
      </c>
      <c r="E1463">
        <v>0</v>
      </c>
    </row>
    <row r="1464" spans="1:5" x14ac:dyDescent="0.25">
      <c r="A1464" s="32">
        <v>1469</v>
      </c>
      <c r="B1464" s="32" t="s">
        <v>9484</v>
      </c>
      <c r="C1464" s="32" t="s">
        <v>16</v>
      </c>
      <c r="D1464" s="32">
        <v>50</v>
      </c>
      <c r="E1464" s="32">
        <v>0</v>
      </c>
    </row>
    <row r="1465" spans="1:5" x14ac:dyDescent="0.25">
      <c r="A1465">
        <v>1470</v>
      </c>
      <c r="B1465" t="s">
        <v>9484</v>
      </c>
      <c r="C1465" t="s">
        <v>41</v>
      </c>
      <c r="D1465">
        <v>50</v>
      </c>
      <c r="E1465">
        <v>0</v>
      </c>
    </row>
    <row r="1466" spans="1:5" x14ac:dyDescent="0.25">
      <c r="A1466" s="32">
        <v>1471</v>
      </c>
      <c r="B1466" s="32" t="s">
        <v>9489</v>
      </c>
      <c r="C1466" s="32" t="s">
        <v>18</v>
      </c>
      <c r="D1466" s="32">
        <v>50</v>
      </c>
      <c r="E1466" s="32">
        <v>0</v>
      </c>
    </row>
    <row r="1467" spans="1:5" x14ac:dyDescent="0.25">
      <c r="A1467">
        <v>1472</v>
      </c>
      <c r="B1467" t="s">
        <v>9489</v>
      </c>
      <c r="C1467" t="s">
        <v>120</v>
      </c>
      <c r="D1467">
        <v>50</v>
      </c>
      <c r="E1467">
        <v>0</v>
      </c>
    </row>
    <row r="1468" spans="1:5" x14ac:dyDescent="0.25">
      <c r="A1468" s="32">
        <v>1473</v>
      </c>
      <c r="B1468" s="32" t="s">
        <v>9489</v>
      </c>
      <c r="C1468" s="32" t="s">
        <v>121</v>
      </c>
      <c r="D1468" s="32">
        <v>50</v>
      </c>
      <c r="E1468" s="32">
        <v>0</v>
      </c>
    </row>
    <row r="1469" spans="1:5" x14ac:dyDescent="0.25">
      <c r="A1469">
        <v>1474</v>
      </c>
      <c r="B1469" t="s">
        <v>9489</v>
      </c>
      <c r="C1469" t="s">
        <v>44</v>
      </c>
      <c r="D1469">
        <v>50</v>
      </c>
      <c r="E1469">
        <v>0</v>
      </c>
    </row>
    <row r="1470" spans="1:5" x14ac:dyDescent="0.25">
      <c r="A1470" s="32">
        <v>1475</v>
      </c>
      <c r="B1470" s="32" t="s">
        <v>9489</v>
      </c>
      <c r="C1470" s="32" t="s">
        <v>43</v>
      </c>
      <c r="D1470" s="32">
        <v>50</v>
      </c>
      <c r="E1470" s="32">
        <v>0</v>
      </c>
    </row>
    <row r="1471" spans="1:5" x14ac:dyDescent="0.25">
      <c r="A1471">
        <v>1476</v>
      </c>
      <c r="B1471" t="s">
        <v>9489</v>
      </c>
      <c r="C1471" t="s">
        <v>122</v>
      </c>
      <c r="D1471">
        <v>50</v>
      </c>
      <c r="E1471">
        <v>0</v>
      </c>
    </row>
    <row r="1472" spans="1:5" x14ac:dyDescent="0.25">
      <c r="A1472" s="32">
        <v>1477</v>
      </c>
      <c r="B1472" s="32" t="s">
        <v>9489</v>
      </c>
      <c r="C1472" s="32" t="s">
        <v>123</v>
      </c>
      <c r="D1472" s="32">
        <v>50</v>
      </c>
      <c r="E1472" s="32">
        <v>0</v>
      </c>
    </row>
    <row r="1473" spans="1:5" x14ac:dyDescent="0.25">
      <c r="A1473">
        <v>1478</v>
      </c>
      <c r="B1473" t="s">
        <v>9489</v>
      </c>
      <c r="C1473" t="s">
        <v>7169</v>
      </c>
      <c r="D1473">
        <v>50</v>
      </c>
      <c r="E1473">
        <v>0</v>
      </c>
    </row>
    <row r="1474" spans="1:5" x14ac:dyDescent="0.25">
      <c r="A1474" s="32">
        <v>1479</v>
      </c>
      <c r="B1474" s="32" t="s">
        <v>9489</v>
      </c>
      <c r="C1474" s="32" t="s">
        <v>6857</v>
      </c>
      <c r="D1474" s="32">
        <v>25</v>
      </c>
      <c r="E1474" s="32">
        <v>0</v>
      </c>
    </row>
    <row r="1475" spans="1:5" x14ac:dyDescent="0.25">
      <c r="A1475">
        <v>1480</v>
      </c>
      <c r="B1475" t="s">
        <v>9489</v>
      </c>
      <c r="C1475" t="s">
        <v>6859</v>
      </c>
      <c r="D1475">
        <v>12</v>
      </c>
      <c r="E1475">
        <v>0</v>
      </c>
    </row>
    <row r="1476" spans="1:5" x14ac:dyDescent="0.25">
      <c r="A1476" s="32">
        <v>1481</v>
      </c>
      <c r="B1476" s="32" t="s">
        <v>9489</v>
      </c>
      <c r="C1476" s="32" t="s">
        <v>6861</v>
      </c>
      <c r="D1476" s="32">
        <v>8</v>
      </c>
      <c r="E1476" s="32">
        <v>0</v>
      </c>
    </row>
    <row r="1477" spans="1:5" x14ac:dyDescent="0.25">
      <c r="A1477">
        <v>1482</v>
      </c>
      <c r="B1477" t="s">
        <v>9489</v>
      </c>
      <c r="C1477" t="s">
        <v>98</v>
      </c>
      <c r="D1477">
        <v>24</v>
      </c>
      <c r="E1477">
        <v>0</v>
      </c>
    </row>
    <row r="1478" spans="1:5" x14ac:dyDescent="0.25">
      <c r="A1478" s="32">
        <v>1483</v>
      </c>
      <c r="B1478" s="32" t="s">
        <v>9489</v>
      </c>
      <c r="C1478" s="32" t="s">
        <v>6864</v>
      </c>
      <c r="D1478" s="32">
        <v>24</v>
      </c>
      <c r="E1478" s="32">
        <v>0</v>
      </c>
    </row>
    <row r="1479" spans="1:5" x14ac:dyDescent="0.25">
      <c r="A1479">
        <v>1484</v>
      </c>
      <c r="B1479" t="s">
        <v>9489</v>
      </c>
      <c r="C1479" t="s">
        <v>99</v>
      </c>
      <c r="D1479">
        <v>40</v>
      </c>
      <c r="E1479">
        <v>0</v>
      </c>
    </row>
    <row r="1480" spans="1:5" x14ac:dyDescent="0.25">
      <c r="A1480" s="32">
        <v>1485</v>
      </c>
      <c r="B1480" s="32" t="s">
        <v>9483</v>
      </c>
      <c r="C1480" s="32" t="s">
        <v>107</v>
      </c>
      <c r="D1480" s="32">
        <v>5</v>
      </c>
      <c r="E1480" s="32">
        <v>0</v>
      </c>
    </row>
    <row r="1481" spans="1:5" x14ac:dyDescent="0.25">
      <c r="A1481">
        <v>1486</v>
      </c>
      <c r="B1481" t="s">
        <v>9490</v>
      </c>
      <c r="C1481" t="s">
        <v>6868</v>
      </c>
      <c r="D1481">
        <v>12</v>
      </c>
      <c r="E1481">
        <v>0</v>
      </c>
    </row>
    <row r="1482" spans="1:5" x14ac:dyDescent="0.25">
      <c r="A1482" s="32">
        <v>1487</v>
      </c>
      <c r="B1482" s="32" t="s">
        <v>9490</v>
      </c>
      <c r="C1482" s="32" t="s">
        <v>6870</v>
      </c>
      <c r="D1482" s="32">
        <v>12</v>
      </c>
      <c r="E1482" s="32">
        <v>0</v>
      </c>
    </row>
    <row r="1483" spans="1:5" x14ac:dyDescent="0.25">
      <c r="A1483">
        <v>1488</v>
      </c>
      <c r="B1483" t="s">
        <v>9490</v>
      </c>
      <c r="C1483" t="s">
        <v>6872</v>
      </c>
      <c r="D1483">
        <v>5</v>
      </c>
      <c r="E1483">
        <v>0</v>
      </c>
    </row>
    <row r="1484" spans="1:5" x14ac:dyDescent="0.25">
      <c r="A1484" s="32">
        <v>1489</v>
      </c>
      <c r="B1484" s="32" t="s">
        <v>9490</v>
      </c>
      <c r="C1484" s="32" t="s">
        <v>6874</v>
      </c>
      <c r="D1484" s="32">
        <v>3</v>
      </c>
      <c r="E1484" s="32">
        <v>0</v>
      </c>
    </row>
    <row r="1485" spans="1:5" x14ac:dyDescent="0.25">
      <c r="A1485">
        <v>1490</v>
      </c>
      <c r="B1485" t="s">
        <v>9483</v>
      </c>
      <c r="C1485" t="s">
        <v>72</v>
      </c>
      <c r="D1485">
        <v>24</v>
      </c>
      <c r="E1485">
        <v>0</v>
      </c>
    </row>
    <row r="1486" spans="1:5" x14ac:dyDescent="0.25">
      <c r="A1486" s="32">
        <v>1491</v>
      </c>
      <c r="B1486" s="32" t="s">
        <v>9490</v>
      </c>
      <c r="C1486" s="32" t="s">
        <v>6877</v>
      </c>
      <c r="D1486" s="32">
        <v>6</v>
      </c>
      <c r="E1486" s="32">
        <v>0</v>
      </c>
    </row>
    <row r="1487" spans="1:5" x14ac:dyDescent="0.25">
      <c r="A1487">
        <v>1492</v>
      </c>
      <c r="B1487" t="s">
        <v>9483</v>
      </c>
      <c r="C1487" t="s">
        <v>6879</v>
      </c>
      <c r="D1487">
        <v>6</v>
      </c>
      <c r="E1487">
        <v>0</v>
      </c>
    </row>
    <row r="1488" spans="1:5" x14ac:dyDescent="0.25">
      <c r="A1488" s="32">
        <v>1493</v>
      </c>
      <c r="B1488" s="32" t="s">
        <v>9490</v>
      </c>
      <c r="C1488" s="32" t="s">
        <v>6881</v>
      </c>
      <c r="D1488" s="32">
        <v>15</v>
      </c>
      <c r="E1488" s="32">
        <v>0</v>
      </c>
    </row>
    <row r="1489" spans="1:5" x14ac:dyDescent="0.25">
      <c r="A1489">
        <v>1494</v>
      </c>
      <c r="B1489" t="s">
        <v>9483</v>
      </c>
      <c r="C1489" t="s">
        <v>6883</v>
      </c>
      <c r="D1489">
        <v>3</v>
      </c>
      <c r="E1489">
        <v>0</v>
      </c>
    </row>
    <row r="1490" spans="1:5" x14ac:dyDescent="0.25">
      <c r="A1490" s="32">
        <v>1495</v>
      </c>
      <c r="B1490" s="32" t="s">
        <v>9490</v>
      </c>
      <c r="C1490" s="32" t="s">
        <v>6885</v>
      </c>
      <c r="D1490" s="32">
        <v>4</v>
      </c>
      <c r="E1490" s="32">
        <v>20</v>
      </c>
    </row>
    <row r="1491" spans="1:5" x14ac:dyDescent="0.25">
      <c r="A1491">
        <v>1496</v>
      </c>
      <c r="B1491" t="s">
        <v>9490</v>
      </c>
      <c r="C1491" t="s">
        <v>6887</v>
      </c>
      <c r="D1491">
        <v>3</v>
      </c>
      <c r="E1491">
        <v>20</v>
      </c>
    </row>
    <row r="1492" spans="1:5" x14ac:dyDescent="0.25">
      <c r="A1492" s="32">
        <v>1497</v>
      </c>
      <c r="B1492" s="32" t="s">
        <v>9490</v>
      </c>
      <c r="C1492" s="32" t="s">
        <v>6889</v>
      </c>
      <c r="D1492" s="32">
        <v>8</v>
      </c>
      <c r="E1492" s="32">
        <v>22</v>
      </c>
    </row>
    <row r="1493" spans="1:5" x14ac:dyDescent="0.25">
      <c r="A1493">
        <v>1498</v>
      </c>
      <c r="B1493" t="s">
        <v>9489</v>
      </c>
      <c r="C1493" t="s">
        <v>91</v>
      </c>
      <c r="D1493">
        <v>4</v>
      </c>
      <c r="E1493">
        <v>0</v>
      </c>
    </row>
    <row r="1494" spans="1:5" x14ac:dyDescent="0.25">
      <c r="A1494" s="32">
        <v>1499</v>
      </c>
      <c r="B1494" s="32" t="s">
        <v>9491</v>
      </c>
      <c r="C1494" s="32" t="s">
        <v>6892</v>
      </c>
      <c r="D1494" s="32">
        <v>4</v>
      </c>
      <c r="E1494" s="32">
        <v>0</v>
      </c>
    </row>
    <row r="1495" spans="1:5" x14ac:dyDescent="0.25">
      <c r="A1495">
        <v>1500</v>
      </c>
      <c r="B1495" t="s">
        <v>9491</v>
      </c>
      <c r="C1495" t="s">
        <v>6894</v>
      </c>
      <c r="D1495">
        <v>10</v>
      </c>
      <c r="E1495">
        <v>0</v>
      </c>
    </row>
    <row r="1496" spans="1:5" x14ac:dyDescent="0.25">
      <c r="A1496" s="32">
        <v>1501</v>
      </c>
      <c r="B1496" s="32" t="s">
        <v>9491</v>
      </c>
      <c r="C1496" s="32" t="s">
        <v>6896</v>
      </c>
      <c r="D1496" s="32">
        <v>10</v>
      </c>
      <c r="E1496" s="32">
        <v>0</v>
      </c>
    </row>
    <row r="1497" spans="1:5" x14ac:dyDescent="0.25">
      <c r="A1497">
        <v>1502</v>
      </c>
      <c r="B1497" t="s">
        <v>9491</v>
      </c>
      <c r="C1497" t="s">
        <v>76</v>
      </c>
      <c r="D1497">
        <v>13</v>
      </c>
      <c r="E1497">
        <v>0</v>
      </c>
    </row>
    <row r="1498" spans="1:5" x14ac:dyDescent="0.25">
      <c r="A1498" s="32">
        <v>1503</v>
      </c>
      <c r="B1498" s="32" t="s">
        <v>9491</v>
      </c>
      <c r="C1498" s="32" t="s">
        <v>100</v>
      </c>
      <c r="D1498" s="32">
        <v>6</v>
      </c>
      <c r="E1498" s="32">
        <v>0</v>
      </c>
    </row>
    <row r="1499" spans="1:5" x14ac:dyDescent="0.25">
      <c r="A1499">
        <v>1504</v>
      </c>
      <c r="B1499" t="s">
        <v>9491</v>
      </c>
      <c r="C1499" t="s">
        <v>96</v>
      </c>
      <c r="D1499">
        <v>3</v>
      </c>
      <c r="E1499">
        <v>0</v>
      </c>
    </row>
    <row r="1500" spans="1:5" x14ac:dyDescent="0.25">
      <c r="A1500" s="32">
        <v>1505</v>
      </c>
      <c r="B1500" s="32" t="s">
        <v>9491</v>
      </c>
      <c r="C1500" s="32" t="s">
        <v>6901</v>
      </c>
      <c r="D1500" s="32">
        <v>4</v>
      </c>
      <c r="E1500" s="32">
        <v>0</v>
      </c>
    </row>
    <row r="1501" spans="1:5" x14ac:dyDescent="0.25">
      <c r="A1501">
        <v>1506</v>
      </c>
      <c r="B1501" t="s">
        <v>9491</v>
      </c>
      <c r="C1501" t="s">
        <v>21</v>
      </c>
      <c r="D1501">
        <v>3</v>
      </c>
      <c r="E1501">
        <v>0</v>
      </c>
    </row>
    <row r="1502" spans="1:5" x14ac:dyDescent="0.25">
      <c r="A1502" s="32">
        <v>1507</v>
      </c>
      <c r="B1502" s="32" t="s">
        <v>9491</v>
      </c>
      <c r="C1502" s="32" t="s">
        <v>6904</v>
      </c>
      <c r="D1502" s="32">
        <v>6</v>
      </c>
      <c r="E1502" s="32">
        <v>0</v>
      </c>
    </row>
    <row r="1503" spans="1:5" x14ac:dyDescent="0.25">
      <c r="A1503">
        <v>1508</v>
      </c>
      <c r="B1503" t="s">
        <v>9491</v>
      </c>
      <c r="C1503" t="s">
        <v>52</v>
      </c>
      <c r="D1503">
        <v>28</v>
      </c>
      <c r="E1503">
        <v>30</v>
      </c>
    </row>
    <row r="1504" spans="1:5" x14ac:dyDescent="0.25">
      <c r="A1504" s="32">
        <v>1509</v>
      </c>
      <c r="B1504" s="32" t="s">
        <v>9491</v>
      </c>
      <c r="C1504" s="32" t="s">
        <v>63</v>
      </c>
      <c r="D1504" s="32">
        <v>15</v>
      </c>
      <c r="E1504" s="32">
        <v>20</v>
      </c>
    </row>
    <row r="1505" spans="1:5" x14ac:dyDescent="0.25">
      <c r="A1505">
        <v>1510</v>
      </c>
      <c r="B1505" t="s">
        <v>9491</v>
      </c>
      <c r="C1505" t="s">
        <v>6908</v>
      </c>
      <c r="D1505">
        <v>10</v>
      </c>
      <c r="E1505">
        <v>15</v>
      </c>
    </row>
    <row r="1506" spans="1:5" x14ac:dyDescent="0.25">
      <c r="A1506" s="32">
        <v>1511</v>
      </c>
      <c r="B1506" s="32" t="s">
        <v>9491</v>
      </c>
      <c r="C1506" s="32" t="s">
        <v>19</v>
      </c>
      <c r="D1506" s="32">
        <v>10</v>
      </c>
      <c r="E1506" s="32">
        <v>12</v>
      </c>
    </row>
    <row r="1507" spans="1:5" x14ac:dyDescent="0.25">
      <c r="A1507">
        <v>1512</v>
      </c>
      <c r="B1507" t="s">
        <v>9491</v>
      </c>
      <c r="C1507" t="s">
        <v>108</v>
      </c>
      <c r="D1507">
        <v>18</v>
      </c>
      <c r="E1507">
        <v>12</v>
      </c>
    </row>
    <row r="1508" spans="1:5" x14ac:dyDescent="0.25">
      <c r="A1508" s="32">
        <v>1513</v>
      </c>
      <c r="B1508" s="32" t="s">
        <v>9491</v>
      </c>
      <c r="C1508" s="32" t="s">
        <v>20</v>
      </c>
      <c r="D1508" s="32">
        <v>20</v>
      </c>
      <c r="E1508" s="32">
        <v>24</v>
      </c>
    </row>
    <row r="1509" spans="1:5" x14ac:dyDescent="0.25">
      <c r="A1509">
        <v>1514</v>
      </c>
      <c r="B1509" t="s">
        <v>9491</v>
      </c>
      <c r="C1509" t="s">
        <v>88</v>
      </c>
      <c r="D1509">
        <v>20</v>
      </c>
      <c r="E1509">
        <v>0</v>
      </c>
    </row>
    <row r="1510" spans="1:5" x14ac:dyDescent="0.25">
      <c r="A1510" s="32">
        <v>1515</v>
      </c>
      <c r="B1510" s="32" t="s">
        <v>9491</v>
      </c>
      <c r="C1510" s="32" t="s">
        <v>57</v>
      </c>
      <c r="D1510" s="32">
        <v>25</v>
      </c>
      <c r="E1510" s="32">
        <v>0</v>
      </c>
    </row>
    <row r="1511" spans="1:5" x14ac:dyDescent="0.25">
      <c r="A1511">
        <v>1516</v>
      </c>
      <c r="B1511" t="s">
        <v>9487</v>
      </c>
      <c r="C1511" t="s">
        <v>64</v>
      </c>
      <c r="D1511">
        <v>10</v>
      </c>
      <c r="E1511">
        <v>0</v>
      </c>
    </row>
    <row r="1512" spans="1:5" x14ac:dyDescent="0.25">
      <c r="A1512" s="32">
        <v>1517</v>
      </c>
      <c r="B1512" s="32" t="s">
        <v>9492</v>
      </c>
      <c r="C1512" s="32" t="s">
        <v>25</v>
      </c>
      <c r="D1512" s="32">
        <v>10</v>
      </c>
      <c r="E1512" s="32">
        <v>0</v>
      </c>
    </row>
    <row r="1513" spans="1:5" x14ac:dyDescent="0.25">
      <c r="A1513">
        <v>1518</v>
      </c>
      <c r="B1513" t="s">
        <v>9492</v>
      </c>
      <c r="C1513" t="s">
        <v>6917</v>
      </c>
      <c r="D1513">
        <v>10</v>
      </c>
      <c r="E1513">
        <v>0</v>
      </c>
    </row>
    <row r="1514" spans="1:5" x14ac:dyDescent="0.25">
      <c r="A1514" s="32">
        <v>1519</v>
      </c>
      <c r="B1514" s="32" t="s">
        <v>9492</v>
      </c>
      <c r="C1514" s="32" t="s">
        <v>23</v>
      </c>
      <c r="D1514" s="32">
        <v>10</v>
      </c>
      <c r="E1514" s="32">
        <v>0</v>
      </c>
    </row>
    <row r="1515" spans="1:5" x14ac:dyDescent="0.25">
      <c r="A1515">
        <v>1520</v>
      </c>
      <c r="B1515" t="s">
        <v>9492</v>
      </c>
      <c r="C1515" t="s">
        <v>93</v>
      </c>
      <c r="D1515">
        <v>10</v>
      </c>
      <c r="E1515">
        <v>0</v>
      </c>
    </row>
    <row r="1516" spans="1:5" x14ac:dyDescent="0.25">
      <c r="A1516" s="32">
        <v>1521</v>
      </c>
      <c r="B1516" s="32" t="s">
        <v>9492</v>
      </c>
      <c r="C1516" s="32" t="s">
        <v>24</v>
      </c>
      <c r="D1516" s="32">
        <v>10</v>
      </c>
      <c r="E1516" s="32">
        <v>0</v>
      </c>
    </row>
    <row r="1517" spans="1:5" x14ac:dyDescent="0.25">
      <c r="A1517">
        <v>1522</v>
      </c>
      <c r="B1517" t="s">
        <v>9492</v>
      </c>
      <c r="C1517" t="s">
        <v>83</v>
      </c>
      <c r="D1517">
        <v>10</v>
      </c>
      <c r="E1517">
        <v>0</v>
      </c>
    </row>
    <row r="1518" spans="1:5" x14ac:dyDescent="0.25">
      <c r="A1518" s="32">
        <v>1523</v>
      </c>
      <c r="B1518" s="32" t="s">
        <v>9492</v>
      </c>
      <c r="C1518" s="32" t="s">
        <v>56</v>
      </c>
      <c r="D1518" s="32">
        <v>10</v>
      </c>
      <c r="E1518" s="32">
        <v>0</v>
      </c>
    </row>
    <row r="1519" spans="1:5" x14ac:dyDescent="0.25">
      <c r="A1519">
        <v>1524</v>
      </c>
      <c r="B1519" t="s">
        <v>9492</v>
      </c>
      <c r="C1519" t="s">
        <v>68</v>
      </c>
      <c r="D1519">
        <v>10</v>
      </c>
      <c r="E1519">
        <v>0</v>
      </c>
    </row>
    <row r="1520" spans="1:5" x14ac:dyDescent="0.25">
      <c r="A1520" s="32">
        <v>1525</v>
      </c>
      <c r="B1520" s="32" t="s">
        <v>9492</v>
      </c>
      <c r="C1520" s="32" t="s">
        <v>49</v>
      </c>
      <c r="D1520" s="32">
        <v>10</v>
      </c>
      <c r="E1520" s="32">
        <v>0</v>
      </c>
    </row>
    <row r="1521" spans="1:5" x14ac:dyDescent="0.25">
      <c r="A1521">
        <v>1526</v>
      </c>
      <c r="B1521" t="s">
        <v>9492</v>
      </c>
      <c r="C1521" t="s">
        <v>6925</v>
      </c>
      <c r="D1521">
        <v>10</v>
      </c>
      <c r="E1521">
        <v>0</v>
      </c>
    </row>
    <row r="1522" spans="1:5" x14ac:dyDescent="0.25">
      <c r="A1522" s="32">
        <v>1527</v>
      </c>
      <c r="B1522" s="32" t="s">
        <v>9492</v>
      </c>
      <c r="C1522" s="32" t="s">
        <v>51</v>
      </c>
      <c r="D1522" s="32">
        <v>10</v>
      </c>
      <c r="E1522" s="32">
        <v>0</v>
      </c>
    </row>
    <row r="1523" spans="1:5" x14ac:dyDescent="0.25">
      <c r="A1523">
        <v>1528</v>
      </c>
      <c r="B1523" t="s">
        <v>9492</v>
      </c>
      <c r="C1523" t="s">
        <v>6928</v>
      </c>
      <c r="D1523">
        <v>10</v>
      </c>
      <c r="E1523">
        <v>0</v>
      </c>
    </row>
    <row r="1524" spans="1:5" x14ac:dyDescent="0.25">
      <c r="A1524" s="32">
        <v>1529</v>
      </c>
      <c r="B1524" s="32" t="s">
        <v>9492</v>
      </c>
      <c r="C1524" s="32" t="s">
        <v>54</v>
      </c>
      <c r="D1524" s="32">
        <v>10</v>
      </c>
      <c r="E1524" s="32">
        <v>0</v>
      </c>
    </row>
    <row r="1525" spans="1:5" x14ac:dyDescent="0.25">
      <c r="A1525">
        <v>1530</v>
      </c>
      <c r="B1525" t="s">
        <v>9492</v>
      </c>
      <c r="C1525" t="s">
        <v>55</v>
      </c>
      <c r="D1525">
        <v>10</v>
      </c>
      <c r="E1525">
        <v>0</v>
      </c>
    </row>
    <row r="1526" spans="1:5" x14ac:dyDescent="0.25">
      <c r="A1526" s="32">
        <v>1531</v>
      </c>
      <c r="B1526" s="32" t="s">
        <v>9492</v>
      </c>
      <c r="C1526" s="32" t="s">
        <v>6932</v>
      </c>
      <c r="D1526" s="32">
        <v>10</v>
      </c>
      <c r="E1526" s="32">
        <v>0</v>
      </c>
    </row>
    <row r="1527" spans="1:5" x14ac:dyDescent="0.25">
      <c r="A1527">
        <v>1532</v>
      </c>
      <c r="B1527" t="s">
        <v>9492</v>
      </c>
      <c r="C1527" t="s">
        <v>31</v>
      </c>
      <c r="D1527">
        <v>10</v>
      </c>
      <c r="E1527">
        <v>0</v>
      </c>
    </row>
    <row r="1528" spans="1:5" x14ac:dyDescent="0.25">
      <c r="A1528" s="32">
        <v>1533</v>
      </c>
      <c r="B1528" s="32" t="s">
        <v>9494</v>
      </c>
      <c r="C1528" s="32" t="s">
        <v>6935</v>
      </c>
      <c r="D1528" s="32">
        <v>30</v>
      </c>
      <c r="E1528" s="32">
        <v>0</v>
      </c>
    </row>
    <row r="1529" spans="1:5" x14ac:dyDescent="0.25">
      <c r="A1529">
        <v>1534</v>
      </c>
      <c r="B1529" t="s">
        <v>9495</v>
      </c>
      <c r="C1529" t="s">
        <v>58</v>
      </c>
      <c r="D1529">
        <v>20</v>
      </c>
      <c r="E1529">
        <v>0</v>
      </c>
    </row>
    <row r="1530" spans="1:5" x14ac:dyDescent="0.25">
      <c r="A1530" s="32">
        <v>1535</v>
      </c>
      <c r="B1530" s="32" t="s">
        <v>9495</v>
      </c>
      <c r="C1530" s="32" t="s">
        <v>6938</v>
      </c>
      <c r="D1530" s="32">
        <v>20</v>
      </c>
      <c r="E1530" s="32">
        <v>0</v>
      </c>
    </row>
    <row r="1531" spans="1:5" x14ac:dyDescent="0.25">
      <c r="A1531">
        <v>1536</v>
      </c>
      <c r="B1531" t="s">
        <v>9495</v>
      </c>
      <c r="C1531" t="s">
        <v>59</v>
      </c>
      <c r="D1531">
        <v>20</v>
      </c>
      <c r="E1531">
        <v>0</v>
      </c>
    </row>
    <row r="1532" spans="1:5" x14ac:dyDescent="0.25">
      <c r="A1532" s="32">
        <v>1537</v>
      </c>
      <c r="B1532" s="32" t="s">
        <v>9495</v>
      </c>
      <c r="C1532" s="32" t="s">
        <v>6941</v>
      </c>
      <c r="D1532" s="32">
        <v>10</v>
      </c>
      <c r="E1532" s="32">
        <v>0</v>
      </c>
    </row>
    <row r="1533" spans="1:5" x14ac:dyDescent="0.25">
      <c r="A1533">
        <v>1538</v>
      </c>
      <c r="B1533" t="s">
        <v>9487</v>
      </c>
      <c r="C1533" t="s">
        <v>80</v>
      </c>
      <c r="D1533">
        <v>2</v>
      </c>
      <c r="E1533">
        <v>0</v>
      </c>
    </row>
    <row r="1534" spans="1:5" x14ac:dyDescent="0.25">
      <c r="A1534" s="32">
        <v>1539</v>
      </c>
      <c r="B1534" s="32" t="s">
        <v>9485</v>
      </c>
      <c r="C1534" s="32" t="s">
        <v>6944</v>
      </c>
      <c r="D1534" s="32">
        <v>1</v>
      </c>
      <c r="E1534" s="32">
        <v>0</v>
      </c>
    </row>
    <row r="1535" spans="1:5" x14ac:dyDescent="0.25">
      <c r="A1535">
        <v>1540</v>
      </c>
      <c r="B1535" t="s">
        <v>9485</v>
      </c>
      <c r="C1535" t="s">
        <v>28</v>
      </c>
      <c r="D1535">
        <v>1</v>
      </c>
      <c r="E1535">
        <v>0</v>
      </c>
    </row>
    <row r="1536" spans="1:5" x14ac:dyDescent="0.25">
      <c r="A1536" s="32">
        <v>1541</v>
      </c>
      <c r="B1536" s="32" t="s">
        <v>9485</v>
      </c>
      <c r="C1536" s="32" t="s">
        <v>6947</v>
      </c>
      <c r="D1536" s="32">
        <v>1</v>
      </c>
      <c r="E1536" s="32">
        <v>0</v>
      </c>
    </row>
    <row r="1537" spans="1:5" x14ac:dyDescent="0.25">
      <c r="A1537">
        <v>1542</v>
      </c>
      <c r="B1537" t="s">
        <v>9485</v>
      </c>
      <c r="C1537" t="s">
        <v>6949</v>
      </c>
      <c r="D1537">
        <v>1</v>
      </c>
      <c r="E1537">
        <v>0</v>
      </c>
    </row>
    <row r="1538" spans="1:5" x14ac:dyDescent="0.25">
      <c r="A1538" s="32">
        <v>1543</v>
      </c>
      <c r="B1538" s="32" t="s">
        <v>9485</v>
      </c>
      <c r="C1538" s="32" t="s">
        <v>6951</v>
      </c>
      <c r="D1538" s="32">
        <v>4</v>
      </c>
      <c r="E1538" s="32">
        <v>0</v>
      </c>
    </row>
    <row r="1539" spans="1:5" x14ac:dyDescent="0.25">
      <c r="A1539">
        <v>1544</v>
      </c>
      <c r="B1539" t="s">
        <v>9485</v>
      </c>
      <c r="C1539" t="s">
        <v>6953</v>
      </c>
      <c r="D1539">
        <v>1</v>
      </c>
      <c r="E1539">
        <v>0</v>
      </c>
    </row>
    <row r="1540" spans="1:5" x14ac:dyDescent="0.25">
      <c r="A1540" s="32">
        <v>1545</v>
      </c>
      <c r="B1540" s="32" t="s">
        <v>9485</v>
      </c>
      <c r="C1540" s="32" t="s">
        <v>6954</v>
      </c>
      <c r="D1540" s="32">
        <v>1</v>
      </c>
      <c r="E1540" s="32">
        <v>0</v>
      </c>
    </row>
    <row r="1541" spans="1:5" x14ac:dyDescent="0.25">
      <c r="A1541">
        <v>1546</v>
      </c>
      <c r="B1541" t="s">
        <v>9485</v>
      </c>
      <c r="C1541" t="s">
        <v>6956</v>
      </c>
      <c r="D1541">
        <v>2</v>
      </c>
      <c r="E1541">
        <v>0</v>
      </c>
    </row>
    <row r="1542" spans="1:5" x14ac:dyDescent="0.25">
      <c r="A1542" s="32">
        <v>1547</v>
      </c>
      <c r="B1542" s="32" t="s">
        <v>9485</v>
      </c>
      <c r="C1542" s="32" t="s">
        <v>60</v>
      </c>
      <c r="D1542" s="32">
        <v>6</v>
      </c>
      <c r="E1542" s="32">
        <v>0</v>
      </c>
    </row>
    <row r="1543" spans="1:5" x14ac:dyDescent="0.25">
      <c r="A1543">
        <v>1548</v>
      </c>
      <c r="B1543" t="s">
        <v>9493</v>
      </c>
      <c r="C1543" t="s">
        <v>66</v>
      </c>
      <c r="D1543">
        <v>1</v>
      </c>
      <c r="E1543">
        <v>0</v>
      </c>
    </row>
    <row r="1544" spans="1:5" x14ac:dyDescent="0.25">
      <c r="A1544" s="32">
        <v>1549</v>
      </c>
      <c r="B1544" s="32" t="s">
        <v>9493</v>
      </c>
      <c r="C1544" s="32" t="s">
        <v>67</v>
      </c>
      <c r="D1544" s="32">
        <v>3</v>
      </c>
      <c r="E1544" s="32">
        <v>0</v>
      </c>
    </row>
    <row r="1545" spans="1:5" x14ac:dyDescent="0.25">
      <c r="A1545">
        <v>1550</v>
      </c>
      <c r="B1545" t="s">
        <v>9493</v>
      </c>
      <c r="C1545" t="s">
        <v>79</v>
      </c>
      <c r="D1545">
        <v>10</v>
      </c>
      <c r="E1545">
        <v>0</v>
      </c>
    </row>
    <row r="1546" spans="1:5" x14ac:dyDescent="0.25">
      <c r="A1546" s="32">
        <v>1551</v>
      </c>
      <c r="B1546" s="32" t="s">
        <v>9493</v>
      </c>
      <c r="C1546" s="32" t="s">
        <v>84</v>
      </c>
      <c r="D1546" s="32">
        <v>10</v>
      </c>
      <c r="E1546" s="32">
        <v>0</v>
      </c>
    </row>
    <row r="1547" spans="1:5" x14ac:dyDescent="0.25">
      <c r="A1547">
        <v>1552</v>
      </c>
      <c r="B1547" t="s">
        <v>9493</v>
      </c>
      <c r="C1547" t="s">
        <v>73</v>
      </c>
      <c r="D1547">
        <v>10</v>
      </c>
      <c r="E1547">
        <v>0</v>
      </c>
    </row>
    <row r="1548" spans="1:5" x14ac:dyDescent="0.25">
      <c r="A1548" s="32">
        <v>1553</v>
      </c>
      <c r="B1548" s="32" t="s">
        <v>9493</v>
      </c>
      <c r="C1548" s="32" t="s">
        <v>85</v>
      </c>
      <c r="D1548" s="32">
        <v>32</v>
      </c>
      <c r="E1548" s="32">
        <v>0</v>
      </c>
    </row>
    <row r="1549" spans="1:5" x14ac:dyDescent="0.25">
      <c r="A1549">
        <v>1554</v>
      </c>
      <c r="B1549" t="s">
        <v>9493</v>
      </c>
      <c r="C1549" t="s">
        <v>86</v>
      </c>
      <c r="D1549">
        <v>24</v>
      </c>
      <c r="E1549">
        <v>0</v>
      </c>
    </row>
    <row r="1550" spans="1:5" x14ac:dyDescent="0.25">
      <c r="A1550" s="32">
        <v>1555</v>
      </c>
      <c r="B1550" s="32" t="s">
        <v>9493</v>
      </c>
      <c r="C1550" s="32" t="s">
        <v>6966</v>
      </c>
      <c r="D1550" s="32">
        <v>10</v>
      </c>
      <c r="E1550" s="32">
        <v>0</v>
      </c>
    </row>
    <row r="1551" spans="1:5" x14ac:dyDescent="0.25">
      <c r="A1551">
        <v>1556</v>
      </c>
      <c r="B1551" t="s">
        <v>9493</v>
      </c>
      <c r="C1551" t="s">
        <v>42</v>
      </c>
      <c r="D1551">
        <v>10</v>
      </c>
      <c r="E1551">
        <v>0</v>
      </c>
    </row>
    <row r="1552" spans="1:5" x14ac:dyDescent="0.25">
      <c r="A1552" s="32">
        <v>1557</v>
      </c>
      <c r="B1552" s="32" t="s">
        <v>9493</v>
      </c>
      <c r="C1552" s="32" t="s">
        <v>6969</v>
      </c>
      <c r="D1552" s="32">
        <v>50</v>
      </c>
      <c r="E1552" s="32">
        <v>0</v>
      </c>
    </row>
    <row r="1553" spans="1:5" x14ac:dyDescent="0.25">
      <c r="A1553">
        <v>1558</v>
      </c>
      <c r="B1553" t="s">
        <v>9493</v>
      </c>
      <c r="C1553" t="s">
        <v>6971</v>
      </c>
      <c r="D1553">
        <v>50</v>
      </c>
      <c r="E1553">
        <v>0</v>
      </c>
    </row>
    <row r="1554" spans="1:5" x14ac:dyDescent="0.25">
      <c r="A1554" s="32">
        <v>1559</v>
      </c>
      <c r="B1554" s="32" t="s">
        <v>9493</v>
      </c>
      <c r="C1554" s="32" t="s">
        <v>6973</v>
      </c>
      <c r="D1554" s="32">
        <v>10</v>
      </c>
      <c r="E1554" s="32">
        <v>55</v>
      </c>
    </row>
    <row r="1555" spans="1:5" x14ac:dyDescent="0.25">
      <c r="A1555">
        <v>1560</v>
      </c>
      <c r="B1555" t="s">
        <v>9487</v>
      </c>
      <c r="C1555" t="s">
        <v>81</v>
      </c>
      <c r="D1555">
        <v>10</v>
      </c>
      <c r="E1555">
        <v>0</v>
      </c>
    </row>
    <row r="1556" spans="1:5" x14ac:dyDescent="0.25">
      <c r="A1556" s="32">
        <v>1561</v>
      </c>
      <c r="B1556" s="32" t="s">
        <v>9487</v>
      </c>
      <c r="C1556" s="32" t="s">
        <v>114</v>
      </c>
      <c r="D1556" s="32">
        <v>10</v>
      </c>
      <c r="E1556" s="32">
        <v>0</v>
      </c>
    </row>
    <row r="1557" spans="1:5" x14ac:dyDescent="0.25">
      <c r="A1557">
        <v>1562</v>
      </c>
      <c r="B1557" t="s">
        <v>9487</v>
      </c>
      <c r="C1557" t="s">
        <v>6977</v>
      </c>
      <c r="D1557">
        <v>10</v>
      </c>
      <c r="E1557">
        <v>0</v>
      </c>
    </row>
    <row r="1558" spans="1:5" x14ac:dyDescent="0.25">
      <c r="A1558" s="32">
        <v>1563</v>
      </c>
      <c r="B1558" s="32" t="s">
        <v>9496</v>
      </c>
      <c r="C1558" s="32" t="s">
        <v>6979</v>
      </c>
      <c r="D1558" s="32">
        <v>10</v>
      </c>
      <c r="E1558" s="32">
        <v>0</v>
      </c>
    </row>
    <row r="1559" spans="1:5" x14ac:dyDescent="0.25">
      <c r="A1559">
        <v>1564</v>
      </c>
      <c r="B1559" t="s">
        <v>9492</v>
      </c>
      <c r="C1559" t="s">
        <v>6980</v>
      </c>
      <c r="D1559">
        <v>10</v>
      </c>
      <c r="E1559">
        <v>0</v>
      </c>
    </row>
    <row r="1560" spans="1:5" x14ac:dyDescent="0.25">
      <c r="A1560" s="32">
        <v>1565</v>
      </c>
      <c r="B1560" s="32" t="s">
        <v>9492</v>
      </c>
      <c r="C1560" s="32" t="s">
        <v>110</v>
      </c>
      <c r="D1560" s="32">
        <v>1</v>
      </c>
      <c r="E1560" s="32">
        <v>0</v>
      </c>
    </row>
    <row r="1561" spans="1:5" x14ac:dyDescent="0.25">
      <c r="A1561">
        <v>1566</v>
      </c>
      <c r="B1561" t="s">
        <v>9497</v>
      </c>
      <c r="C1561" t="s">
        <v>109</v>
      </c>
      <c r="D1561">
        <v>10</v>
      </c>
      <c r="E1561">
        <v>0</v>
      </c>
    </row>
    <row r="1562" spans="1:5" x14ac:dyDescent="0.25">
      <c r="A1562" s="32">
        <v>1567</v>
      </c>
      <c r="B1562" s="32" t="s">
        <v>9498</v>
      </c>
      <c r="C1562" s="32" t="s">
        <v>82</v>
      </c>
      <c r="D1562" s="32">
        <v>200</v>
      </c>
      <c r="E1562" s="32">
        <v>0</v>
      </c>
    </row>
    <row r="1563" spans="1:5" x14ac:dyDescent="0.25">
      <c r="A1563">
        <v>1568</v>
      </c>
      <c r="B1563" t="s">
        <v>9498</v>
      </c>
      <c r="C1563" t="s">
        <v>48</v>
      </c>
      <c r="D1563">
        <v>200</v>
      </c>
      <c r="E1563">
        <v>0</v>
      </c>
    </row>
    <row r="1564" spans="1:5" x14ac:dyDescent="0.25">
      <c r="A1564" s="32">
        <v>1569</v>
      </c>
      <c r="B1564" s="32" t="s">
        <v>9498</v>
      </c>
      <c r="C1564" s="32" t="s">
        <v>35</v>
      </c>
      <c r="D1564" s="32">
        <v>104</v>
      </c>
      <c r="E1564" s="32">
        <v>0</v>
      </c>
    </row>
    <row r="1565" spans="1:5" x14ac:dyDescent="0.25">
      <c r="A1565">
        <v>1570</v>
      </c>
      <c r="B1565" t="s">
        <v>9498</v>
      </c>
      <c r="C1565" t="s">
        <v>36</v>
      </c>
      <c r="D1565">
        <v>30</v>
      </c>
      <c r="E1565">
        <v>0</v>
      </c>
    </row>
    <row r="1566" spans="1:5" x14ac:dyDescent="0.25">
      <c r="A1566" s="32">
        <v>1571</v>
      </c>
      <c r="B1566" s="32" t="s">
        <v>9498</v>
      </c>
      <c r="C1566" s="32" t="s">
        <v>6988</v>
      </c>
      <c r="D1566" s="32">
        <v>30</v>
      </c>
      <c r="E1566" s="32">
        <v>0</v>
      </c>
    </row>
    <row r="1567" spans="1:5" x14ac:dyDescent="0.25">
      <c r="A1567">
        <v>1572</v>
      </c>
      <c r="B1567" t="s">
        <v>9498</v>
      </c>
      <c r="C1567" t="s">
        <v>6990</v>
      </c>
      <c r="D1567">
        <v>20</v>
      </c>
      <c r="E1567">
        <v>0</v>
      </c>
    </row>
    <row r="1568" spans="1:5" x14ac:dyDescent="0.25">
      <c r="A1568" s="32">
        <v>1573</v>
      </c>
      <c r="B1568" s="32" t="s">
        <v>9498</v>
      </c>
      <c r="C1568" s="32" t="s">
        <v>6992</v>
      </c>
      <c r="D1568" s="32">
        <v>50</v>
      </c>
      <c r="E1568" s="32">
        <v>0</v>
      </c>
    </row>
    <row r="1569" spans="1:5" x14ac:dyDescent="0.25">
      <c r="A1569">
        <v>1574</v>
      </c>
      <c r="B1569" t="s">
        <v>9498</v>
      </c>
      <c r="C1569" t="s">
        <v>6994</v>
      </c>
      <c r="D1569">
        <v>50</v>
      </c>
      <c r="E1569">
        <v>0</v>
      </c>
    </row>
    <row r="1570" spans="1:5" x14ac:dyDescent="0.25">
      <c r="A1570" s="32">
        <v>1575</v>
      </c>
      <c r="B1570" s="32" t="s">
        <v>9498</v>
      </c>
      <c r="C1570" s="32" t="s">
        <v>90</v>
      </c>
      <c r="D1570" s="32">
        <v>50</v>
      </c>
      <c r="E1570" s="32">
        <v>0</v>
      </c>
    </row>
    <row r="1571" spans="1:5" x14ac:dyDescent="0.25">
      <c r="A1571">
        <v>1576</v>
      </c>
      <c r="B1571" t="s">
        <v>9498</v>
      </c>
      <c r="C1571" t="s">
        <v>89</v>
      </c>
      <c r="D1571">
        <v>48</v>
      </c>
      <c r="E1571">
        <v>0</v>
      </c>
    </row>
    <row r="1572" spans="1:5" x14ac:dyDescent="0.25">
      <c r="A1572" s="32">
        <v>1577</v>
      </c>
      <c r="B1572" s="32" t="s">
        <v>9498</v>
      </c>
      <c r="C1572" s="32" t="s">
        <v>6998</v>
      </c>
      <c r="D1572" s="32">
        <v>48</v>
      </c>
      <c r="E1572" s="32">
        <v>0</v>
      </c>
    </row>
    <row r="1573" spans="1:5" x14ac:dyDescent="0.25">
      <c r="A1573">
        <v>1578</v>
      </c>
      <c r="B1573" t="s">
        <v>9498</v>
      </c>
      <c r="C1573" t="s">
        <v>7000</v>
      </c>
      <c r="D1573">
        <v>50</v>
      </c>
      <c r="E1573">
        <v>0</v>
      </c>
    </row>
    <row r="1574" spans="1:5" x14ac:dyDescent="0.25">
      <c r="A1574" s="32">
        <v>1579</v>
      </c>
      <c r="B1574" s="32" t="s">
        <v>9498</v>
      </c>
      <c r="C1574" s="32" t="s">
        <v>7002</v>
      </c>
      <c r="D1574" s="32">
        <v>64</v>
      </c>
      <c r="E1574" s="32">
        <v>0</v>
      </c>
    </row>
    <row r="1575" spans="1:5" x14ac:dyDescent="0.25">
      <c r="A1575">
        <v>1580</v>
      </c>
      <c r="B1575" t="s">
        <v>9498</v>
      </c>
      <c r="C1575" t="s">
        <v>7004</v>
      </c>
      <c r="D1575">
        <v>64</v>
      </c>
      <c r="E1575">
        <v>0</v>
      </c>
    </row>
    <row r="1576" spans="1:5" x14ac:dyDescent="0.25">
      <c r="A1576" s="32">
        <v>1581</v>
      </c>
      <c r="B1576" s="32" t="s">
        <v>9498</v>
      </c>
      <c r="C1576" s="32" t="s">
        <v>7006</v>
      </c>
      <c r="D1576" s="32">
        <v>50</v>
      </c>
      <c r="E1576" s="32">
        <v>0</v>
      </c>
    </row>
    <row r="1577" spans="1:5" x14ac:dyDescent="0.25">
      <c r="A1577">
        <v>1582</v>
      </c>
      <c r="B1577" t="s">
        <v>9498</v>
      </c>
      <c r="C1577" t="s">
        <v>7008</v>
      </c>
      <c r="D1577">
        <v>104</v>
      </c>
      <c r="E1577">
        <v>0</v>
      </c>
    </row>
    <row r="1578" spans="1:5" x14ac:dyDescent="0.25">
      <c r="A1578" s="32">
        <v>1583</v>
      </c>
      <c r="B1578" s="32" t="s">
        <v>9499</v>
      </c>
      <c r="C1578" s="32" t="s">
        <v>53</v>
      </c>
      <c r="D1578" s="32">
        <v>5</v>
      </c>
      <c r="E1578" s="32">
        <v>0</v>
      </c>
    </row>
    <row r="1579" spans="1:5" x14ac:dyDescent="0.25">
      <c r="A1579">
        <v>1584</v>
      </c>
      <c r="B1579" t="s">
        <v>9500</v>
      </c>
      <c r="C1579" t="s">
        <v>65</v>
      </c>
      <c r="D1579">
        <v>7</v>
      </c>
      <c r="E1579">
        <v>25</v>
      </c>
    </row>
    <row r="1580" spans="1:5" x14ac:dyDescent="0.25">
      <c r="A1580" s="32">
        <v>1585</v>
      </c>
      <c r="B1580" s="32" t="s">
        <v>9491</v>
      </c>
      <c r="C1580" s="32" t="s">
        <v>7012</v>
      </c>
      <c r="D1580" s="32">
        <v>10</v>
      </c>
      <c r="E1580" s="32">
        <v>0</v>
      </c>
    </row>
    <row r="1581" spans="1:5" x14ac:dyDescent="0.25">
      <c r="A1581">
        <v>1586</v>
      </c>
      <c r="B1581" t="s">
        <v>9486</v>
      </c>
      <c r="C1581" t="s">
        <v>7014</v>
      </c>
      <c r="D1581">
        <v>10</v>
      </c>
      <c r="E1581">
        <v>0</v>
      </c>
    </row>
    <row r="1582" spans="1:5" x14ac:dyDescent="0.25">
      <c r="A1582" s="32">
        <v>1587</v>
      </c>
      <c r="B1582" s="32" t="s">
        <v>9486</v>
      </c>
      <c r="C1582" s="32" t="s">
        <v>7016</v>
      </c>
      <c r="D1582" s="32">
        <v>10</v>
      </c>
      <c r="E1582" s="32">
        <v>0</v>
      </c>
    </row>
    <row r="1583" spans="1:5" x14ac:dyDescent="0.25">
      <c r="A1583">
        <v>1588</v>
      </c>
      <c r="B1583" t="s">
        <v>9486</v>
      </c>
      <c r="C1583" t="s">
        <v>45</v>
      </c>
      <c r="D1583">
        <v>10</v>
      </c>
      <c r="E1583">
        <v>0</v>
      </c>
    </row>
    <row r="1584" spans="1:5" x14ac:dyDescent="0.25">
      <c r="A1584" s="32">
        <v>1589</v>
      </c>
      <c r="B1584" s="32" t="s">
        <v>9486</v>
      </c>
      <c r="C1584" s="32" t="s">
        <v>27</v>
      </c>
      <c r="D1584" s="32">
        <v>24</v>
      </c>
      <c r="E1584" s="32">
        <v>0</v>
      </c>
    </row>
    <row r="1585" spans="1:5" x14ac:dyDescent="0.25">
      <c r="A1585">
        <v>1590</v>
      </c>
      <c r="B1585" t="s">
        <v>9486</v>
      </c>
      <c r="C1585" t="s">
        <v>7020</v>
      </c>
      <c r="D1585">
        <v>24</v>
      </c>
      <c r="E1585">
        <v>0</v>
      </c>
    </row>
    <row r="1586" spans="1:5" x14ac:dyDescent="0.25">
      <c r="A1586" s="32">
        <v>1591</v>
      </c>
      <c r="B1586" s="32" t="s">
        <v>9486</v>
      </c>
      <c r="C1586" s="32" t="s">
        <v>7022</v>
      </c>
      <c r="D1586" s="32">
        <v>16</v>
      </c>
      <c r="E1586" s="32">
        <v>0</v>
      </c>
    </row>
    <row r="1587" spans="1:5" x14ac:dyDescent="0.25">
      <c r="A1587">
        <v>1592</v>
      </c>
      <c r="B1587" t="s">
        <v>9486</v>
      </c>
      <c r="C1587" t="s">
        <v>95</v>
      </c>
      <c r="D1587">
        <v>8</v>
      </c>
      <c r="E1587">
        <v>0</v>
      </c>
    </row>
    <row r="1588" spans="1:5" x14ac:dyDescent="0.25">
      <c r="A1588" s="32">
        <v>1593</v>
      </c>
      <c r="B1588" s="32" t="s">
        <v>9486</v>
      </c>
      <c r="C1588" s="32" t="s">
        <v>7024</v>
      </c>
      <c r="D1588" s="32">
        <v>52</v>
      </c>
      <c r="E1588" s="32">
        <v>0</v>
      </c>
    </row>
    <row r="1589" spans="1:5" x14ac:dyDescent="0.25">
      <c r="A1589">
        <v>1594</v>
      </c>
      <c r="B1589" t="s">
        <v>9501</v>
      </c>
      <c r="C1589" t="s">
        <v>7026</v>
      </c>
      <c r="D1589">
        <v>10</v>
      </c>
      <c r="E1589">
        <v>0</v>
      </c>
    </row>
    <row r="1590" spans="1:5" x14ac:dyDescent="0.25">
      <c r="A1590" s="32">
        <v>1595</v>
      </c>
      <c r="B1590" s="32" t="s">
        <v>9501</v>
      </c>
      <c r="C1590" s="32" t="s">
        <v>71</v>
      </c>
      <c r="D1590" s="32">
        <v>10</v>
      </c>
      <c r="E1590" s="32">
        <v>0</v>
      </c>
    </row>
    <row r="1591" spans="1:5" x14ac:dyDescent="0.25">
      <c r="A1591">
        <v>1596</v>
      </c>
      <c r="B1591" t="s">
        <v>9501</v>
      </c>
      <c r="C1591" t="s">
        <v>94</v>
      </c>
      <c r="D1591">
        <v>10</v>
      </c>
      <c r="E1591">
        <v>0</v>
      </c>
    </row>
    <row r="1592" spans="1:5" x14ac:dyDescent="0.25">
      <c r="A1592" s="32">
        <v>1597</v>
      </c>
      <c r="B1592" s="32" t="s">
        <v>9501</v>
      </c>
      <c r="C1592" s="32" t="s">
        <v>101</v>
      </c>
      <c r="D1592" s="32">
        <v>10</v>
      </c>
      <c r="E1592" s="32">
        <v>0</v>
      </c>
    </row>
    <row r="1593" spans="1:5" x14ac:dyDescent="0.25">
      <c r="A1593">
        <v>1598</v>
      </c>
      <c r="B1593" t="s">
        <v>9501</v>
      </c>
      <c r="C1593" t="s">
        <v>7031</v>
      </c>
      <c r="D1593">
        <v>10</v>
      </c>
      <c r="E1593">
        <v>0</v>
      </c>
    </row>
    <row r="1594" spans="1:5" x14ac:dyDescent="0.25">
      <c r="A1594" s="32">
        <v>1599</v>
      </c>
      <c r="B1594" s="32" t="s">
        <v>9501</v>
      </c>
      <c r="C1594" s="32" t="s">
        <v>7033</v>
      </c>
      <c r="D1594" s="32">
        <v>12</v>
      </c>
      <c r="E1594" s="32">
        <v>0</v>
      </c>
    </row>
    <row r="1595" spans="1:5" x14ac:dyDescent="0.25">
      <c r="A1595">
        <v>1600</v>
      </c>
      <c r="B1595" t="s">
        <v>9501</v>
      </c>
      <c r="C1595" t="s">
        <v>12</v>
      </c>
      <c r="D1595">
        <v>10</v>
      </c>
      <c r="E1595">
        <v>0</v>
      </c>
    </row>
    <row r="1596" spans="1:5" x14ac:dyDescent="0.25">
      <c r="A1596" s="32">
        <v>1601</v>
      </c>
      <c r="B1596" s="32" t="s">
        <v>9501</v>
      </c>
      <c r="C1596" s="32" t="s">
        <v>62</v>
      </c>
      <c r="D1596" s="32">
        <v>10</v>
      </c>
      <c r="E1596" s="32">
        <v>0</v>
      </c>
    </row>
    <row r="1597" spans="1:5" x14ac:dyDescent="0.25">
      <c r="A1597">
        <v>1602</v>
      </c>
      <c r="B1597" t="s">
        <v>9501</v>
      </c>
      <c r="C1597" t="s">
        <v>7037</v>
      </c>
      <c r="D1597">
        <v>10</v>
      </c>
      <c r="E1597">
        <v>0</v>
      </c>
    </row>
    <row r="1598" spans="1:5" x14ac:dyDescent="0.25">
      <c r="A1598" s="32">
        <v>1603</v>
      </c>
      <c r="B1598" s="32" t="s">
        <v>9501</v>
      </c>
      <c r="C1598" s="32" t="s">
        <v>22</v>
      </c>
      <c r="D1598" s="32">
        <v>10</v>
      </c>
      <c r="E1598" s="32">
        <v>0</v>
      </c>
    </row>
    <row r="1599" spans="1:5" x14ac:dyDescent="0.25">
      <c r="A1599">
        <v>1604</v>
      </c>
      <c r="B1599" t="s">
        <v>9501</v>
      </c>
      <c r="C1599" t="s">
        <v>70</v>
      </c>
      <c r="D1599">
        <v>10</v>
      </c>
      <c r="E1599">
        <v>0</v>
      </c>
    </row>
    <row r="1600" spans="1:5" x14ac:dyDescent="0.25">
      <c r="A1600" s="32">
        <v>1605</v>
      </c>
      <c r="B1600" s="32" t="s">
        <v>9501</v>
      </c>
      <c r="C1600" s="32" t="s">
        <v>30</v>
      </c>
      <c r="D1600" s="32">
        <v>10</v>
      </c>
      <c r="E1600" s="32">
        <v>0</v>
      </c>
    </row>
    <row r="1601" spans="1:5" x14ac:dyDescent="0.25">
      <c r="A1601">
        <v>1606</v>
      </c>
      <c r="B1601" t="s">
        <v>9501</v>
      </c>
      <c r="C1601" t="s">
        <v>7042</v>
      </c>
      <c r="D1601">
        <v>10</v>
      </c>
      <c r="E1601">
        <v>0</v>
      </c>
    </row>
    <row r="1602" spans="1:5" x14ac:dyDescent="0.25">
      <c r="A1602" s="32">
        <v>1607</v>
      </c>
      <c r="B1602" s="32" t="s">
        <v>9501</v>
      </c>
      <c r="C1602" s="32" t="s">
        <v>26</v>
      </c>
      <c r="D1602" s="32">
        <v>20</v>
      </c>
      <c r="E1602" s="32">
        <v>0</v>
      </c>
    </row>
    <row r="1603" spans="1:5" x14ac:dyDescent="0.25">
      <c r="A1603">
        <v>1608</v>
      </c>
      <c r="B1603" t="s">
        <v>9501</v>
      </c>
      <c r="C1603" t="s">
        <v>7045</v>
      </c>
      <c r="D1603">
        <v>20</v>
      </c>
      <c r="E1603">
        <v>0</v>
      </c>
    </row>
    <row r="1604" spans="1:5" x14ac:dyDescent="0.25">
      <c r="A1604" s="32">
        <v>1609</v>
      </c>
      <c r="B1604" s="32" t="s">
        <v>9501</v>
      </c>
      <c r="C1604" s="32" t="s">
        <v>7047</v>
      </c>
      <c r="D1604" s="32">
        <v>10</v>
      </c>
      <c r="E1604" s="32">
        <v>0</v>
      </c>
    </row>
    <row r="1605" spans="1:5" x14ac:dyDescent="0.25">
      <c r="A1605">
        <v>1610</v>
      </c>
      <c r="B1605" t="s">
        <v>9501</v>
      </c>
      <c r="C1605" t="s">
        <v>7172</v>
      </c>
      <c r="D1605">
        <v>10</v>
      </c>
      <c r="E1605">
        <v>0</v>
      </c>
    </row>
    <row r="1606" spans="1:5" x14ac:dyDescent="0.25">
      <c r="A1606" s="32">
        <v>1611</v>
      </c>
      <c r="B1606" s="32" t="s">
        <v>9501</v>
      </c>
      <c r="C1606" s="32" t="s">
        <v>7174</v>
      </c>
      <c r="D1606" s="32">
        <v>11</v>
      </c>
      <c r="E1606" s="32">
        <v>0</v>
      </c>
    </row>
    <row r="1607" spans="1:5" x14ac:dyDescent="0.25">
      <c r="A1607">
        <v>1612</v>
      </c>
      <c r="B1607" t="s">
        <v>9501</v>
      </c>
      <c r="C1607" t="s">
        <v>7176</v>
      </c>
      <c r="D1607">
        <v>10</v>
      </c>
      <c r="E1607">
        <v>0</v>
      </c>
    </row>
    <row r="1608" spans="1:5" x14ac:dyDescent="0.25">
      <c r="A1608" s="32">
        <v>1613</v>
      </c>
      <c r="B1608" s="32" t="s">
        <v>9501</v>
      </c>
      <c r="C1608" s="32" t="s">
        <v>7178</v>
      </c>
      <c r="D1608" s="32">
        <v>10</v>
      </c>
      <c r="E1608" s="32">
        <v>0</v>
      </c>
    </row>
    <row r="1609" spans="1:5" x14ac:dyDescent="0.25">
      <c r="A1609">
        <v>1614</v>
      </c>
      <c r="B1609" t="s">
        <v>9502</v>
      </c>
      <c r="C1609" t="s">
        <v>7179</v>
      </c>
      <c r="D1609">
        <v>5</v>
      </c>
      <c r="E1609">
        <v>0</v>
      </c>
    </row>
    <row r="1610" spans="1:5" x14ac:dyDescent="0.25">
      <c r="A1610" s="32">
        <v>1615</v>
      </c>
      <c r="B1610" s="32" t="s">
        <v>9502</v>
      </c>
      <c r="C1610" s="32" t="s">
        <v>7180</v>
      </c>
      <c r="D1610" s="32">
        <v>5</v>
      </c>
      <c r="E1610" s="32">
        <v>0</v>
      </c>
    </row>
    <row r="1611" spans="1:5" x14ac:dyDescent="0.25">
      <c r="A1611">
        <v>1616</v>
      </c>
      <c r="B1611" t="s">
        <v>9502</v>
      </c>
      <c r="C1611" t="s">
        <v>7181</v>
      </c>
      <c r="D1611">
        <v>5</v>
      </c>
      <c r="E1611">
        <v>0</v>
      </c>
    </row>
    <row r="1612" spans="1:5" x14ac:dyDescent="0.25">
      <c r="A1612" s="32">
        <v>1617</v>
      </c>
      <c r="B1612" s="32" t="s">
        <v>9502</v>
      </c>
      <c r="C1612" s="32" t="s">
        <v>7182</v>
      </c>
      <c r="D1612" s="32">
        <v>3</v>
      </c>
      <c r="E1612" s="32">
        <v>0</v>
      </c>
    </row>
    <row r="1613" spans="1:5" x14ac:dyDescent="0.25">
      <c r="A1613">
        <v>1618</v>
      </c>
      <c r="B1613" t="s">
        <v>9502</v>
      </c>
      <c r="C1613" t="s">
        <v>7183</v>
      </c>
      <c r="D1613">
        <v>2</v>
      </c>
      <c r="E1613">
        <v>0</v>
      </c>
    </row>
    <row r="1614" spans="1:5" x14ac:dyDescent="0.25">
      <c r="A1614" s="32">
        <v>1619</v>
      </c>
      <c r="B1614" s="32" t="s">
        <v>9503</v>
      </c>
      <c r="C1614" s="32" t="s">
        <v>7184</v>
      </c>
      <c r="D1614" s="32">
        <v>32</v>
      </c>
      <c r="E1614" s="32">
        <v>0</v>
      </c>
    </row>
    <row r="1615" spans="1:5" x14ac:dyDescent="0.25">
      <c r="A1615">
        <v>1620</v>
      </c>
      <c r="B1615" t="s">
        <v>9503</v>
      </c>
      <c r="C1615" t="s">
        <v>7185</v>
      </c>
      <c r="D1615">
        <v>16</v>
      </c>
      <c r="E1615">
        <v>0</v>
      </c>
    </row>
    <row r="1616" spans="1:5" x14ac:dyDescent="0.25">
      <c r="A1616" s="32">
        <v>1621</v>
      </c>
      <c r="B1616" s="32" t="s">
        <v>9503</v>
      </c>
      <c r="C1616" s="32" t="s">
        <v>7186</v>
      </c>
      <c r="D1616" s="32">
        <v>16</v>
      </c>
      <c r="E1616" s="32">
        <v>0</v>
      </c>
    </row>
    <row r="1617" spans="1:5" x14ac:dyDescent="0.25">
      <c r="A1617">
        <v>1622</v>
      </c>
      <c r="B1617" t="s">
        <v>9503</v>
      </c>
      <c r="C1617" t="s">
        <v>7187</v>
      </c>
      <c r="D1617">
        <v>3</v>
      </c>
      <c r="E1617">
        <v>0</v>
      </c>
    </row>
    <row r="1618" spans="1:5" x14ac:dyDescent="0.25">
      <c r="A1618" s="32">
        <v>1623</v>
      </c>
      <c r="B1618" s="32" t="s">
        <v>9503</v>
      </c>
      <c r="C1618" s="32" t="s">
        <v>7188</v>
      </c>
      <c r="D1618" s="32">
        <v>2</v>
      </c>
      <c r="E1618" s="32">
        <v>0</v>
      </c>
    </row>
    <row r="1619" spans="1:5" x14ac:dyDescent="0.25">
      <c r="A1619">
        <v>1624</v>
      </c>
      <c r="B1619" t="s">
        <v>9503</v>
      </c>
      <c r="C1619" t="s">
        <v>7190</v>
      </c>
      <c r="D1619">
        <v>8</v>
      </c>
      <c r="E1619">
        <v>0</v>
      </c>
    </row>
    <row r="1620" spans="1:5" x14ac:dyDescent="0.25">
      <c r="A1620" s="32">
        <v>1625</v>
      </c>
      <c r="B1620" s="32" t="s">
        <v>9503</v>
      </c>
      <c r="C1620" s="32" t="s">
        <v>7192</v>
      </c>
      <c r="D1620" s="32">
        <v>26</v>
      </c>
      <c r="E1620" s="32">
        <v>0</v>
      </c>
    </row>
    <row r="1621" spans="1:5" x14ac:dyDescent="0.25">
      <c r="A1621">
        <v>1626</v>
      </c>
      <c r="B1621" t="s">
        <v>9503</v>
      </c>
      <c r="C1621" t="s">
        <v>7194</v>
      </c>
      <c r="D1621">
        <v>20</v>
      </c>
      <c r="E1621">
        <v>0</v>
      </c>
    </row>
    <row r="1622" spans="1:5" x14ac:dyDescent="0.25">
      <c r="A1622" s="32">
        <v>1627</v>
      </c>
      <c r="B1622" s="32" t="s">
        <v>9504</v>
      </c>
      <c r="C1622" s="32" t="s">
        <v>7196</v>
      </c>
      <c r="D1622" s="32">
        <v>20</v>
      </c>
      <c r="E1622" s="32">
        <v>0</v>
      </c>
    </row>
    <row r="1623" spans="1:5" x14ac:dyDescent="0.25">
      <c r="A1623">
        <v>1628</v>
      </c>
      <c r="B1623" t="s">
        <v>9504</v>
      </c>
      <c r="C1623" t="s">
        <v>7198</v>
      </c>
      <c r="D1623">
        <v>20</v>
      </c>
      <c r="E1623">
        <v>20</v>
      </c>
    </row>
    <row r="1624" spans="1:5" x14ac:dyDescent="0.25">
      <c r="A1624" s="32">
        <v>1629</v>
      </c>
      <c r="B1624" s="32" t="s">
        <v>9504</v>
      </c>
      <c r="C1624" s="32" t="s">
        <v>7200</v>
      </c>
      <c r="D1624" s="32">
        <v>20</v>
      </c>
      <c r="E1624" s="32">
        <v>16</v>
      </c>
    </row>
    <row r="1625" spans="1:5" x14ac:dyDescent="0.25">
      <c r="A1625">
        <v>1630</v>
      </c>
      <c r="B1625" t="s">
        <v>9504</v>
      </c>
      <c r="C1625" t="s">
        <v>7202</v>
      </c>
      <c r="D1625">
        <v>20</v>
      </c>
      <c r="E1625">
        <v>0</v>
      </c>
    </row>
    <row r="1626" spans="1:5" x14ac:dyDescent="0.25">
      <c r="A1626" s="32">
        <v>1631</v>
      </c>
      <c r="B1626" s="32" t="s">
        <v>9504</v>
      </c>
      <c r="C1626" s="32" t="s">
        <v>7204</v>
      </c>
      <c r="D1626" s="32">
        <v>100</v>
      </c>
      <c r="E1626" s="32">
        <v>100</v>
      </c>
    </row>
    <row r="1627" spans="1:5" x14ac:dyDescent="0.25">
      <c r="A1627">
        <v>1632</v>
      </c>
      <c r="B1627" t="s">
        <v>9504</v>
      </c>
      <c r="C1627" t="s">
        <v>7206</v>
      </c>
      <c r="D1627">
        <v>100</v>
      </c>
      <c r="E1627">
        <v>60</v>
      </c>
    </row>
    <row r="1628" spans="1:5" x14ac:dyDescent="0.25">
      <c r="A1628" s="32">
        <v>1633</v>
      </c>
      <c r="B1628" s="32" t="s">
        <v>9504</v>
      </c>
      <c r="C1628" s="32" t="s">
        <v>7208</v>
      </c>
      <c r="D1628" s="32">
        <v>20</v>
      </c>
      <c r="E1628" s="32">
        <v>0</v>
      </c>
    </row>
    <row r="1629" spans="1:5" x14ac:dyDescent="0.25">
      <c r="A1629">
        <v>1634</v>
      </c>
      <c r="B1629" t="s">
        <v>9504</v>
      </c>
      <c r="C1629" t="s">
        <v>7210</v>
      </c>
      <c r="D1629">
        <v>20</v>
      </c>
      <c r="E1629">
        <v>0</v>
      </c>
    </row>
    <row r="1630" spans="1:5" x14ac:dyDescent="0.25">
      <c r="A1630" s="32">
        <v>1635</v>
      </c>
      <c r="B1630" s="32" t="s">
        <v>9505</v>
      </c>
      <c r="C1630" s="32" t="s">
        <v>7212</v>
      </c>
      <c r="D1630" s="32">
        <v>95</v>
      </c>
      <c r="E1630" s="32">
        <v>0</v>
      </c>
    </row>
    <row r="1631" spans="1:5" x14ac:dyDescent="0.25">
      <c r="A1631">
        <v>1636</v>
      </c>
      <c r="B1631" t="s">
        <v>9506</v>
      </c>
      <c r="C1631" t="s">
        <v>7214</v>
      </c>
      <c r="D1631">
        <v>48</v>
      </c>
      <c r="E1631">
        <v>0</v>
      </c>
    </row>
    <row r="1632" spans="1:5" x14ac:dyDescent="0.25">
      <c r="A1632" s="32">
        <v>1637</v>
      </c>
      <c r="B1632" s="32" t="s">
        <v>9506</v>
      </c>
      <c r="C1632" s="32" t="s">
        <v>7215</v>
      </c>
      <c r="D1632" s="32">
        <v>45</v>
      </c>
      <c r="E1632" s="32">
        <v>0</v>
      </c>
    </row>
    <row r="1633" spans="1:5" x14ac:dyDescent="0.25">
      <c r="A1633">
        <v>1638</v>
      </c>
      <c r="B1633" t="s">
        <v>9506</v>
      </c>
      <c r="C1633" t="s">
        <v>7217</v>
      </c>
      <c r="D1633">
        <v>10</v>
      </c>
      <c r="E1633">
        <v>0</v>
      </c>
    </row>
    <row r="1634" spans="1:5" x14ac:dyDescent="0.25">
      <c r="A1634" s="32">
        <v>1639</v>
      </c>
      <c r="B1634" s="32" t="s">
        <v>9506</v>
      </c>
      <c r="C1634" s="32" t="s">
        <v>7219</v>
      </c>
      <c r="D1634" s="32">
        <v>2</v>
      </c>
      <c r="E1634" s="32">
        <v>0</v>
      </c>
    </row>
    <row r="1635" spans="1:5" x14ac:dyDescent="0.25">
      <c r="A1635">
        <v>1640</v>
      </c>
      <c r="B1635" t="s">
        <v>9506</v>
      </c>
      <c r="C1635" t="s">
        <v>7221</v>
      </c>
      <c r="D1635">
        <v>10</v>
      </c>
      <c r="E1635">
        <v>0</v>
      </c>
    </row>
    <row r="1636" spans="1:5" x14ac:dyDescent="0.25">
      <c r="A1636" s="32">
        <v>1641</v>
      </c>
      <c r="B1636" s="32" t="s">
        <v>9506</v>
      </c>
      <c r="C1636" s="32" t="s">
        <v>7223</v>
      </c>
      <c r="D1636" s="32">
        <v>10</v>
      </c>
      <c r="E1636" s="32">
        <v>0</v>
      </c>
    </row>
    <row r="1637" spans="1:5" x14ac:dyDescent="0.25">
      <c r="A1637">
        <v>1642</v>
      </c>
      <c r="B1637" t="s">
        <v>9506</v>
      </c>
      <c r="C1637" t="s">
        <v>7225</v>
      </c>
      <c r="D1637">
        <v>10</v>
      </c>
      <c r="E1637">
        <v>0</v>
      </c>
    </row>
    <row r="1638" spans="1:5" x14ac:dyDescent="0.25">
      <c r="A1638" s="32">
        <v>1643</v>
      </c>
      <c r="B1638" s="32" t="s">
        <v>9506</v>
      </c>
      <c r="C1638" s="32" t="s">
        <v>7227</v>
      </c>
      <c r="D1638" s="32">
        <v>10</v>
      </c>
      <c r="E1638" s="32">
        <v>0</v>
      </c>
    </row>
    <row r="1639" spans="1:5" x14ac:dyDescent="0.25">
      <c r="A1639">
        <v>1644</v>
      </c>
      <c r="B1639" t="s">
        <v>9506</v>
      </c>
      <c r="C1639" t="s">
        <v>7229</v>
      </c>
      <c r="D1639">
        <v>10</v>
      </c>
      <c r="E1639">
        <v>0</v>
      </c>
    </row>
    <row r="1640" spans="1:5" x14ac:dyDescent="0.25">
      <c r="A1640" s="32">
        <v>1645</v>
      </c>
      <c r="B1640" s="32" t="s">
        <v>9506</v>
      </c>
      <c r="C1640" s="32" t="s">
        <v>7231</v>
      </c>
      <c r="D1640" s="32">
        <v>10</v>
      </c>
      <c r="E1640" s="32">
        <v>0</v>
      </c>
    </row>
    <row r="1641" spans="1:5" x14ac:dyDescent="0.25">
      <c r="A1641">
        <v>1646</v>
      </c>
      <c r="B1641" t="s">
        <v>9507</v>
      </c>
      <c r="C1641" t="s">
        <v>7233</v>
      </c>
      <c r="D1641">
        <v>10</v>
      </c>
      <c r="E1641">
        <v>0</v>
      </c>
    </row>
    <row r="1642" spans="1:5" x14ac:dyDescent="0.25">
      <c r="A1642" s="32">
        <v>1647</v>
      </c>
      <c r="B1642" s="32" t="s">
        <v>9508</v>
      </c>
      <c r="C1642" s="32" t="s">
        <v>7235</v>
      </c>
      <c r="D1642" s="32">
        <v>20</v>
      </c>
      <c r="E1642" s="32">
        <v>0</v>
      </c>
    </row>
    <row r="1643" spans="1:5" x14ac:dyDescent="0.25">
      <c r="A1643">
        <v>1648</v>
      </c>
      <c r="B1643" t="s">
        <v>9509</v>
      </c>
      <c r="C1643" t="s">
        <v>7237</v>
      </c>
      <c r="D1643">
        <v>10</v>
      </c>
      <c r="E1643">
        <v>0</v>
      </c>
    </row>
    <row r="1644" spans="1:5" x14ac:dyDescent="0.25">
      <c r="A1644" s="32">
        <v>1649</v>
      </c>
      <c r="B1644" s="32" t="s">
        <v>9510</v>
      </c>
      <c r="C1644" s="32" t="s">
        <v>7239</v>
      </c>
      <c r="D1644" s="32">
        <v>30</v>
      </c>
      <c r="E1644" s="32">
        <v>0</v>
      </c>
    </row>
    <row r="1645" spans="1:5" x14ac:dyDescent="0.25">
      <c r="A1645">
        <v>1650</v>
      </c>
      <c r="B1645" t="s">
        <v>9510</v>
      </c>
      <c r="C1645" t="s">
        <v>7241</v>
      </c>
      <c r="D1645">
        <v>10</v>
      </c>
      <c r="E1645">
        <v>0</v>
      </c>
    </row>
    <row r="1646" spans="1:5" x14ac:dyDescent="0.25">
      <c r="A1646" s="32">
        <v>1651</v>
      </c>
      <c r="B1646" s="32" t="s">
        <v>9511</v>
      </c>
      <c r="C1646" s="32" t="s">
        <v>7243</v>
      </c>
      <c r="D1646" s="32">
        <v>1</v>
      </c>
      <c r="E1646" s="32">
        <v>0</v>
      </c>
    </row>
    <row r="1647" spans="1:5" x14ac:dyDescent="0.25">
      <c r="A1647">
        <v>1652</v>
      </c>
      <c r="B1647" t="s">
        <v>9512</v>
      </c>
      <c r="C1647" t="s">
        <v>7245</v>
      </c>
      <c r="D1647">
        <v>10</v>
      </c>
      <c r="E1647">
        <v>0</v>
      </c>
    </row>
    <row r="1648" spans="1:5" x14ac:dyDescent="0.25">
      <c r="A1648" s="32">
        <v>1653</v>
      </c>
      <c r="B1648" s="32" t="s">
        <v>9512</v>
      </c>
      <c r="C1648" s="32" t="s">
        <v>7247</v>
      </c>
      <c r="D1648" s="32">
        <v>24</v>
      </c>
      <c r="E1648" s="32">
        <v>0</v>
      </c>
    </row>
    <row r="1649" spans="1:5" x14ac:dyDescent="0.25">
      <c r="A1649">
        <v>1654</v>
      </c>
      <c r="B1649" t="s">
        <v>9512</v>
      </c>
      <c r="C1649" t="s">
        <v>7249</v>
      </c>
      <c r="D1649">
        <v>24</v>
      </c>
      <c r="E1649">
        <v>0</v>
      </c>
    </row>
    <row r="1650" spans="1:5" x14ac:dyDescent="0.25">
      <c r="A1650" s="32">
        <v>1655</v>
      </c>
      <c r="B1650" s="32" t="s">
        <v>9512</v>
      </c>
      <c r="C1650" s="32" t="s">
        <v>7251</v>
      </c>
      <c r="D1650" s="32">
        <v>20</v>
      </c>
      <c r="E1650" s="32">
        <v>0</v>
      </c>
    </row>
    <row r="1651" spans="1:5" x14ac:dyDescent="0.25">
      <c r="A1651">
        <v>1656</v>
      </c>
      <c r="B1651" t="s">
        <v>9512</v>
      </c>
      <c r="C1651" t="s">
        <v>7253</v>
      </c>
      <c r="D1651">
        <v>20</v>
      </c>
      <c r="E1651">
        <v>0</v>
      </c>
    </row>
    <row r="1652" spans="1:5" x14ac:dyDescent="0.25">
      <c r="A1652" s="32">
        <v>1657</v>
      </c>
      <c r="B1652" s="32" t="s">
        <v>9512</v>
      </c>
      <c r="C1652" s="32" t="s">
        <v>7255</v>
      </c>
      <c r="D1652" s="32">
        <v>20</v>
      </c>
      <c r="E1652" s="32">
        <v>0</v>
      </c>
    </row>
    <row r="1653" spans="1:5" x14ac:dyDescent="0.25">
      <c r="A1653">
        <v>1658</v>
      </c>
      <c r="B1653" t="s">
        <v>9512</v>
      </c>
      <c r="C1653" t="s">
        <v>7257</v>
      </c>
      <c r="D1653">
        <v>20</v>
      </c>
      <c r="E1653">
        <v>0</v>
      </c>
    </row>
    <row r="1654" spans="1:5" x14ac:dyDescent="0.25">
      <c r="A1654" s="32">
        <v>1659</v>
      </c>
      <c r="B1654" s="32" t="s">
        <v>9512</v>
      </c>
      <c r="C1654" s="32" t="s">
        <v>7259</v>
      </c>
      <c r="D1654" s="32">
        <v>20</v>
      </c>
      <c r="E1654" s="32">
        <v>0</v>
      </c>
    </row>
    <row r="1655" spans="1:5" x14ac:dyDescent="0.25">
      <c r="A1655">
        <v>1660</v>
      </c>
      <c r="B1655" t="s">
        <v>9512</v>
      </c>
      <c r="C1655" t="s">
        <v>7261</v>
      </c>
      <c r="D1655">
        <v>20</v>
      </c>
      <c r="E1655">
        <v>0</v>
      </c>
    </row>
    <row r="1656" spans="1:5" x14ac:dyDescent="0.25">
      <c r="A1656" s="32">
        <v>1661</v>
      </c>
      <c r="B1656" s="32" t="s">
        <v>9513</v>
      </c>
      <c r="C1656" s="32" t="s">
        <v>7263</v>
      </c>
      <c r="D1656" s="32">
        <v>20</v>
      </c>
      <c r="E1656" s="32">
        <v>0</v>
      </c>
    </row>
    <row r="1657" spans="1:5" x14ac:dyDescent="0.25">
      <c r="A1657">
        <v>1662</v>
      </c>
      <c r="B1657" t="s">
        <v>9513</v>
      </c>
      <c r="C1657" t="s">
        <v>7265</v>
      </c>
      <c r="D1657">
        <v>20</v>
      </c>
      <c r="E1657">
        <v>0</v>
      </c>
    </row>
    <row r="1658" spans="1:5" x14ac:dyDescent="0.25">
      <c r="A1658" s="32">
        <v>1663</v>
      </c>
      <c r="B1658" s="32" t="s">
        <v>9514</v>
      </c>
      <c r="C1658" s="32" t="s">
        <v>7267</v>
      </c>
      <c r="D1658" s="32">
        <v>30</v>
      </c>
      <c r="E1658" s="32">
        <v>0</v>
      </c>
    </row>
    <row r="1659" spans="1:5" x14ac:dyDescent="0.25">
      <c r="A1659">
        <v>1664</v>
      </c>
      <c r="B1659" t="s">
        <v>9515</v>
      </c>
      <c r="C1659" t="s">
        <v>7269</v>
      </c>
      <c r="D1659">
        <v>20</v>
      </c>
      <c r="E1659">
        <v>0</v>
      </c>
    </row>
    <row r="1660" spans="1:5" x14ac:dyDescent="0.25">
      <c r="A1660" s="32">
        <v>1665</v>
      </c>
      <c r="B1660" s="32" t="s">
        <v>9516</v>
      </c>
      <c r="C1660" s="32" t="s">
        <v>7271</v>
      </c>
      <c r="D1660" s="32">
        <v>20</v>
      </c>
      <c r="E1660" s="32">
        <v>0</v>
      </c>
    </row>
    <row r="1661" spans="1:5" x14ac:dyDescent="0.25">
      <c r="A1661">
        <v>1666</v>
      </c>
      <c r="B1661" t="s">
        <v>9516</v>
      </c>
      <c r="C1661" t="s">
        <v>7273</v>
      </c>
      <c r="D1661">
        <v>100</v>
      </c>
      <c r="E1661">
        <v>0</v>
      </c>
    </row>
    <row r="1662" spans="1:5" x14ac:dyDescent="0.25">
      <c r="A1662" s="32">
        <v>1667</v>
      </c>
      <c r="B1662" s="32" t="s">
        <v>9517</v>
      </c>
      <c r="C1662" s="32" t="s">
        <v>7275</v>
      </c>
      <c r="D1662" s="32">
        <v>60</v>
      </c>
      <c r="E1662" s="32">
        <v>0</v>
      </c>
    </row>
    <row r="1663" spans="1:5" x14ac:dyDescent="0.25">
      <c r="A1663">
        <v>1668</v>
      </c>
      <c r="B1663" t="s">
        <v>9517</v>
      </c>
      <c r="C1663" t="s">
        <v>7277</v>
      </c>
      <c r="D1663">
        <v>12</v>
      </c>
      <c r="E1663">
        <v>0</v>
      </c>
    </row>
    <row r="1664" spans="1:5" x14ac:dyDescent="0.25">
      <c r="A1664" s="32">
        <v>1669</v>
      </c>
      <c r="B1664" s="32" t="s">
        <v>9516</v>
      </c>
      <c r="C1664" s="32" t="s">
        <v>7279</v>
      </c>
      <c r="D1664" s="32">
        <v>18</v>
      </c>
      <c r="E1664" s="32">
        <v>0</v>
      </c>
    </row>
    <row r="1665" spans="1:5" x14ac:dyDescent="0.25">
      <c r="A1665">
        <v>1670</v>
      </c>
      <c r="B1665" t="s">
        <v>9518</v>
      </c>
      <c r="C1665" t="s">
        <v>7281</v>
      </c>
      <c r="D1665">
        <v>60</v>
      </c>
      <c r="E1665">
        <v>0</v>
      </c>
    </row>
    <row r="1666" spans="1:5" x14ac:dyDescent="0.25">
      <c r="A1666" s="32">
        <v>1671</v>
      </c>
      <c r="B1666" s="32" t="s">
        <v>9519</v>
      </c>
      <c r="C1666" s="32" t="s">
        <v>7283</v>
      </c>
      <c r="D1666" s="32">
        <v>20</v>
      </c>
      <c r="E1666" s="32">
        <v>0</v>
      </c>
    </row>
    <row r="1667" spans="1:5" x14ac:dyDescent="0.25">
      <c r="A1667">
        <v>1672</v>
      </c>
      <c r="B1667" t="s">
        <v>9519</v>
      </c>
      <c r="C1667" t="s">
        <v>7285</v>
      </c>
      <c r="D1667">
        <v>20</v>
      </c>
      <c r="E1667">
        <v>0</v>
      </c>
    </row>
    <row r="1668" spans="1:5" x14ac:dyDescent="0.25">
      <c r="A1668" s="32">
        <v>1673</v>
      </c>
      <c r="B1668" s="32" t="s">
        <v>9520</v>
      </c>
      <c r="C1668" s="32" t="s">
        <v>7287</v>
      </c>
      <c r="D1668" s="32">
        <v>80</v>
      </c>
      <c r="E1668" s="32">
        <v>0</v>
      </c>
    </row>
    <row r="1669" spans="1:5" x14ac:dyDescent="0.25">
      <c r="A1669">
        <v>1674</v>
      </c>
      <c r="B1669" t="s">
        <v>9520</v>
      </c>
      <c r="C1669" t="s">
        <v>7289</v>
      </c>
      <c r="D1669">
        <v>16</v>
      </c>
      <c r="E1669">
        <v>0</v>
      </c>
    </row>
    <row r="1670" spans="1:5" x14ac:dyDescent="0.25">
      <c r="A1670" s="32">
        <v>1675</v>
      </c>
      <c r="B1670" s="32" t="s">
        <v>9520</v>
      </c>
      <c r="C1670" s="32" t="s">
        <v>7291</v>
      </c>
      <c r="D1670" s="32">
        <v>12</v>
      </c>
      <c r="E1670" s="32">
        <v>0</v>
      </c>
    </row>
    <row r="1671" spans="1:5" x14ac:dyDescent="0.25">
      <c r="A1671">
        <v>1676</v>
      </c>
      <c r="B1671" t="s">
        <v>9520</v>
      </c>
      <c r="C1671" t="s">
        <v>7293</v>
      </c>
      <c r="D1671">
        <v>60</v>
      </c>
      <c r="E1671">
        <v>0</v>
      </c>
    </row>
    <row r="1672" spans="1:5" x14ac:dyDescent="0.25">
      <c r="A1672" s="32">
        <v>1677</v>
      </c>
      <c r="B1672" s="32" t="s">
        <v>9521</v>
      </c>
      <c r="C1672" s="32" t="s">
        <v>7295</v>
      </c>
      <c r="D1672" s="32">
        <v>54</v>
      </c>
      <c r="E1672" s="32">
        <v>0</v>
      </c>
    </row>
    <row r="1673" spans="1:5" x14ac:dyDescent="0.25">
      <c r="A1673">
        <v>1678</v>
      </c>
      <c r="B1673" t="s">
        <v>9521</v>
      </c>
      <c r="C1673" t="s">
        <v>7297</v>
      </c>
      <c r="D1673">
        <v>10</v>
      </c>
      <c r="E1673">
        <v>0</v>
      </c>
    </row>
    <row r="1674" spans="1:5" x14ac:dyDescent="0.25">
      <c r="A1674" s="32">
        <v>1679</v>
      </c>
      <c r="B1674" s="32" t="s">
        <v>9521</v>
      </c>
      <c r="C1674" s="32" t="s">
        <v>7299</v>
      </c>
      <c r="D1674" s="32">
        <v>80</v>
      </c>
      <c r="E1674" s="32">
        <v>0</v>
      </c>
    </row>
    <row r="1675" spans="1:5" x14ac:dyDescent="0.25">
      <c r="A1675">
        <v>1680</v>
      </c>
      <c r="B1675" t="s">
        <v>9521</v>
      </c>
      <c r="C1675" t="s">
        <v>7301</v>
      </c>
      <c r="D1675">
        <v>24</v>
      </c>
      <c r="E1675">
        <v>0</v>
      </c>
    </row>
    <row r="1676" spans="1:5" x14ac:dyDescent="0.25">
      <c r="A1676" s="32">
        <v>1681</v>
      </c>
      <c r="B1676" s="32" t="s">
        <v>9521</v>
      </c>
      <c r="C1676" s="32" t="s">
        <v>7303</v>
      </c>
      <c r="D1676" s="32">
        <v>6</v>
      </c>
      <c r="E1676" s="32">
        <v>0</v>
      </c>
    </row>
    <row r="1677" spans="1:5" x14ac:dyDescent="0.25">
      <c r="A1677">
        <v>1682</v>
      </c>
      <c r="B1677" t="s">
        <v>9521</v>
      </c>
      <c r="C1677" t="s">
        <v>7305</v>
      </c>
      <c r="D1677">
        <v>15</v>
      </c>
      <c r="E1677">
        <v>0</v>
      </c>
    </row>
    <row r="1678" spans="1:5" x14ac:dyDescent="0.25">
      <c r="A1678" s="32">
        <v>1683</v>
      </c>
      <c r="B1678" s="32" t="s">
        <v>9521</v>
      </c>
      <c r="C1678" s="32" t="s">
        <v>7307</v>
      </c>
      <c r="D1678" s="32">
        <v>50</v>
      </c>
      <c r="E1678" s="32">
        <v>0</v>
      </c>
    </row>
    <row r="1679" spans="1:5" x14ac:dyDescent="0.25">
      <c r="A1679">
        <v>1684</v>
      </c>
      <c r="B1679" t="s">
        <v>9521</v>
      </c>
      <c r="C1679" t="s">
        <v>7309</v>
      </c>
      <c r="D1679">
        <v>28</v>
      </c>
      <c r="E1679">
        <v>0</v>
      </c>
    </row>
    <row r="1680" spans="1:5" x14ac:dyDescent="0.25">
      <c r="A1680" s="32">
        <v>1685</v>
      </c>
      <c r="B1680" s="32" t="s">
        <v>9521</v>
      </c>
      <c r="C1680" s="32" t="s">
        <v>7311</v>
      </c>
      <c r="D1680" s="32">
        <v>42</v>
      </c>
      <c r="E1680" s="32">
        <v>0</v>
      </c>
    </row>
    <row r="1681" spans="1:5" x14ac:dyDescent="0.25">
      <c r="A1681">
        <v>1686</v>
      </c>
      <c r="B1681" t="s">
        <v>9521</v>
      </c>
      <c r="C1681" t="s">
        <v>7313</v>
      </c>
      <c r="D1681">
        <v>4</v>
      </c>
      <c r="E1681">
        <v>0</v>
      </c>
    </row>
    <row r="1682" spans="1:5" x14ac:dyDescent="0.25">
      <c r="A1682" s="32">
        <v>1687</v>
      </c>
      <c r="B1682" s="32" t="s">
        <v>9521</v>
      </c>
      <c r="C1682" s="32" t="s">
        <v>7315</v>
      </c>
      <c r="D1682" s="32">
        <v>34</v>
      </c>
      <c r="E1682" s="32">
        <v>0</v>
      </c>
    </row>
    <row r="1683" spans="1:5" x14ac:dyDescent="0.25">
      <c r="A1683">
        <v>1688</v>
      </c>
      <c r="B1683" t="s">
        <v>9521</v>
      </c>
      <c r="C1683" t="s">
        <v>7317</v>
      </c>
      <c r="D1683">
        <v>6</v>
      </c>
      <c r="E1683">
        <v>0</v>
      </c>
    </row>
    <row r="1684" spans="1:5" x14ac:dyDescent="0.25">
      <c r="A1684" s="32">
        <v>1689</v>
      </c>
      <c r="B1684" s="32" t="s">
        <v>9521</v>
      </c>
      <c r="C1684" s="32" t="s">
        <v>7049</v>
      </c>
      <c r="D1684" s="32">
        <v>12</v>
      </c>
      <c r="E1684" s="32">
        <v>0</v>
      </c>
    </row>
    <row r="1685" spans="1:5" x14ac:dyDescent="0.25">
      <c r="A1685">
        <v>1690</v>
      </c>
      <c r="B1685" t="s">
        <v>9521</v>
      </c>
      <c r="C1685" t="s">
        <v>7051</v>
      </c>
      <c r="D1685">
        <v>50</v>
      </c>
      <c r="E1685">
        <v>0</v>
      </c>
    </row>
    <row r="1686" spans="1:5" x14ac:dyDescent="0.25">
      <c r="A1686" s="32">
        <v>1691</v>
      </c>
      <c r="B1686" s="32" t="s">
        <v>9521</v>
      </c>
      <c r="C1686" s="32" t="s">
        <v>7053</v>
      </c>
      <c r="D1686" s="32">
        <v>24</v>
      </c>
      <c r="E1686" s="32">
        <v>0</v>
      </c>
    </row>
    <row r="1687" spans="1:5" x14ac:dyDescent="0.25">
      <c r="A1687">
        <v>1692</v>
      </c>
      <c r="B1687" t="s">
        <v>9521</v>
      </c>
      <c r="C1687" t="s">
        <v>7055</v>
      </c>
      <c r="D1687">
        <v>25</v>
      </c>
      <c r="E1687">
        <v>0</v>
      </c>
    </row>
    <row r="1688" spans="1:5" x14ac:dyDescent="0.25">
      <c r="A1688" s="32">
        <v>1693</v>
      </c>
      <c r="B1688" s="32" t="s">
        <v>9521</v>
      </c>
      <c r="C1688" s="32" t="s">
        <v>7057</v>
      </c>
      <c r="D1688" s="32">
        <v>50</v>
      </c>
      <c r="E1688" s="32">
        <v>0</v>
      </c>
    </row>
    <row r="1689" spans="1:5" x14ac:dyDescent="0.25">
      <c r="A1689">
        <v>1694</v>
      </c>
      <c r="B1689" t="s">
        <v>9521</v>
      </c>
      <c r="C1689" t="s">
        <v>7059</v>
      </c>
      <c r="D1689">
        <v>30</v>
      </c>
      <c r="E1689">
        <v>0</v>
      </c>
    </row>
    <row r="1690" spans="1:5" x14ac:dyDescent="0.25">
      <c r="A1690" s="32">
        <v>1695</v>
      </c>
      <c r="B1690" s="32" t="s">
        <v>9521</v>
      </c>
      <c r="C1690" s="32" t="s">
        <v>7061</v>
      </c>
      <c r="D1690" s="32">
        <v>20</v>
      </c>
      <c r="E1690" s="32">
        <v>0</v>
      </c>
    </row>
    <row r="1691" spans="1:5" x14ac:dyDescent="0.25">
      <c r="A1691">
        <v>1696</v>
      </c>
      <c r="B1691" t="s">
        <v>9521</v>
      </c>
      <c r="C1691" t="s">
        <v>7063</v>
      </c>
      <c r="D1691">
        <v>20</v>
      </c>
      <c r="E1691">
        <v>0</v>
      </c>
    </row>
    <row r="1692" spans="1:5" x14ac:dyDescent="0.25">
      <c r="A1692" s="32">
        <v>1697</v>
      </c>
      <c r="B1692" s="32" t="s">
        <v>9521</v>
      </c>
      <c r="C1692" s="32" t="s">
        <v>7065</v>
      </c>
      <c r="D1692" s="32">
        <v>28</v>
      </c>
      <c r="E1692" s="32">
        <v>0</v>
      </c>
    </row>
    <row r="1693" spans="1:5" x14ac:dyDescent="0.25">
      <c r="A1693">
        <v>1698</v>
      </c>
      <c r="B1693" t="s">
        <v>9521</v>
      </c>
      <c r="C1693" t="s">
        <v>7067</v>
      </c>
      <c r="D1693">
        <v>40</v>
      </c>
      <c r="E1693">
        <v>0</v>
      </c>
    </row>
    <row r="1694" spans="1:5" x14ac:dyDescent="0.25">
      <c r="A1694" s="32">
        <v>1699</v>
      </c>
      <c r="B1694" s="32" t="s">
        <v>9521</v>
      </c>
      <c r="C1694" s="32" t="s">
        <v>7069</v>
      </c>
      <c r="D1694" s="32">
        <v>50</v>
      </c>
      <c r="E1694" s="32">
        <v>0</v>
      </c>
    </row>
    <row r="1695" spans="1:5" x14ac:dyDescent="0.25">
      <c r="A1695">
        <v>1700</v>
      </c>
      <c r="B1695" t="s">
        <v>9521</v>
      </c>
      <c r="C1695" t="s">
        <v>32</v>
      </c>
      <c r="D1695">
        <v>30</v>
      </c>
      <c r="E1695">
        <v>0</v>
      </c>
    </row>
    <row r="1696" spans="1:5" x14ac:dyDescent="0.25">
      <c r="A1696" s="32">
        <v>1701</v>
      </c>
      <c r="B1696" s="32" t="s">
        <v>9521</v>
      </c>
      <c r="C1696" s="32" t="s">
        <v>113</v>
      </c>
      <c r="D1696" s="32">
        <v>72</v>
      </c>
      <c r="E1696" s="32">
        <v>0</v>
      </c>
    </row>
    <row r="1697" spans="1:5" x14ac:dyDescent="0.25">
      <c r="A1697">
        <v>1702</v>
      </c>
      <c r="B1697" t="s">
        <v>9522</v>
      </c>
      <c r="C1697" t="s">
        <v>7073</v>
      </c>
      <c r="D1697">
        <v>64</v>
      </c>
      <c r="E1697">
        <v>0</v>
      </c>
    </row>
    <row r="1698" spans="1:5" x14ac:dyDescent="0.25">
      <c r="A1698" s="32">
        <v>1703</v>
      </c>
      <c r="B1698" s="32" t="s">
        <v>9522</v>
      </c>
      <c r="C1698" s="32" t="s">
        <v>7075</v>
      </c>
      <c r="D1698" s="32">
        <v>34</v>
      </c>
      <c r="E1698" s="32">
        <v>0</v>
      </c>
    </row>
    <row r="1699" spans="1:5" x14ac:dyDescent="0.25">
      <c r="A1699">
        <v>1704</v>
      </c>
      <c r="B1699" t="s">
        <v>9522</v>
      </c>
      <c r="C1699" t="s">
        <v>29</v>
      </c>
      <c r="D1699">
        <v>26</v>
      </c>
      <c r="E1699">
        <v>0</v>
      </c>
    </row>
    <row r="1700" spans="1:5" x14ac:dyDescent="0.25">
      <c r="A1700" s="32">
        <v>1705</v>
      </c>
      <c r="B1700" s="32" t="s">
        <v>9522</v>
      </c>
      <c r="C1700" s="32" t="s">
        <v>87</v>
      </c>
      <c r="D1700" s="32">
        <v>25</v>
      </c>
      <c r="E1700" s="32">
        <v>0</v>
      </c>
    </row>
    <row r="1701" spans="1:5" x14ac:dyDescent="0.25">
      <c r="A1701">
        <v>1706</v>
      </c>
      <c r="B1701" t="s">
        <v>9522</v>
      </c>
      <c r="C1701" t="s">
        <v>7079</v>
      </c>
      <c r="D1701">
        <v>40</v>
      </c>
      <c r="E1701">
        <v>0</v>
      </c>
    </row>
    <row r="1702" spans="1:5" x14ac:dyDescent="0.25">
      <c r="A1702" s="32">
        <v>1707</v>
      </c>
      <c r="B1702" s="32" t="s">
        <v>9523</v>
      </c>
      <c r="C1702" s="32" t="s">
        <v>7319</v>
      </c>
      <c r="D1702" s="32">
        <v>30</v>
      </c>
      <c r="E1702" s="32">
        <v>0</v>
      </c>
    </row>
    <row r="1703" spans="1:5" x14ac:dyDescent="0.25">
      <c r="A1703">
        <v>1708</v>
      </c>
      <c r="B1703" t="s">
        <v>9523</v>
      </c>
      <c r="C1703" t="s">
        <v>7321</v>
      </c>
      <c r="D1703">
        <v>30</v>
      </c>
      <c r="E1703">
        <v>0</v>
      </c>
    </row>
    <row r="1704" spans="1:5" x14ac:dyDescent="0.25">
      <c r="A1704" s="32">
        <v>1709</v>
      </c>
      <c r="B1704" s="32" t="s">
        <v>9523</v>
      </c>
      <c r="C1704" s="32" t="s">
        <v>7081</v>
      </c>
      <c r="D1704" s="32">
        <v>90</v>
      </c>
      <c r="E1704" s="32">
        <v>0</v>
      </c>
    </row>
    <row r="1705" spans="1:5" x14ac:dyDescent="0.25">
      <c r="A1705">
        <v>1710</v>
      </c>
      <c r="B1705" t="s">
        <v>9523</v>
      </c>
      <c r="C1705" t="s">
        <v>7324</v>
      </c>
      <c r="D1705">
        <v>10</v>
      </c>
      <c r="E1705">
        <v>0</v>
      </c>
    </row>
    <row r="1706" spans="1:5" x14ac:dyDescent="0.25">
      <c r="A1706" s="32">
        <v>1711</v>
      </c>
      <c r="B1706" s="32" t="s">
        <v>9523</v>
      </c>
      <c r="C1706" s="32" t="s">
        <v>7326</v>
      </c>
      <c r="D1706" s="32">
        <v>20</v>
      </c>
      <c r="E1706" s="32">
        <v>0</v>
      </c>
    </row>
    <row r="1707" spans="1:5" x14ac:dyDescent="0.25">
      <c r="A1707">
        <v>1712</v>
      </c>
      <c r="B1707" t="s">
        <v>9523</v>
      </c>
      <c r="C1707" t="s">
        <v>7328</v>
      </c>
      <c r="D1707">
        <v>60</v>
      </c>
      <c r="E1707">
        <v>0</v>
      </c>
    </row>
    <row r="1708" spans="1:5" x14ac:dyDescent="0.25">
      <c r="A1708" s="32">
        <v>1713</v>
      </c>
      <c r="B1708" s="32" t="s">
        <v>9523</v>
      </c>
      <c r="C1708" s="32" t="s">
        <v>97</v>
      </c>
      <c r="D1708" s="32">
        <v>30</v>
      </c>
      <c r="E1708" s="32">
        <v>0</v>
      </c>
    </row>
    <row r="1709" spans="1:5" x14ac:dyDescent="0.25">
      <c r="A1709">
        <v>1714</v>
      </c>
      <c r="B1709" t="s">
        <v>9523</v>
      </c>
      <c r="C1709" t="s">
        <v>7331</v>
      </c>
      <c r="D1709">
        <v>4</v>
      </c>
      <c r="E1709">
        <v>0</v>
      </c>
    </row>
    <row r="1710" spans="1:5" x14ac:dyDescent="0.25">
      <c r="A1710" s="32">
        <v>1715</v>
      </c>
      <c r="B1710" s="32" t="s">
        <v>9524</v>
      </c>
      <c r="C1710" s="32" t="s">
        <v>78</v>
      </c>
      <c r="D1710" s="32">
        <v>12</v>
      </c>
      <c r="E1710" s="32">
        <v>0</v>
      </c>
    </row>
    <row r="1711" spans="1:5" x14ac:dyDescent="0.25">
      <c r="A1711">
        <v>1716</v>
      </c>
      <c r="B1711" t="s">
        <v>9524</v>
      </c>
      <c r="C1711" t="s">
        <v>7082</v>
      </c>
      <c r="D1711">
        <v>18</v>
      </c>
      <c r="E1711">
        <v>0</v>
      </c>
    </row>
    <row r="1712" spans="1:5" x14ac:dyDescent="0.25">
      <c r="A1712" s="32">
        <v>1717</v>
      </c>
      <c r="B1712" s="32" t="s">
        <v>9524</v>
      </c>
      <c r="C1712" s="32" t="s">
        <v>7335</v>
      </c>
      <c r="D1712" s="32">
        <v>15</v>
      </c>
      <c r="E1712" s="32">
        <v>0</v>
      </c>
    </row>
    <row r="1713" spans="1:5" x14ac:dyDescent="0.25">
      <c r="A1713">
        <v>1718</v>
      </c>
      <c r="B1713" t="s">
        <v>9524</v>
      </c>
      <c r="C1713" t="s">
        <v>7083</v>
      </c>
      <c r="D1713">
        <v>13</v>
      </c>
      <c r="E1713">
        <v>0</v>
      </c>
    </row>
    <row r="1714" spans="1:5" x14ac:dyDescent="0.25">
      <c r="A1714" s="32">
        <v>1719</v>
      </c>
      <c r="B1714" s="32" t="s">
        <v>9524</v>
      </c>
      <c r="C1714" s="32" t="s">
        <v>7338</v>
      </c>
      <c r="D1714" s="32">
        <v>19</v>
      </c>
      <c r="E1714" s="32">
        <v>0</v>
      </c>
    </row>
    <row r="1715" spans="1:5" x14ac:dyDescent="0.25">
      <c r="A1715">
        <v>1720</v>
      </c>
      <c r="B1715" t="s">
        <v>9524</v>
      </c>
      <c r="C1715" t="s">
        <v>7340</v>
      </c>
      <c r="D1715">
        <v>15</v>
      </c>
      <c r="E1715">
        <v>0</v>
      </c>
    </row>
    <row r="1716" spans="1:5" x14ac:dyDescent="0.25">
      <c r="A1716" s="32">
        <v>1721</v>
      </c>
      <c r="B1716" s="32" t="s">
        <v>9524</v>
      </c>
      <c r="C1716" s="32" t="s">
        <v>7342</v>
      </c>
      <c r="D1716" s="32">
        <v>19</v>
      </c>
      <c r="E1716" s="32">
        <v>0</v>
      </c>
    </row>
    <row r="1717" spans="1:5" x14ac:dyDescent="0.25">
      <c r="A1717">
        <v>1722</v>
      </c>
      <c r="B1717" t="s">
        <v>9523</v>
      </c>
      <c r="C1717" t="s">
        <v>7344</v>
      </c>
      <c r="D1717">
        <v>3</v>
      </c>
      <c r="E1717">
        <v>0</v>
      </c>
    </row>
    <row r="1718" spans="1:5" x14ac:dyDescent="0.25">
      <c r="A1718" s="32">
        <v>1723</v>
      </c>
      <c r="B1718" s="32" t="s">
        <v>9525</v>
      </c>
      <c r="C1718" s="32" t="s">
        <v>7084</v>
      </c>
      <c r="D1718" s="32">
        <v>12</v>
      </c>
      <c r="E1718" s="32">
        <v>0</v>
      </c>
    </row>
    <row r="1719" spans="1:5" x14ac:dyDescent="0.25">
      <c r="A1719">
        <v>1724</v>
      </c>
      <c r="B1719" t="s">
        <v>9525</v>
      </c>
      <c r="C1719" t="s">
        <v>7347</v>
      </c>
      <c r="D1719">
        <v>16</v>
      </c>
      <c r="E1719">
        <v>0</v>
      </c>
    </row>
    <row r="1720" spans="1:5" x14ac:dyDescent="0.25">
      <c r="A1720" s="32">
        <v>1725</v>
      </c>
      <c r="B1720" s="32" t="s">
        <v>9525</v>
      </c>
      <c r="C1720" s="32" t="s">
        <v>7349</v>
      </c>
      <c r="D1720" s="32">
        <v>15</v>
      </c>
      <c r="E1720" s="32">
        <v>0</v>
      </c>
    </row>
    <row r="1721" spans="1:5" x14ac:dyDescent="0.25">
      <c r="A1721">
        <v>1726</v>
      </c>
      <c r="B1721" t="s">
        <v>9525</v>
      </c>
      <c r="C1721" t="s">
        <v>61</v>
      </c>
      <c r="D1721">
        <v>12</v>
      </c>
      <c r="E1721">
        <v>0</v>
      </c>
    </row>
    <row r="1722" spans="1:5" x14ac:dyDescent="0.25">
      <c r="A1722" s="32">
        <v>1727</v>
      </c>
      <c r="B1722" s="32" t="s">
        <v>9525</v>
      </c>
      <c r="C1722" s="32" t="s">
        <v>115</v>
      </c>
      <c r="D1722" s="32">
        <v>12</v>
      </c>
      <c r="E1722" s="32">
        <v>0</v>
      </c>
    </row>
    <row r="1723" spans="1:5" x14ac:dyDescent="0.25">
      <c r="A1723">
        <v>1728</v>
      </c>
      <c r="B1723" t="s">
        <v>9525</v>
      </c>
      <c r="C1723" t="s">
        <v>7085</v>
      </c>
      <c r="D1723">
        <v>5</v>
      </c>
      <c r="E1723">
        <v>0</v>
      </c>
    </row>
    <row r="1724" spans="1:5" x14ac:dyDescent="0.25">
      <c r="A1724" s="32">
        <v>1729</v>
      </c>
      <c r="B1724" s="32" t="s">
        <v>9525</v>
      </c>
      <c r="C1724" s="32" t="s">
        <v>7354</v>
      </c>
      <c r="D1724" s="32">
        <v>5</v>
      </c>
      <c r="E1724" s="32">
        <v>0</v>
      </c>
    </row>
    <row r="1725" spans="1:5" x14ac:dyDescent="0.25">
      <c r="A1725">
        <v>1730</v>
      </c>
      <c r="B1725" t="s">
        <v>9525</v>
      </c>
      <c r="C1725" t="s">
        <v>7086</v>
      </c>
      <c r="D1725">
        <v>8</v>
      </c>
      <c r="E1725">
        <v>0</v>
      </c>
    </row>
    <row r="1726" spans="1:5" x14ac:dyDescent="0.25">
      <c r="A1726" s="32">
        <v>1731</v>
      </c>
      <c r="B1726" s="32" t="s">
        <v>9525</v>
      </c>
      <c r="C1726" s="32" t="s">
        <v>7087</v>
      </c>
      <c r="D1726" s="32">
        <v>12</v>
      </c>
      <c r="E1726" s="32">
        <v>0</v>
      </c>
    </row>
    <row r="1727" spans="1:5" x14ac:dyDescent="0.25">
      <c r="A1727">
        <v>1732</v>
      </c>
      <c r="B1727" t="s">
        <v>9525</v>
      </c>
      <c r="C1727" t="s">
        <v>7088</v>
      </c>
      <c r="D1727">
        <v>12</v>
      </c>
      <c r="E1727">
        <v>0</v>
      </c>
    </row>
    <row r="1728" spans="1:5" x14ac:dyDescent="0.25">
      <c r="A1728" s="32">
        <v>1733</v>
      </c>
      <c r="B1728" s="32" t="s">
        <v>9525</v>
      </c>
      <c r="C1728" s="32" t="s">
        <v>7089</v>
      </c>
      <c r="D1728" s="32">
        <v>12</v>
      </c>
      <c r="E1728" s="32">
        <v>0</v>
      </c>
    </row>
    <row r="1729" spans="1:5" x14ac:dyDescent="0.25">
      <c r="A1729">
        <v>1734</v>
      </c>
      <c r="B1729" t="s">
        <v>9525</v>
      </c>
      <c r="C1729" t="s">
        <v>7090</v>
      </c>
      <c r="D1729">
        <v>24</v>
      </c>
      <c r="E1729">
        <v>0</v>
      </c>
    </row>
    <row r="1730" spans="1:5" x14ac:dyDescent="0.25">
      <c r="A1730" s="32">
        <v>1735</v>
      </c>
      <c r="B1730" s="32" t="s">
        <v>9525</v>
      </c>
      <c r="C1730" s="32" t="s">
        <v>7091</v>
      </c>
      <c r="D1730" s="32">
        <v>4</v>
      </c>
      <c r="E1730" s="32">
        <v>0</v>
      </c>
    </row>
    <row r="1731" spans="1:5" x14ac:dyDescent="0.25">
      <c r="A1731">
        <v>1736</v>
      </c>
      <c r="B1731" t="s">
        <v>9525</v>
      </c>
      <c r="C1731" t="s">
        <v>111</v>
      </c>
      <c r="D1731">
        <v>10</v>
      </c>
      <c r="E1731">
        <v>19</v>
      </c>
    </row>
    <row r="1732" spans="1:5" x14ac:dyDescent="0.25">
      <c r="A1732" s="32">
        <v>1737</v>
      </c>
      <c r="B1732" s="32" t="s">
        <v>9525</v>
      </c>
      <c r="C1732" s="32" t="s">
        <v>112</v>
      </c>
      <c r="D1732" s="32">
        <v>9</v>
      </c>
      <c r="E1732" s="32">
        <v>0</v>
      </c>
    </row>
    <row r="1733" spans="1:5" x14ac:dyDescent="0.25">
      <c r="A1733">
        <v>1738</v>
      </c>
      <c r="B1733" t="s">
        <v>9525</v>
      </c>
      <c r="C1733" t="s">
        <v>106</v>
      </c>
      <c r="D1733">
        <v>20</v>
      </c>
      <c r="E1733">
        <v>0</v>
      </c>
    </row>
    <row r="1734" spans="1:5" x14ac:dyDescent="0.25">
      <c r="A1734" s="32">
        <v>1739</v>
      </c>
      <c r="B1734" s="32" t="s">
        <v>9525</v>
      </c>
      <c r="C1734" s="32" t="s">
        <v>7092</v>
      </c>
      <c r="D1734" s="32">
        <v>20</v>
      </c>
      <c r="E1734" s="32">
        <v>0</v>
      </c>
    </row>
    <row r="1735" spans="1:5" x14ac:dyDescent="0.25">
      <c r="A1735">
        <v>1740</v>
      </c>
      <c r="B1735" t="s">
        <v>9526</v>
      </c>
      <c r="C1735" t="s">
        <v>7093</v>
      </c>
      <c r="D1735">
        <v>18</v>
      </c>
      <c r="E1735">
        <v>0</v>
      </c>
    </row>
    <row r="1736" spans="1:5" x14ac:dyDescent="0.25">
      <c r="A1736" s="32">
        <v>1741</v>
      </c>
      <c r="B1736" s="32" t="s">
        <v>9526</v>
      </c>
      <c r="C1736" s="32" t="s">
        <v>7094</v>
      </c>
      <c r="D1736" s="32">
        <v>54</v>
      </c>
      <c r="E1736" s="32">
        <v>0</v>
      </c>
    </row>
    <row r="1737" spans="1:5" x14ac:dyDescent="0.25">
      <c r="A1737">
        <v>1742</v>
      </c>
      <c r="B1737" t="s">
        <v>9526</v>
      </c>
      <c r="C1737" t="s">
        <v>7368</v>
      </c>
      <c r="D1737">
        <v>2</v>
      </c>
      <c r="E1737">
        <v>0</v>
      </c>
    </row>
    <row r="1738" spans="1:5" x14ac:dyDescent="0.25">
      <c r="A1738" s="32">
        <v>1743</v>
      </c>
      <c r="B1738" s="32" t="s">
        <v>9526</v>
      </c>
      <c r="C1738" s="32" t="s">
        <v>7095</v>
      </c>
      <c r="D1738" s="32">
        <v>2</v>
      </c>
      <c r="E1738" s="32">
        <v>0</v>
      </c>
    </row>
    <row r="1739" spans="1:5" x14ac:dyDescent="0.25">
      <c r="A1739">
        <v>1744</v>
      </c>
      <c r="B1739" t="s">
        <v>9526</v>
      </c>
      <c r="C1739" t="s">
        <v>7371</v>
      </c>
      <c r="D1739">
        <v>6</v>
      </c>
      <c r="E1739">
        <v>0</v>
      </c>
    </row>
    <row r="1740" spans="1:5" x14ac:dyDescent="0.25">
      <c r="A1740" s="32">
        <v>1745</v>
      </c>
      <c r="B1740" s="32" t="s">
        <v>9526</v>
      </c>
      <c r="C1740" s="32" t="s">
        <v>47</v>
      </c>
      <c r="D1740" s="32">
        <v>4</v>
      </c>
      <c r="E1740" s="32">
        <v>0</v>
      </c>
    </row>
    <row r="1741" spans="1:5" x14ac:dyDescent="0.25">
      <c r="A1741">
        <v>1746</v>
      </c>
      <c r="B1741" t="s">
        <v>9526</v>
      </c>
      <c r="C1741" t="s">
        <v>46</v>
      </c>
      <c r="D1741">
        <v>42</v>
      </c>
      <c r="E1741">
        <v>0</v>
      </c>
    </row>
    <row r="1742" spans="1:5" x14ac:dyDescent="0.25">
      <c r="A1742" s="32">
        <v>1747</v>
      </c>
      <c r="B1742" s="32" t="s">
        <v>9526</v>
      </c>
      <c r="C1742" s="32" t="s">
        <v>74</v>
      </c>
      <c r="D1742" s="32">
        <v>84</v>
      </c>
      <c r="E1742" s="32">
        <v>0</v>
      </c>
    </row>
    <row r="1743" spans="1:5" x14ac:dyDescent="0.25">
      <c r="A1743">
        <v>1748</v>
      </c>
      <c r="B1743" t="s">
        <v>9526</v>
      </c>
      <c r="C1743" t="s">
        <v>75</v>
      </c>
      <c r="D1743">
        <v>42</v>
      </c>
      <c r="E1743">
        <v>0</v>
      </c>
    </row>
    <row r="1744" spans="1:5" x14ac:dyDescent="0.25">
      <c r="A1744" s="32">
        <v>1749</v>
      </c>
      <c r="B1744" s="32" t="s">
        <v>9526</v>
      </c>
      <c r="C1744" s="32" t="s">
        <v>7100</v>
      </c>
      <c r="D1744" s="32">
        <v>20</v>
      </c>
      <c r="E1744" s="32">
        <v>0</v>
      </c>
    </row>
    <row r="1745" spans="1:5" x14ac:dyDescent="0.25">
      <c r="A1745">
        <v>1750</v>
      </c>
      <c r="B1745" t="s">
        <v>9526</v>
      </c>
      <c r="C1745" t="s">
        <v>7102</v>
      </c>
      <c r="D1745">
        <v>4</v>
      </c>
      <c r="E1745">
        <v>0</v>
      </c>
    </row>
    <row r="1746" spans="1:5" x14ac:dyDescent="0.25">
      <c r="A1746" s="32">
        <v>1751</v>
      </c>
      <c r="B1746" s="32" t="s">
        <v>9526</v>
      </c>
      <c r="C1746" s="32" t="s">
        <v>7104</v>
      </c>
      <c r="D1746" s="32">
        <v>6</v>
      </c>
      <c r="E1746" s="32">
        <v>0</v>
      </c>
    </row>
    <row r="1747" spans="1:5" x14ac:dyDescent="0.25">
      <c r="A1747">
        <v>1752</v>
      </c>
      <c r="B1747" t="s">
        <v>9526</v>
      </c>
      <c r="C1747" t="s">
        <v>7106</v>
      </c>
      <c r="D1747">
        <v>2</v>
      </c>
      <c r="E1747">
        <v>0</v>
      </c>
    </row>
    <row r="1748" spans="1:5" x14ac:dyDescent="0.25">
      <c r="A1748" s="32">
        <v>1753</v>
      </c>
      <c r="B1748" s="32" t="s">
        <v>9526</v>
      </c>
      <c r="C1748" s="32" t="s">
        <v>7108</v>
      </c>
      <c r="D1748" s="32">
        <v>9</v>
      </c>
      <c r="E1748" s="32">
        <v>0</v>
      </c>
    </row>
    <row r="1749" spans="1:5" x14ac:dyDescent="0.25">
      <c r="A1749">
        <v>1754</v>
      </c>
      <c r="B1749" t="s">
        <v>9526</v>
      </c>
      <c r="C1749" t="s">
        <v>77</v>
      </c>
      <c r="D1749">
        <v>6</v>
      </c>
      <c r="E1749">
        <v>0</v>
      </c>
    </row>
    <row r="1750" spans="1:5" x14ac:dyDescent="0.25">
      <c r="A1750" s="32">
        <v>1755</v>
      </c>
      <c r="B1750" s="32" t="s">
        <v>9526</v>
      </c>
      <c r="C1750" s="32" t="s">
        <v>92</v>
      </c>
      <c r="D1750" s="32">
        <v>6</v>
      </c>
      <c r="E1750" s="32">
        <v>0</v>
      </c>
    </row>
    <row r="1751" spans="1:5" x14ac:dyDescent="0.25">
      <c r="A1751">
        <v>1756</v>
      </c>
      <c r="B1751" t="s">
        <v>9526</v>
      </c>
      <c r="C1751" t="s">
        <v>7112</v>
      </c>
      <c r="D1751">
        <v>6</v>
      </c>
      <c r="E1751">
        <v>0</v>
      </c>
    </row>
    <row r="1752" spans="1:5" x14ac:dyDescent="0.25">
      <c r="A1752" s="32">
        <v>1757</v>
      </c>
      <c r="B1752" s="32" t="s">
        <v>9526</v>
      </c>
      <c r="C1752" s="32" t="s">
        <v>105</v>
      </c>
      <c r="D1752" s="32">
        <v>2</v>
      </c>
      <c r="E1752" s="32">
        <v>0</v>
      </c>
    </row>
    <row r="1753" spans="1:5" x14ac:dyDescent="0.25">
      <c r="A1753">
        <v>1758</v>
      </c>
      <c r="B1753" t="s">
        <v>9526</v>
      </c>
      <c r="C1753" t="s">
        <v>7115</v>
      </c>
      <c r="D1753">
        <v>3</v>
      </c>
      <c r="E1753">
        <v>0</v>
      </c>
    </row>
    <row r="1754" spans="1:5" x14ac:dyDescent="0.25">
      <c r="A1754" s="32">
        <v>1759</v>
      </c>
      <c r="B1754" s="32" t="s">
        <v>9526</v>
      </c>
      <c r="C1754" s="32" t="s">
        <v>7117</v>
      </c>
      <c r="D1754" s="32">
        <v>18</v>
      </c>
      <c r="E1754" s="32">
        <v>0</v>
      </c>
    </row>
    <row r="1755" spans="1:5" x14ac:dyDescent="0.25">
      <c r="A1755">
        <v>1760</v>
      </c>
      <c r="B1755" t="s">
        <v>9526</v>
      </c>
      <c r="C1755" t="s">
        <v>7119</v>
      </c>
      <c r="D1755">
        <v>36</v>
      </c>
      <c r="E1755">
        <v>0</v>
      </c>
    </row>
    <row r="1756" spans="1:5" x14ac:dyDescent="0.25">
      <c r="A1756" s="32">
        <v>1761</v>
      </c>
      <c r="B1756" s="32" t="s">
        <v>9526</v>
      </c>
      <c r="C1756" s="32" t="s">
        <v>7121</v>
      </c>
      <c r="D1756" s="32">
        <v>72</v>
      </c>
      <c r="E1756" s="32">
        <v>0</v>
      </c>
    </row>
    <row r="1757" spans="1:5" x14ac:dyDescent="0.25">
      <c r="A1757">
        <v>1762</v>
      </c>
      <c r="B1757" t="s">
        <v>9526</v>
      </c>
      <c r="C1757" t="s">
        <v>7123</v>
      </c>
      <c r="D1757">
        <v>12</v>
      </c>
      <c r="E1757">
        <v>0</v>
      </c>
    </row>
    <row r="1758" spans="1:5" x14ac:dyDescent="0.25">
      <c r="A1758" s="32">
        <v>1763</v>
      </c>
      <c r="B1758" s="32" t="s">
        <v>9527</v>
      </c>
      <c r="C1758" s="32" t="s">
        <v>7125</v>
      </c>
      <c r="D1758" s="32">
        <v>72</v>
      </c>
      <c r="E1758" s="32">
        <v>0</v>
      </c>
    </row>
    <row r="1759" spans="1:5" x14ac:dyDescent="0.25">
      <c r="A1759">
        <v>1764</v>
      </c>
      <c r="B1759" t="s">
        <v>9527</v>
      </c>
      <c r="C1759" t="s">
        <v>7127</v>
      </c>
      <c r="D1759">
        <v>36</v>
      </c>
      <c r="E1759">
        <v>0</v>
      </c>
    </row>
    <row r="1760" spans="1:5" x14ac:dyDescent="0.25">
      <c r="A1760" s="32">
        <v>1765</v>
      </c>
      <c r="B1760" s="32" t="s">
        <v>9527</v>
      </c>
      <c r="C1760" s="32" t="s">
        <v>7129</v>
      </c>
      <c r="D1760" s="32">
        <v>72</v>
      </c>
      <c r="E1760" s="32">
        <v>0</v>
      </c>
    </row>
    <row r="1761" spans="1:5" x14ac:dyDescent="0.25">
      <c r="A1761">
        <v>1766</v>
      </c>
      <c r="B1761" t="s">
        <v>9527</v>
      </c>
      <c r="C1761" t="s">
        <v>7374</v>
      </c>
      <c r="D1761">
        <v>108</v>
      </c>
      <c r="E1761">
        <v>0</v>
      </c>
    </row>
    <row r="1762" spans="1:5" x14ac:dyDescent="0.25">
      <c r="A1762" s="32">
        <v>1767</v>
      </c>
      <c r="B1762" s="32" t="s">
        <v>9527</v>
      </c>
      <c r="C1762" s="32" t="s">
        <v>7376</v>
      </c>
      <c r="D1762" s="32">
        <v>12</v>
      </c>
      <c r="E1762" s="32">
        <v>0</v>
      </c>
    </row>
    <row r="1763" spans="1:5" x14ac:dyDescent="0.25">
      <c r="A1763">
        <v>1768</v>
      </c>
      <c r="B1763" t="s">
        <v>9527</v>
      </c>
      <c r="C1763" t="s">
        <v>7378</v>
      </c>
      <c r="D1763">
        <v>10</v>
      </c>
      <c r="E1763">
        <v>0</v>
      </c>
    </row>
    <row r="1764" spans="1:5" x14ac:dyDescent="0.25">
      <c r="A1764" s="32">
        <v>1769</v>
      </c>
      <c r="B1764" s="32" t="s">
        <v>9527</v>
      </c>
      <c r="C1764" s="32" t="s">
        <v>7380</v>
      </c>
      <c r="D1764" s="32">
        <v>144</v>
      </c>
      <c r="E1764" s="32">
        <v>0</v>
      </c>
    </row>
    <row r="1765" spans="1:5" x14ac:dyDescent="0.25">
      <c r="A1765">
        <v>1770</v>
      </c>
      <c r="B1765" t="s">
        <v>9527</v>
      </c>
      <c r="C1765" t="s">
        <v>7381</v>
      </c>
      <c r="D1765">
        <v>6</v>
      </c>
      <c r="E1765">
        <v>0</v>
      </c>
    </row>
    <row r="1766" spans="1:5" x14ac:dyDescent="0.25">
      <c r="A1766" s="32">
        <v>1771</v>
      </c>
      <c r="B1766" s="32" t="s">
        <v>9527</v>
      </c>
      <c r="C1766" s="32" t="s">
        <v>7383</v>
      </c>
      <c r="D1766" s="32">
        <v>4</v>
      </c>
      <c r="E1766" s="32">
        <v>0</v>
      </c>
    </row>
    <row r="1767" spans="1:5" x14ac:dyDescent="0.25">
      <c r="A1767">
        <v>1772</v>
      </c>
      <c r="B1767" t="s">
        <v>9527</v>
      </c>
      <c r="C1767" t="s">
        <v>7384</v>
      </c>
      <c r="D1767">
        <v>4</v>
      </c>
      <c r="E1767">
        <v>0</v>
      </c>
    </row>
    <row r="1768" spans="1:5" x14ac:dyDescent="0.25">
      <c r="A1768" s="32">
        <v>1773</v>
      </c>
      <c r="B1768" s="32" t="s">
        <v>9527</v>
      </c>
      <c r="C1768" s="32" t="s">
        <v>7386</v>
      </c>
      <c r="D1768" s="32">
        <v>1</v>
      </c>
      <c r="E1768" s="32">
        <v>0</v>
      </c>
    </row>
    <row r="1769" spans="1:5" x14ac:dyDescent="0.25">
      <c r="A1769">
        <v>1774</v>
      </c>
      <c r="B1769" t="s">
        <v>9527</v>
      </c>
      <c r="C1769" t="s">
        <v>7387</v>
      </c>
      <c r="D1769">
        <v>6</v>
      </c>
      <c r="E1769">
        <v>0</v>
      </c>
    </row>
    <row r="1770" spans="1:5" x14ac:dyDescent="0.25">
      <c r="A1770" s="32">
        <v>1775</v>
      </c>
      <c r="B1770" s="32" t="s">
        <v>9527</v>
      </c>
      <c r="C1770" s="32" t="s">
        <v>7389</v>
      </c>
      <c r="D1770" s="32">
        <v>1</v>
      </c>
      <c r="E1770" s="32">
        <v>0</v>
      </c>
    </row>
    <row r="1771" spans="1:5" x14ac:dyDescent="0.25">
      <c r="A1771">
        <v>1776</v>
      </c>
      <c r="B1771" t="s">
        <v>9527</v>
      </c>
      <c r="C1771" t="s">
        <v>7391</v>
      </c>
      <c r="D1771">
        <v>6</v>
      </c>
      <c r="E1771">
        <v>0</v>
      </c>
    </row>
    <row r="1772" spans="1:5" x14ac:dyDescent="0.25">
      <c r="A1772" s="32">
        <v>1777</v>
      </c>
      <c r="B1772" s="32" t="s">
        <v>9527</v>
      </c>
      <c r="C1772" s="32" t="s">
        <v>7393</v>
      </c>
      <c r="D1772" s="32">
        <v>18</v>
      </c>
      <c r="E1772" s="32">
        <v>0</v>
      </c>
    </row>
    <row r="1773" spans="1:5" x14ac:dyDescent="0.25">
      <c r="A1773">
        <v>1778</v>
      </c>
      <c r="B1773" t="s">
        <v>9527</v>
      </c>
      <c r="C1773" t="s">
        <v>7395</v>
      </c>
      <c r="D1773">
        <v>3</v>
      </c>
      <c r="E1773">
        <v>0</v>
      </c>
    </row>
    <row r="1774" spans="1:5" x14ac:dyDescent="0.25">
      <c r="A1774" s="32">
        <v>1779</v>
      </c>
      <c r="B1774" s="32" t="s">
        <v>9527</v>
      </c>
      <c r="C1774" s="32" t="s">
        <v>7397</v>
      </c>
      <c r="D1774" s="32">
        <v>5</v>
      </c>
      <c r="E1774" s="32">
        <v>0</v>
      </c>
    </row>
    <row r="1775" spans="1:5" x14ac:dyDescent="0.25">
      <c r="A1775">
        <v>1780</v>
      </c>
      <c r="B1775" t="s">
        <v>9527</v>
      </c>
      <c r="C1775" t="s">
        <v>7399</v>
      </c>
      <c r="D1775">
        <v>3</v>
      </c>
      <c r="E1775">
        <v>0</v>
      </c>
    </row>
    <row r="1776" spans="1:5" x14ac:dyDescent="0.25">
      <c r="A1776" s="32">
        <v>1781</v>
      </c>
      <c r="B1776" s="32" t="s">
        <v>9527</v>
      </c>
      <c r="C1776" s="32" t="s">
        <v>7401</v>
      </c>
      <c r="D1776" s="32">
        <v>15</v>
      </c>
      <c r="E1776" s="32">
        <v>0</v>
      </c>
    </row>
    <row r="1777" spans="1:5" x14ac:dyDescent="0.25">
      <c r="A1777">
        <v>1782</v>
      </c>
      <c r="B1777" t="s">
        <v>9527</v>
      </c>
      <c r="C1777" t="s">
        <v>7403</v>
      </c>
      <c r="D1777">
        <v>12</v>
      </c>
      <c r="E1777">
        <v>0</v>
      </c>
    </row>
    <row r="1778" spans="1:5" x14ac:dyDescent="0.25">
      <c r="A1778" s="32">
        <v>1783</v>
      </c>
      <c r="B1778" s="32" t="s">
        <v>9527</v>
      </c>
      <c r="C1778" s="32" t="s">
        <v>7405</v>
      </c>
      <c r="D1778" s="32">
        <v>4</v>
      </c>
      <c r="E1778" s="32">
        <v>0</v>
      </c>
    </row>
    <row r="1779" spans="1:5" x14ac:dyDescent="0.25">
      <c r="A1779">
        <v>1784</v>
      </c>
      <c r="B1779" t="s">
        <v>9527</v>
      </c>
      <c r="C1779" t="s">
        <v>7407</v>
      </c>
      <c r="D1779">
        <v>4</v>
      </c>
      <c r="E1779">
        <v>0</v>
      </c>
    </row>
    <row r="1780" spans="1:5" x14ac:dyDescent="0.25">
      <c r="A1780" s="32">
        <v>1785</v>
      </c>
      <c r="B1780" s="32" t="s">
        <v>9527</v>
      </c>
      <c r="C1780" s="32" t="s">
        <v>7408</v>
      </c>
      <c r="D1780" s="32">
        <v>2</v>
      </c>
      <c r="E1780" s="32">
        <v>0</v>
      </c>
    </row>
    <row r="1781" spans="1:5" x14ac:dyDescent="0.25">
      <c r="A1781">
        <v>1786</v>
      </c>
      <c r="B1781" t="s">
        <v>9527</v>
      </c>
      <c r="C1781" t="s">
        <v>7409</v>
      </c>
      <c r="D1781">
        <v>4</v>
      </c>
      <c r="E1781">
        <v>0</v>
      </c>
    </row>
    <row r="1782" spans="1:5" x14ac:dyDescent="0.25">
      <c r="A1782" s="32">
        <v>1787</v>
      </c>
      <c r="B1782" s="32" t="s">
        <v>9527</v>
      </c>
      <c r="C1782" s="32" t="s">
        <v>7411</v>
      </c>
      <c r="D1782" s="32">
        <v>6</v>
      </c>
      <c r="E1782" s="32">
        <v>0</v>
      </c>
    </row>
    <row r="1783" spans="1:5" x14ac:dyDescent="0.25">
      <c r="A1783">
        <v>1788</v>
      </c>
      <c r="B1783" t="s">
        <v>9527</v>
      </c>
      <c r="C1783" t="s">
        <v>7413</v>
      </c>
      <c r="D1783">
        <v>2</v>
      </c>
      <c r="E1783">
        <v>0</v>
      </c>
    </row>
    <row r="1784" spans="1:5" x14ac:dyDescent="0.25">
      <c r="A1784" s="32">
        <v>1789</v>
      </c>
      <c r="B1784" s="32" t="s">
        <v>9527</v>
      </c>
      <c r="C1784" s="32" t="s">
        <v>7415</v>
      </c>
      <c r="D1784" s="32">
        <v>6</v>
      </c>
      <c r="E1784" s="32">
        <v>0</v>
      </c>
    </row>
    <row r="1785" spans="1:5" x14ac:dyDescent="0.25">
      <c r="A1785">
        <v>1790</v>
      </c>
      <c r="B1785" t="s">
        <v>9527</v>
      </c>
      <c r="C1785" t="s">
        <v>7417</v>
      </c>
      <c r="D1785">
        <v>8</v>
      </c>
      <c r="E1785">
        <v>0</v>
      </c>
    </row>
    <row r="1786" spans="1:5" x14ac:dyDescent="0.25">
      <c r="A1786" s="32">
        <v>1791</v>
      </c>
      <c r="B1786" s="32" t="s">
        <v>9528</v>
      </c>
      <c r="C1786" s="32" t="s">
        <v>7419</v>
      </c>
      <c r="D1786" s="32">
        <v>18</v>
      </c>
      <c r="E1786" s="32">
        <v>0</v>
      </c>
    </row>
    <row r="1787" spans="1:5" x14ac:dyDescent="0.25">
      <c r="A1787">
        <v>1792</v>
      </c>
      <c r="B1787" t="s">
        <v>9528</v>
      </c>
      <c r="C1787" t="s">
        <v>7421</v>
      </c>
      <c r="D1787">
        <v>10</v>
      </c>
      <c r="E1787">
        <v>0</v>
      </c>
    </row>
    <row r="1788" spans="1:5" x14ac:dyDescent="0.25">
      <c r="A1788" s="32">
        <v>1793</v>
      </c>
      <c r="B1788" s="32" t="s">
        <v>9528</v>
      </c>
      <c r="C1788" s="32" t="s">
        <v>7422</v>
      </c>
      <c r="D1788" s="32">
        <v>8</v>
      </c>
      <c r="E1788" s="32">
        <v>0</v>
      </c>
    </row>
    <row r="1789" spans="1:5" x14ac:dyDescent="0.25">
      <c r="A1789">
        <v>1794</v>
      </c>
      <c r="B1789" t="s">
        <v>9528</v>
      </c>
      <c r="C1789" t="s">
        <v>7424</v>
      </c>
      <c r="D1789">
        <v>2</v>
      </c>
      <c r="E1789">
        <v>0</v>
      </c>
    </row>
    <row r="1790" spans="1:5" x14ac:dyDescent="0.25">
      <c r="A1790" s="32">
        <v>1795</v>
      </c>
      <c r="B1790" s="32" t="s">
        <v>9528</v>
      </c>
      <c r="C1790" s="32" t="s">
        <v>7426</v>
      </c>
      <c r="D1790" s="32">
        <v>120</v>
      </c>
      <c r="E1790" s="32">
        <v>0</v>
      </c>
    </row>
    <row r="1791" spans="1:5" x14ac:dyDescent="0.25">
      <c r="A1791">
        <v>1796</v>
      </c>
      <c r="B1791" t="s">
        <v>9528</v>
      </c>
      <c r="C1791" t="s">
        <v>7428</v>
      </c>
      <c r="D1791">
        <v>60</v>
      </c>
      <c r="E1791">
        <v>0</v>
      </c>
    </row>
    <row r="1792" spans="1:5" x14ac:dyDescent="0.25">
      <c r="A1792" s="32">
        <v>1797</v>
      </c>
      <c r="B1792" s="32" t="s">
        <v>9528</v>
      </c>
      <c r="C1792" s="32" t="s">
        <v>7430</v>
      </c>
      <c r="D1792" s="32">
        <v>4</v>
      </c>
      <c r="E1792" s="32">
        <v>0</v>
      </c>
    </row>
    <row r="1793" spans="1:5" x14ac:dyDescent="0.25">
      <c r="A1793">
        <v>1798</v>
      </c>
      <c r="B1793" t="s">
        <v>9528</v>
      </c>
      <c r="C1793" t="s">
        <v>7432</v>
      </c>
      <c r="D1793">
        <v>4</v>
      </c>
      <c r="E1793">
        <v>0</v>
      </c>
    </row>
    <row r="1794" spans="1:5" x14ac:dyDescent="0.25">
      <c r="A1794" s="32">
        <v>1799</v>
      </c>
      <c r="B1794" s="32" t="s">
        <v>9528</v>
      </c>
      <c r="C1794" s="32" t="s">
        <v>7434</v>
      </c>
      <c r="D1794" s="32">
        <v>40</v>
      </c>
      <c r="E1794" s="32">
        <v>0</v>
      </c>
    </row>
    <row r="1795" spans="1:5" x14ac:dyDescent="0.25">
      <c r="A1795">
        <v>1800</v>
      </c>
      <c r="B1795" t="s">
        <v>9528</v>
      </c>
      <c r="C1795" t="s">
        <v>7436</v>
      </c>
      <c r="D1795">
        <v>30</v>
      </c>
      <c r="E1795">
        <v>0</v>
      </c>
    </row>
    <row r="1796" spans="1:5" x14ac:dyDescent="0.25">
      <c r="A1796" s="32">
        <v>1801</v>
      </c>
      <c r="B1796" s="32" t="s">
        <v>9528</v>
      </c>
      <c r="C1796" s="32" t="s">
        <v>7438</v>
      </c>
      <c r="D1796" s="32">
        <v>18</v>
      </c>
      <c r="E1796" s="32">
        <v>0</v>
      </c>
    </row>
    <row r="1797" spans="1:5" x14ac:dyDescent="0.25">
      <c r="A1797">
        <v>1802</v>
      </c>
      <c r="B1797" t="s">
        <v>9528</v>
      </c>
      <c r="C1797" t="s">
        <v>7440</v>
      </c>
      <c r="D1797">
        <v>1</v>
      </c>
      <c r="E1797">
        <v>0</v>
      </c>
    </row>
    <row r="1798" spans="1:5" x14ac:dyDescent="0.25">
      <c r="A1798" s="32">
        <v>1803</v>
      </c>
      <c r="B1798" s="32" t="s">
        <v>9528</v>
      </c>
      <c r="C1798" s="32" t="s">
        <v>7442</v>
      </c>
      <c r="D1798" s="32">
        <v>8</v>
      </c>
      <c r="E1798" s="32">
        <v>0</v>
      </c>
    </row>
    <row r="1799" spans="1:5" x14ac:dyDescent="0.25">
      <c r="A1799">
        <v>1804</v>
      </c>
      <c r="B1799" t="s">
        <v>9528</v>
      </c>
      <c r="C1799" t="s">
        <v>7444</v>
      </c>
      <c r="D1799">
        <v>18</v>
      </c>
      <c r="E1799">
        <v>0</v>
      </c>
    </row>
    <row r="1800" spans="1:5" x14ac:dyDescent="0.25">
      <c r="A1800" s="32">
        <v>1805</v>
      </c>
      <c r="B1800" s="32" t="s">
        <v>9529</v>
      </c>
      <c r="C1800" s="32" t="s">
        <v>7446</v>
      </c>
      <c r="D1800" s="32">
        <v>192</v>
      </c>
      <c r="E1800" s="32">
        <v>0</v>
      </c>
    </row>
    <row r="1801" spans="1:5" x14ac:dyDescent="0.25">
      <c r="A1801">
        <v>1806</v>
      </c>
      <c r="B1801" t="s">
        <v>9529</v>
      </c>
      <c r="C1801" t="s">
        <v>7448</v>
      </c>
      <c r="D1801">
        <v>144</v>
      </c>
      <c r="E1801">
        <v>0</v>
      </c>
    </row>
    <row r="1802" spans="1:5" x14ac:dyDescent="0.25">
      <c r="A1802" s="32">
        <v>1807</v>
      </c>
      <c r="B1802" s="32" t="s">
        <v>9529</v>
      </c>
      <c r="C1802" s="32" t="s">
        <v>7450</v>
      </c>
      <c r="D1802" s="32">
        <v>45</v>
      </c>
      <c r="E1802" s="32">
        <v>0</v>
      </c>
    </row>
    <row r="1803" spans="1:5" x14ac:dyDescent="0.25">
      <c r="A1803">
        <v>1808</v>
      </c>
      <c r="B1803" t="s">
        <v>9529</v>
      </c>
      <c r="C1803" t="s">
        <v>7452</v>
      </c>
      <c r="D1803">
        <v>3</v>
      </c>
      <c r="E1803">
        <v>0</v>
      </c>
    </row>
    <row r="1804" spans="1:5" x14ac:dyDescent="0.25">
      <c r="A1804" s="32">
        <v>1809</v>
      </c>
      <c r="B1804" s="32" t="s">
        <v>9530</v>
      </c>
      <c r="C1804" s="32" t="s">
        <v>7454</v>
      </c>
      <c r="D1804" s="32">
        <v>12</v>
      </c>
      <c r="E1804" s="32">
        <v>0</v>
      </c>
    </row>
    <row r="1805" spans="1:5" x14ac:dyDescent="0.25">
      <c r="A1805">
        <v>1810</v>
      </c>
      <c r="B1805" t="s">
        <v>9530</v>
      </c>
      <c r="C1805" t="s">
        <v>7456</v>
      </c>
      <c r="D1805">
        <v>4</v>
      </c>
      <c r="E1805">
        <v>0</v>
      </c>
    </row>
    <row r="1806" spans="1:5" x14ac:dyDescent="0.25">
      <c r="A1806" s="32">
        <v>1811</v>
      </c>
      <c r="B1806" s="32" t="s">
        <v>9530</v>
      </c>
      <c r="C1806" s="32" t="s">
        <v>7457</v>
      </c>
      <c r="D1806" s="32">
        <v>36</v>
      </c>
      <c r="E1806" s="32">
        <v>0</v>
      </c>
    </row>
    <row r="1807" spans="1:5" x14ac:dyDescent="0.25">
      <c r="A1807">
        <v>1812</v>
      </c>
      <c r="B1807" t="s">
        <v>9530</v>
      </c>
      <c r="C1807" t="s">
        <v>7459</v>
      </c>
      <c r="D1807">
        <v>6</v>
      </c>
      <c r="E1807">
        <v>0</v>
      </c>
    </row>
    <row r="1808" spans="1:5" x14ac:dyDescent="0.25">
      <c r="A1808" s="32">
        <v>1813</v>
      </c>
      <c r="B1808" s="32" t="s">
        <v>9530</v>
      </c>
      <c r="C1808" s="32" t="s">
        <v>7460</v>
      </c>
      <c r="D1808" s="32">
        <v>12</v>
      </c>
      <c r="E1808" s="32">
        <v>0</v>
      </c>
    </row>
    <row r="1809" spans="1:5" x14ac:dyDescent="0.25">
      <c r="A1809">
        <v>1814</v>
      </c>
      <c r="B1809" t="s">
        <v>9530</v>
      </c>
      <c r="C1809" t="s">
        <v>7461</v>
      </c>
      <c r="D1809">
        <v>18</v>
      </c>
      <c r="E1809">
        <v>0</v>
      </c>
    </row>
    <row r="1810" spans="1:5" x14ac:dyDescent="0.25">
      <c r="A1810" s="32">
        <v>1815</v>
      </c>
      <c r="B1810" s="32" t="s">
        <v>9530</v>
      </c>
      <c r="C1810" s="32" t="s">
        <v>7463</v>
      </c>
      <c r="D1810" s="32">
        <v>6</v>
      </c>
      <c r="E1810" s="32">
        <v>0</v>
      </c>
    </row>
    <row r="1811" spans="1:5" x14ac:dyDescent="0.25">
      <c r="A1811">
        <v>1816</v>
      </c>
      <c r="B1811" t="s">
        <v>9530</v>
      </c>
      <c r="C1811" t="s">
        <v>7465</v>
      </c>
      <c r="D1811">
        <v>2</v>
      </c>
      <c r="E1811">
        <v>0</v>
      </c>
    </row>
    <row r="1812" spans="1:5" x14ac:dyDescent="0.25">
      <c r="A1812" s="32">
        <v>1817</v>
      </c>
      <c r="B1812" s="32" t="s">
        <v>9530</v>
      </c>
      <c r="C1812" s="32" t="s">
        <v>7467</v>
      </c>
      <c r="D1812" s="32">
        <v>2</v>
      </c>
      <c r="E1812" s="32">
        <v>0</v>
      </c>
    </row>
    <row r="1813" spans="1:5" x14ac:dyDescent="0.25">
      <c r="A1813">
        <v>1818</v>
      </c>
      <c r="B1813" t="s">
        <v>9530</v>
      </c>
      <c r="C1813" t="s">
        <v>7469</v>
      </c>
      <c r="D1813">
        <v>3</v>
      </c>
      <c r="E1813">
        <v>0</v>
      </c>
    </row>
    <row r="1814" spans="1:5" x14ac:dyDescent="0.25">
      <c r="A1814" s="32">
        <v>1819</v>
      </c>
      <c r="B1814" s="32" t="s">
        <v>9530</v>
      </c>
      <c r="C1814" s="32" t="s">
        <v>7471</v>
      </c>
      <c r="D1814" s="32">
        <v>6</v>
      </c>
      <c r="E1814" s="32">
        <v>0</v>
      </c>
    </row>
    <row r="1815" spans="1:5" x14ac:dyDescent="0.25">
      <c r="A1815">
        <v>1820</v>
      </c>
      <c r="B1815" t="s">
        <v>9530</v>
      </c>
      <c r="C1815" t="s">
        <v>7473</v>
      </c>
      <c r="D1815">
        <v>8</v>
      </c>
      <c r="E1815">
        <v>0</v>
      </c>
    </row>
    <row r="1816" spans="1:5" x14ac:dyDescent="0.25">
      <c r="A1816" s="32">
        <v>1821</v>
      </c>
      <c r="B1816" s="32" t="s">
        <v>9530</v>
      </c>
      <c r="C1816" s="32" t="s">
        <v>7475</v>
      </c>
      <c r="D1816" s="32">
        <v>18</v>
      </c>
      <c r="E1816" s="32">
        <v>0</v>
      </c>
    </row>
    <row r="1817" spans="1:5" x14ac:dyDescent="0.25">
      <c r="A1817">
        <v>1822</v>
      </c>
      <c r="B1817" t="s">
        <v>9530</v>
      </c>
      <c r="C1817" t="s">
        <v>7476</v>
      </c>
      <c r="D1817">
        <v>24</v>
      </c>
      <c r="E1817">
        <v>0</v>
      </c>
    </row>
    <row r="1818" spans="1:5" x14ac:dyDescent="0.25">
      <c r="A1818" s="32">
        <v>1823</v>
      </c>
      <c r="B1818" s="32" t="s">
        <v>9530</v>
      </c>
      <c r="C1818" s="32" t="s">
        <v>7478</v>
      </c>
      <c r="D1818" s="32">
        <v>4</v>
      </c>
      <c r="E1818" s="32">
        <v>0</v>
      </c>
    </row>
    <row r="1819" spans="1:5" x14ac:dyDescent="0.25">
      <c r="A1819">
        <v>1824</v>
      </c>
      <c r="B1819" t="s">
        <v>9530</v>
      </c>
      <c r="C1819" t="s">
        <v>7480</v>
      </c>
      <c r="D1819">
        <v>32</v>
      </c>
      <c r="E1819">
        <v>0</v>
      </c>
    </row>
    <row r="1820" spans="1:5" x14ac:dyDescent="0.25">
      <c r="A1820" s="32">
        <v>1825</v>
      </c>
      <c r="B1820" s="32" t="s">
        <v>9530</v>
      </c>
      <c r="C1820" s="32" t="s">
        <v>7482</v>
      </c>
      <c r="D1820" s="32">
        <v>4</v>
      </c>
      <c r="E1820" s="32">
        <v>0</v>
      </c>
    </row>
    <row r="1821" spans="1:5" x14ac:dyDescent="0.25">
      <c r="A1821">
        <v>1826</v>
      </c>
      <c r="B1821" t="s">
        <v>9530</v>
      </c>
      <c r="C1821" t="s">
        <v>7484</v>
      </c>
      <c r="D1821">
        <v>72</v>
      </c>
      <c r="E1821">
        <v>0</v>
      </c>
    </row>
    <row r="1822" spans="1:5" x14ac:dyDescent="0.25">
      <c r="A1822" s="32">
        <v>1827</v>
      </c>
      <c r="B1822" s="32" t="s">
        <v>9530</v>
      </c>
      <c r="C1822" s="32" t="s">
        <v>7486</v>
      </c>
      <c r="D1822" s="32">
        <v>24</v>
      </c>
      <c r="E1822" s="32">
        <v>0</v>
      </c>
    </row>
    <row r="1823" spans="1:5" x14ac:dyDescent="0.25">
      <c r="A1823">
        <v>1828</v>
      </c>
      <c r="B1823" t="s">
        <v>9530</v>
      </c>
      <c r="C1823" t="s">
        <v>7488</v>
      </c>
      <c r="D1823">
        <v>24</v>
      </c>
      <c r="E1823">
        <v>0</v>
      </c>
    </row>
    <row r="1824" spans="1:5" x14ac:dyDescent="0.25">
      <c r="A1824" s="32">
        <v>1829</v>
      </c>
      <c r="B1824" s="32" t="s">
        <v>9530</v>
      </c>
      <c r="C1824" s="32" t="s">
        <v>7490</v>
      </c>
      <c r="D1824" s="32">
        <v>24</v>
      </c>
      <c r="E1824" s="32">
        <v>0</v>
      </c>
    </row>
    <row r="1825" spans="1:5" x14ac:dyDescent="0.25">
      <c r="A1825">
        <v>1830</v>
      </c>
      <c r="B1825" t="s">
        <v>9530</v>
      </c>
      <c r="C1825" t="s">
        <v>7492</v>
      </c>
      <c r="D1825">
        <v>24</v>
      </c>
      <c r="E1825">
        <v>0</v>
      </c>
    </row>
    <row r="1826" spans="1:5" x14ac:dyDescent="0.25">
      <c r="A1826" s="32">
        <v>1831</v>
      </c>
      <c r="B1826" s="32" t="s">
        <v>9530</v>
      </c>
      <c r="C1826" s="32" t="s">
        <v>7494</v>
      </c>
      <c r="D1826" s="32">
        <v>72</v>
      </c>
      <c r="E1826" s="32">
        <v>0</v>
      </c>
    </row>
    <row r="1827" spans="1:5" x14ac:dyDescent="0.25">
      <c r="A1827">
        <v>1832</v>
      </c>
      <c r="B1827" t="s">
        <v>9530</v>
      </c>
      <c r="C1827" t="s">
        <v>7496</v>
      </c>
      <c r="D1827">
        <v>24</v>
      </c>
      <c r="E1827">
        <v>0</v>
      </c>
    </row>
    <row r="1828" spans="1:5" x14ac:dyDescent="0.25">
      <c r="A1828" s="32">
        <v>1833</v>
      </c>
      <c r="B1828" s="32" t="s">
        <v>9530</v>
      </c>
      <c r="C1828" s="32" t="s">
        <v>7498</v>
      </c>
      <c r="D1828" s="32">
        <v>36</v>
      </c>
      <c r="E1828" s="32">
        <v>0</v>
      </c>
    </row>
    <row r="1829" spans="1:5" x14ac:dyDescent="0.25">
      <c r="A1829">
        <v>1834</v>
      </c>
      <c r="B1829" t="s">
        <v>9530</v>
      </c>
      <c r="C1829" t="s">
        <v>7500</v>
      </c>
      <c r="D1829">
        <v>72</v>
      </c>
      <c r="E1829">
        <v>0</v>
      </c>
    </row>
    <row r="1830" spans="1:5" x14ac:dyDescent="0.25">
      <c r="A1830" s="32">
        <v>1835</v>
      </c>
      <c r="B1830" s="32" t="s">
        <v>9530</v>
      </c>
      <c r="C1830" s="32" t="s">
        <v>7502</v>
      </c>
      <c r="D1830" s="32">
        <v>12</v>
      </c>
      <c r="E1830" s="32">
        <v>0</v>
      </c>
    </row>
    <row r="1831" spans="1:5" x14ac:dyDescent="0.25">
      <c r="A1831">
        <v>1836</v>
      </c>
      <c r="B1831" t="s">
        <v>9530</v>
      </c>
      <c r="C1831" t="s">
        <v>7504</v>
      </c>
      <c r="D1831">
        <v>36</v>
      </c>
      <c r="E1831">
        <v>0</v>
      </c>
    </row>
    <row r="1832" spans="1:5" x14ac:dyDescent="0.25">
      <c r="A1832" s="32">
        <v>1837</v>
      </c>
      <c r="B1832" s="32" t="s">
        <v>9530</v>
      </c>
      <c r="C1832" s="32" t="s">
        <v>7506</v>
      </c>
      <c r="D1832" s="32">
        <v>6</v>
      </c>
      <c r="E1832" s="32">
        <v>0</v>
      </c>
    </row>
    <row r="1833" spans="1:5" x14ac:dyDescent="0.25">
      <c r="A1833">
        <v>1838</v>
      </c>
      <c r="B1833" t="s">
        <v>9530</v>
      </c>
      <c r="C1833" t="s">
        <v>7508</v>
      </c>
      <c r="D1833">
        <v>1</v>
      </c>
      <c r="E1833">
        <v>0</v>
      </c>
    </row>
    <row r="1834" spans="1:5" x14ac:dyDescent="0.25">
      <c r="A1834" s="32">
        <v>1839</v>
      </c>
      <c r="B1834" s="32" t="s">
        <v>9530</v>
      </c>
      <c r="C1834" s="32" t="s">
        <v>7510</v>
      </c>
      <c r="D1834" s="32">
        <v>30</v>
      </c>
      <c r="E1834" s="32">
        <v>0</v>
      </c>
    </row>
    <row r="1835" spans="1:5" x14ac:dyDescent="0.25">
      <c r="A1835">
        <v>1840</v>
      </c>
      <c r="B1835" t="s">
        <v>9530</v>
      </c>
      <c r="C1835" t="s">
        <v>7512</v>
      </c>
      <c r="D1835">
        <v>180</v>
      </c>
      <c r="E1835">
        <v>0</v>
      </c>
    </row>
    <row r="1836" spans="1:5" x14ac:dyDescent="0.25">
      <c r="A1836" s="32">
        <v>1841</v>
      </c>
      <c r="B1836" s="32" t="s">
        <v>9530</v>
      </c>
      <c r="C1836" s="32" t="s">
        <v>7514</v>
      </c>
      <c r="D1836" s="32">
        <v>10</v>
      </c>
      <c r="E1836" s="32">
        <v>0</v>
      </c>
    </row>
    <row r="1837" spans="1:5" x14ac:dyDescent="0.25">
      <c r="A1837">
        <v>1842</v>
      </c>
      <c r="B1837" t="s">
        <v>9530</v>
      </c>
      <c r="C1837" t="s">
        <v>7516</v>
      </c>
      <c r="D1837">
        <v>20</v>
      </c>
      <c r="E1837">
        <v>0</v>
      </c>
    </row>
    <row r="1838" spans="1:5" x14ac:dyDescent="0.25">
      <c r="A1838" s="32">
        <v>1843</v>
      </c>
      <c r="B1838" s="32" t="s">
        <v>9530</v>
      </c>
      <c r="C1838" s="32" t="s">
        <v>7518</v>
      </c>
      <c r="D1838" s="32">
        <v>18</v>
      </c>
      <c r="E1838" s="32">
        <v>0</v>
      </c>
    </row>
    <row r="1839" spans="1:5" x14ac:dyDescent="0.25">
      <c r="A1839">
        <v>1844</v>
      </c>
      <c r="B1839" t="s">
        <v>9530</v>
      </c>
      <c r="C1839" t="s">
        <v>7520</v>
      </c>
      <c r="D1839">
        <v>4</v>
      </c>
      <c r="E1839">
        <v>0</v>
      </c>
    </row>
    <row r="1840" spans="1:5" x14ac:dyDescent="0.25">
      <c r="A1840" s="32">
        <v>1845</v>
      </c>
      <c r="B1840" s="32" t="s">
        <v>9530</v>
      </c>
      <c r="C1840" s="32" t="s">
        <v>7522</v>
      </c>
      <c r="D1840" s="32">
        <v>2</v>
      </c>
      <c r="E1840" s="32">
        <v>0</v>
      </c>
    </row>
    <row r="1841" spans="1:5" x14ac:dyDescent="0.25">
      <c r="A1841">
        <v>1846</v>
      </c>
      <c r="B1841" t="s">
        <v>9530</v>
      </c>
      <c r="C1841" t="s">
        <v>7523</v>
      </c>
      <c r="D1841">
        <v>9</v>
      </c>
      <c r="E1841">
        <v>0</v>
      </c>
    </row>
    <row r="1842" spans="1:5" x14ac:dyDescent="0.25">
      <c r="A1842" s="32">
        <v>1847</v>
      </c>
      <c r="B1842" s="32" t="s">
        <v>9530</v>
      </c>
      <c r="C1842" s="32" t="s">
        <v>7524</v>
      </c>
      <c r="D1842" s="32">
        <v>1</v>
      </c>
      <c r="E1842" s="32">
        <v>0</v>
      </c>
    </row>
    <row r="1843" spans="1:5" x14ac:dyDescent="0.25">
      <c r="A1843">
        <v>1848</v>
      </c>
      <c r="B1843" t="s">
        <v>9530</v>
      </c>
      <c r="C1843" t="s">
        <v>7526</v>
      </c>
      <c r="D1843">
        <v>162</v>
      </c>
      <c r="E1843">
        <v>0</v>
      </c>
    </row>
    <row r="1844" spans="1:5" x14ac:dyDescent="0.25">
      <c r="A1844" s="32">
        <v>1849</v>
      </c>
      <c r="B1844" s="32" t="s">
        <v>9530</v>
      </c>
      <c r="C1844" s="32" t="s">
        <v>7528</v>
      </c>
      <c r="D1844" s="32">
        <v>20</v>
      </c>
      <c r="E1844" s="32">
        <v>0</v>
      </c>
    </row>
    <row r="1845" spans="1:5" x14ac:dyDescent="0.25">
      <c r="A1845">
        <v>1850</v>
      </c>
      <c r="B1845" t="s">
        <v>9530</v>
      </c>
      <c r="C1845" t="s">
        <v>7530</v>
      </c>
      <c r="D1845">
        <v>90</v>
      </c>
      <c r="E1845">
        <v>0</v>
      </c>
    </row>
    <row r="1846" spans="1:5" x14ac:dyDescent="0.25">
      <c r="A1846" s="32">
        <v>1851</v>
      </c>
      <c r="B1846" s="32" t="s">
        <v>9530</v>
      </c>
      <c r="C1846" s="32" t="s">
        <v>7532</v>
      </c>
      <c r="D1846" s="32">
        <v>12</v>
      </c>
      <c r="E1846" s="32">
        <v>0</v>
      </c>
    </row>
    <row r="1847" spans="1:5" x14ac:dyDescent="0.25">
      <c r="A1847">
        <v>1852</v>
      </c>
      <c r="B1847" t="s">
        <v>9523</v>
      </c>
      <c r="C1847" t="s">
        <v>7534</v>
      </c>
      <c r="D1847">
        <v>24</v>
      </c>
      <c r="E1847">
        <v>0</v>
      </c>
    </row>
    <row r="1848" spans="1:5" x14ac:dyDescent="0.25">
      <c r="A1848" s="32">
        <v>1853</v>
      </c>
      <c r="B1848" s="32" t="s">
        <v>9523</v>
      </c>
      <c r="C1848" s="32" t="s">
        <v>7536</v>
      </c>
      <c r="D1848" s="32">
        <v>12</v>
      </c>
      <c r="E1848" s="32">
        <v>0</v>
      </c>
    </row>
    <row r="1849" spans="1:5" x14ac:dyDescent="0.25">
      <c r="A1849">
        <v>1854</v>
      </c>
      <c r="B1849" t="s">
        <v>9523</v>
      </c>
      <c r="C1849" t="s">
        <v>7538</v>
      </c>
      <c r="D1849">
        <v>6</v>
      </c>
      <c r="E1849">
        <v>0</v>
      </c>
    </row>
    <row r="1850" spans="1:5" x14ac:dyDescent="0.25">
      <c r="A1850" s="32">
        <v>1855</v>
      </c>
      <c r="B1850" s="32" t="s">
        <v>9523</v>
      </c>
      <c r="C1850" s="32" t="s">
        <v>7540</v>
      </c>
      <c r="D1850" s="32">
        <v>6</v>
      </c>
      <c r="E1850" s="32">
        <v>0</v>
      </c>
    </row>
    <row r="1851" spans="1:5" x14ac:dyDescent="0.25">
      <c r="A1851">
        <v>1856</v>
      </c>
      <c r="B1851" t="s">
        <v>9523</v>
      </c>
      <c r="C1851" t="s">
        <v>7542</v>
      </c>
      <c r="D1851">
        <v>12</v>
      </c>
      <c r="E1851">
        <v>0</v>
      </c>
    </row>
    <row r="1852" spans="1:5" x14ac:dyDescent="0.25">
      <c r="A1852" s="32">
        <v>1857</v>
      </c>
      <c r="B1852" s="32" t="s">
        <v>9523</v>
      </c>
      <c r="C1852" s="32" t="s">
        <v>7544</v>
      </c>
      <c r="D1852" s="32">
        <v>450</v>
      </c>
      <c r="E1852" s="32">
        <v>0</v>
      </c>
    </row>
    <row r="1853" spans="1:5" x14ac:dyDescent="0.25">
      <c r="A1853">
        <v>1858</v>
      </c>
      <c r="B1853" t="s">
        <v>9523</v>
      </c>
      <c r="C1853" t="s">
        <v>7546</v>
      </c>
      <c r="D1853">
        <v>4</v>
      </c>
      <c r="E1853">
        <v>0</v>
      </c>
    </row>
    <row r="1854" spans="1:5" x14ac:dyDescent="0.25">
      <c r="A1854" s="32">
        <v>1859</v>
      </c>
      <c r="B1854" s="32" t="s">
        <v>9531</v>
      </c>
      <c r="C1854" s="32" t="s">
        <v>7548</v>
      </c>
      <c r="D1854" s="32">
        <v>3</v>
      </c>
      <c r="E1854" s="32">
        <v>0</v>
      </c>
    </row>
    <row r="1855" spans="1:5" x14ac:dyDescent="0.25">
      <c r="A1855">
        <v>1860</v>
      </c>
      <c r="B1855" t="s">
        <v>9531</v>
      </c>
      <c r="C1855" t="s">
        <v>7550</v>
      </c>
      <c r="D1855">
        <v>6</v>
      </c>
      <c r="E1855">
        <v>0</v>
      </c>
    </row>
    <row r="1856" spans="1:5" x14ac:dyDescent="0.25">
      <c r="A1856" s="32">
        <v>1861</v>
      </c>
      <c r="B1856" s="32" t="s">
        <v>9531</v>
      </c>
      <c r="C1856" s="32" t="s">
        <v>7552</v>
      </c>
      <c r="D1856" s="32">
        <v>2</v>
      </c>
      <c r="E1856" s="32">
        <v>0</v>
      </c>
    </row>
    <row r="1857" spans="1:5" x14ac:dyDescent="0.25">
      <c r="A1857">
        <v>1862</v>
      </c>
      <c r="B1857" t="s">
        <v>9531</v>
      </c>
      <c r="C1857" t="s">
        <v>7554</v>
      </c>
      <c r="D1857">
        <v>36</v>
      </c>
      <c r="E1857">
        <v>0</v>
      </c>
    </row>
    <row r="1858" spans="1:5" x14ac:dyDescent="0.25">
      <c r="A1858" s="32">
        <v>1863</v>
      </c>
      <c r="B1858" s="32" t="s">
        <v>9531</v>
      </c>
      <c r="C1858" s="32" t="s">
        <v>7556</v>
      </c>
      <c r="D1858" s="32">
        <v>1</v>
      </c>
      <c r="E1858" s="32">
        <v>0</v>
      </c>
    </row>
    <row r="1859" spans="1:5" x14ac:dyDescent="0.25">
      <c r="A1859">
        <v>1864</v>
      </c>
      <c r="B1859" t="s">
        <v>9531</v>
      </c>
      <c r="C1859" t="s">
        <v>7558</v>
      </c>
      <c r="D1859">
        <v>9</v>
      </c>
      <c r="E1859">
        <v>0</v>
      </c>
    </row>
    <row r="1860" spans="1:5" x14ac:dyDescent="0.25">
      <c r="A1860" s="32">
        <v>1865</v>
      </c>
      <c r="B1860" s="32" t="s">
        <v>9531</v>
      </c>
      <c r="C1860" s="32" t="s">
        <v>7560</v>
      </c>
      <c r="D1860" s="32">
        <v>84</v>
      </c>
      <c r="E1860" s="32">
        <v>0</v>
      </c>
    </row>
    <row r="1861" spans="1:5" x14ac:dyDescent="0.25">
      <c r="A1861">
        <v>1866</v>
      </c>
      <c r="B1861" t="s">
        <v>9531</v>
      </c>
      <c r="C1861" t="s">
        <v>7562</v>
      </c>
      <c r="D1861">
        <v>42</v>
      </c>
      <c r="E1861">
        <v>0</v>
      </c>
    </row>
    <row r="1862" spans="1:5" x14ac:dyDescent="0.25">
      <c r="A1862" s="32">
        <v>1867</v>
      </c>
      <c r="B1862" s="32" t="s">
        <v>9531</v>
      </c>
      <c r="C1862" s="32" t="s">
        <v>7564</v>
      </c>
      <c r="D1862" s="32">
        <v>18</v>
      </c>
      <c r="E1862" s="32">
        <v>0</v>
      </c>
    </row>
    <row r="1863" spans="1:5" x14ac:dyDescent="0.25">
      <c r="A1863">
        <v>1868</v>
      </c>
      <c r="B1863" t="s">
        <v>9531</v>
      </c>
      <c r="C1863" t="s">
        <v>7566</v>
      </c>
      <c r="D1863">
        <v>18</v>
      </c>
      <c r="E1863">
        <v>0</v>
      </c>
    </row>
    <row r="1864" spans="1:5" x14ac:dyDescent="0.25">
      <c r="A1864" s="32">
        <v>1869</v>
      </c>
      <c r="B1864" s="32" t="s">
        <v>9531</v>
      </c>
      <c r="C1864" s="32" t="s">
        <v>7568</v>
      </c>
      <c r="D1864" s="32">
        <v>24</v>
      </c>
      <c r="E1864" s="32">
        <v>0</v>
      </c>
    </row>
    <row r="1865" spans="1:5" x14ac:dyDescent="0.25">
      <c r="A1865">
        <v>1870</v>
      </c>
      <c r="B1865" t="s">
        <v>9531</v>
      </c>
      <c r="C1865" t="s">
        <v>7570</v>
      </c>
      <c r="D1865">
        <v>3</v>
      </c>
      <c r="E1865">
        <v>0</v>
      </c>
    </row>
    <row r="1866" spans="1:5" x14ac:dyDescent="0.25">
      <c r="A1866" s="32">
        <v>1871</v>
      </c>
      <c r="B1866" s="32" t="s">
        <v>9531</v>
      </c>
      <c r="C1866" s="32" t="s">
        <v>7572</v>
      </c>
      <c r="D1866" s="32">
        <v>6</v>
      </c>
      <c r="E1866" s="32">
        <v>0</v>
      </c>
    </row>
    <row r="1867" spans="1:5" x14ac:dyDescent="0.25">
      <c r="A1867">
        <v>1872</v>
      </c>
      <c r="B1867" t="s">
        <v>9531</v>
      </c>
      <c r="C1867" t="s">
        <v>7573</v>
      </c>
      <c r="D1867">
        <v>3</v>
      </c>
      <c r="E1867">
        <v>0</v>
      </c>
    </row>
    <row r="1868" spans="1:5" x14ac:dyDescent="0.25">
      <c r="A1868" s="32">
        <v>1873</v>
      </c>
      <c r="B1868" s="32" t="s">
        <v>9531</v>
      </c>
      <c r="C1868" s="32" t="s">
        <v>7575</v>
      </c>
      <c r="D1868" s="32">
        <v>18</v>
      </c>
      <c r="E1868" s="32">
        <v>0</v>
      </c>
    </row>
    <row r="1869" spans="1:5" x14ac:dyDescent="0.25">
      <c r="A1869">
        <v>1874</v>
      </c>
      <c r="B1869" t="s">
        <v>9531</v>
      </c>
      <c r="C1869" t="s">
        <v>7577</v>
      </c>
      <c r="D1869">
        <v>8</v>
      </c>
      <c r="E1869">
        <v>0</v>
      </c>
    </row>
    <row r="1870" spans="1:5" x14ac:dyDescent="0.25">
      <c r="A1870" s="32">
        <v>1875</v>
      </c>
      <c r="B1870" s="32" t="s">
        <v>9531</v>
      </c>
      <c r="C1870" s="32" t="s">
        <v>7579</v>
      </c>
      <c r="D1870" s="32">
        <v>6</v>
      </c>
      <c r="E1870" s="32">
        <v>0</v>
      </c>
    </row>
    <row r="1871" spans="1:5" x14ac:dyDescent="0.25">
      <c r="A1871">
        <v>1876</v>
      </c>
      <c r="B1871" t="s">
        <v>9531</v>
      </c>
      <c r="C1871" t="s">
        <v>7581</v>
      </c>
      <c r="D1871">
        <v>1</v>
      </c>
      <c r="E1871">
        <v>0</v>
      </c>
    </row>
    <row r="1872" spans="1:5" x14ac:dyDescent="0.25">
      <c r="A1872" s="32">
        <v>1877</v>
      </c>
      <c r="B1872" s="32" t="s">
        <v>9531</v>
      </c>
      <c r="C1872" s="32" t="s">
        <v>7583</v>
      </c>
      <c r="D1872" s="32">
        <v>18</v>
      </c>
      <c r="E1872" s="32">
        <v>0</v>
      </c>
    </row>
    <row r="1873" spans="1:5" x14ac:dyDescent="0.25">
      <c r="A1873">
        <v>1878</v>
      </c>
      <c r="B1873" t="s">
        <v>9531</v>
      </c>
      <c r="C1873" t="s">
        <v>7585</v>
      </c>
      <c r="D1873">
        <v>24</v>
      </c>
      <c r="E1873">
        <v>0</v>
      </c>
    </row>
    <row r="1874" spans="1:5" x14ac:dyDescent="0.25">
      <c r="A1874" s="32">
        <v>1879</v>
      </c>
      <c r="B1874" s="32" t="s">
        <v>9527</v>
      </c>
      <c r="C1874" s="32" t="s">
        <v>7587</v>
      </c>
      <c r="D1874" s="32">
        <v>4</v>
      </c>
      <c r="E1874" s="32">
        <v>0</v>
      </c>
    </row>
    <row r="1875" spans="1:5" x14ac:dyDescent="0.25">
      <c r="A1875">
        <v>1880</v>
      </c>
      <c r="B1875" t="s">
        <v>9532</v>
      </c>
      <c r="C1875" t="s">
        <v>7589</v>
      </c>
      <c r="D1875">
        <v>24</v>
      </c>
      <c r="E1875">
        <v>0</v>
      </c>
    </row>
    <row r="1876" spans="1:5" x14ac:dyDescent="0.25">
      <c r="A1876" s="32">
        <v>1881</v>
      </c>
      <c r="B1876" s="32" t="s">
        <v>9532</v>
      </c>
      <c r="C1876" s="32" t="s">
        <v>7591</v>
      </c>
      <c r="D1876" s="32">
        <v>24</v>
      </c>
      <c r="E1876" s="32">
        <v>0</v>
      </c>
    </row>
    <row r="1877" spans="1:5" x14ac:dyDescent="0.25">
      <c r="A1877">
        <v>1882</v>
      </c>
      <c r="B1877" t="s">
        <v>9532</v>
      </c>
      <c r="C1877" t="s">
        <v>7593</v>
      </c>
      <c r="D1877">
        <v>12</v>
      </c>
      <c r="E1877">
        <v>0</v>
      </c>
    </row>
    <row r="1878" spans="1:5" x14ac:dyDescent="0.25">
      <c r="A1878" s="32">
        <v>1883</v>
      </c>
      <c r="B1878" s="32" t="s">
        <v>9532</v>
      </c>
      <c r="C1878" s="32" t="s">
        <v>7595</v>
      </c>
      <c r="D1878" s="32">
        <v>3</v>
      </c>
      <c r="E1878" s="32">
        <v>0</v>
      </c>
    </row>
    <row r="1879" spans="1:5" x14ac:dyDescent="0.25">
      <c r="A1879">
        <v>1884</v>
      </c>
      <c r="B1879" t="s">
        <v>9532</v>
      </c>
      <c r="C1879" t="s">
        <v>7597</v>
      </c>
      <c r="D1879">
        <v>3</v>
      </c>
      <c r="E1879">
        <v>0</v>
      </c>
    </row>
    <row r="1880" spans="1:5" x14ac:dyDescent="0.25">
      <c r="A1880" s="32">
        <v>1885</v>
      </c>
      <c r="B1880" s="32" t="s">
        <v>9532</v>
      </c>
      <c r="C1880" s="32" t="s">
        <v>7599</v>
      </c>
      <c r="D1880" s="32">
        <v>18</v>
      </c>
      <c r="E1880" s="32">
        <v>0</v>
      </c>
    </row>
    <row r="1881" spans="1:5" x14ac:dyDescent="0.25">
      <c r="A1881">
        <v>1886</v>
      </c>
      <c r="B1881" t="s">
        <v>9532</v>
      </c>
      <c r="C1881" t="s">
        <v>7601</v>
      </c>
      <c r="D1881">
        <v>6</v>
      </c>
      <c r="E1881">
        <v>0</v>
      </c>
    </row>
    <row r="1882" spans="1:5" x14ac:dyDescent="0.25">
      <c r="A1882" s="32">
        <v>1887</v>
      </c>
      <c r="B1882" s="32" t="s">
        <v>9532</v>
      </c>
      <c r="C1882" s="32" t="s">
        <v>7603</v>
      </c>
      <c r="D1882" s="32">
        <v>4</v>
      </c>
      <c r="E1882" s="32">
        <v>0</v>
      </c>
    </row>
    <row r="1883" spans="1:5" x14ac:dyDescent="0.25">
      <c r="A1883">
        <v>1888</v>
      </c>
      <c r="B1883" t="s">
        <v>9532</v>
      </c>
      <c r="C1883" t="s">
        <v>7605</v>
      </c>
      <c r="D1883">
        <v>6</v>
      </c>
      <c r="E1883">
        <v>0</v>
      </c>
    </row>
    <row r="1884" spans="1:5" x14ac:dyDescent="0.25">
      <c r="A1884" s="32">
        <v>1889</v>
      </c>
      <c r="B1884" s="32" t="s">
        <v>9532</v>
      </c>
      <c r="C1884" s="32" t="s">
        <v>7607</v>
      </c>
      <c r="D1884" s="32">
        <v>12</v>
      </c>
      <c r="E1884" s="32">
        <v>0</v>
      </c>
    </row>
    <row r="1885" spans="1:5" x14ac:dyDescent="0.25">
      <c r="A1885">
        <v>1890</v>
      </c>
      <c r="B1885" t="s">
        <v>9532</v>
      </c>
      <c r="C1885" t="s">
        <v>7609</v>
      </c>
      <c r="D1885">
        <v>12</v>
      </c>
      <c r="E1885">
        <v>0</v>
      </c>
    </row>
    <row r="1886" spans="1:5" x14ac:dyDescent="0.25">
      <c r="A1886" s="32">
        <v>1891</v>
      </c>
      <c r="B1886" s="32" t="s">
        <v>9532</v>
      </c>
      <c r="C1886" s="32" t="s">
        <v>7611</v>
      </c>
      <c r="D1886" s="32">
        <v>6</v>
      </c>
      <c r="E1886" s="32">
        <v>0</v>
      </c>
    </row>
    <row r="1887" spans="1:5" x14ac:dyDescent="0.25">
      <c r="A1887">
        <v>1892</v>
      </c>
      <c r="B1887" t="s">
        <v>9532</v>
      </c>
      <c r="C1887" t="s">
        <v>7613</v>
      </c>
      <c r="D1887">
        <v>1</v>
      </c>
      <c r="E1887">
        <v>0</v>
      </c>
    </row>
    <row r="1888" spans="1:5" x14ac:dyDescent="0.25">
      <c r="A1888" s="32">
        <v>1893</v>
      </c>
      <c r="B1888" s="32" t="s">
        <v>9532</v>
      </c>
      <c r="C1888" s="32" t="s">
        <v>7614</v>
      </c>
      <c r="D1888" s="32">
        <v>6</v>
      </c>
      <c r="E1888" s="32">
        <v>0</v>
      </c>
    </row>
    <row r="1889" spans="1:5" x14ac:dyDescent="0.25">
      <c r="A1889">
        <v>1894</v>
      </c>
      <c r="B1889" t="s">
        <v>9532</v>
      </c>
      <c r="C1889" t="s">
        <v>7616</v>
      </c>
      <c r="D1889">
        <v>12</v>
      </c>
      <c r="E1889">
        <v>0</v>
      </c>
    </row>
    <row r="1890" spans="1:5" x14ac:dyDescent="0.25">
      <c r="A1890" s="32">
        <v>1895</v>
      </c>
      <c r="B1890" s="32" t="s">
        <v>9532</v>
      </c>
      <c r="C1890" s="32" t="s">
        <v>7618</v>
      </c>
      <c r="D1890" s="32">
        <v>6</v>
      </c>
      <c r="E1890" s="32">
        <v>0</v>
      </c>
    </row>
    <row r="1891" spans="1:5" x14ac:dyDescent="0.25">
      <c r="A1891">
        <v>1896</v>
      </c>
      <c r="B1891" t="s">
        <v>9532</v>
      </c>
      <c r="C1891" t="s">
        <v>7620</v>
      </c>
      <c r="D1891">
        <v>20</v>
      </c>
      <c r="E1891">
        <v>0</v>
      </c>
    </row>
    <row r="1892" spans="1:5" x14ac:dyDescent="0.25">
      <c r="A1892" s="32">
        <v>1897</v>
      </c>
      <c r="B1892" s="32" t="s">
        <v>9532</v>
      </c>
      <c r="C1892" s="32" t="s">
        <v>7622</v>
      </c>
      <c r="D1892" s="32">
        <v>10</v>
      </c>
      <c r="E1892" s="32">
        <v>0</v>
      </c>
    </row>
    <row r="1893" spans="1:5" x14ac:dyDescent="0.25">
      <c r="A1893">
        <v>1898</v>
      </c>
      <c r="B1893" t="s">
        <v>9532</v>
      </c>
      <c r="C1893" t="s">
        <v>7624</v>
      </c>
      <c r="D1893">
        <v>72</v>
      </c>
      <c r="E1893">
        <v>0</v>
      </c>
    </row>
    <row r="1894" spans="1:5" x14ac:dyDescent="0.25">
      <c r="A1894" s="32">
        <v>1899</v>
      </c>
      <c r="B1894" s="32" t="s">
        <v>9532</v>
      </c>
      <c r="C1894" s="32" t="s">
        <v>7626</v>
      </c>
      <c r="D1894" s="32">
        <v>72</v>
      </c>
      <c r="E1894" s="32">
        <v>0</v>
      </c>
    </row>
    <row r="1895" spans="1:5" x14ac:dyDescent="0.25">
      <c r="A1895">
        <v>1900</v>
      </c>
      <c r="B1895" t="s">
        <v>9532</v>
      </c>
      <c r="C1895" t="s">
        <v>7628</v>
      </c>
      <c r="D1895">
        <v>12</v>
      </c>
      <c r="E1895">
        <v>0</v>
      </c>
    </row>
    <row r="1896" spans="1:5" x14ac:dyDescent="0.25">
      <c r="A1896" s="32">
        <v>1901</v>
      </c>
      <c r="B1896" s="32" t="s">
        <v>9532</v>
      </c>
      <c r="C1896" s="32" t="s">
        <v>7630</v>
      </c>
      <c r="D1896" s="32">
        <v>72</v>
      </c>
      <c r="E1896" s="32">
        <v>0</v>
      </c>
    </row>
    <row r="1897" spans="1:5" x14ac:dyDescent="0.25">
      <c r="A1897">
        <v>1902</v>
      </c>
      <c r="B1897" t="s">
        <v>9532</v>
      </c>
      <c r="C1897" t="s">
        <v>7632</v>
      </c>
      <c r="D1897">
        <v>72</v>
      </c>
      <c r="E1897">
        <v>0</v>
      </c>
    </row>
    <row r="1898" spans="1:5" x14ac:dyDescent="0.25">
      <c r="A1898" s="32">
        <v>1903</v>
      </c>
      <c r="B1898" s="32" t="s">
        <v>9532</v>
      </c>
      <c r="C1898" s="32" t="s">
        <v>7634</v>
      </c>
      <c r="D1898" s="32">
        <v>30</v>
      </c>
      <c r="E1898" s="32">
        <v>0</v>
      </c>
    </row>
    <row r="1899" spans="1:5" x14ac:dyDescent="0.25">
      <c r="A1899">
        <v>1904</v>
      </c>
      <c r="B1899" t="s">
        <v>9532</v>
      </c>
      <c r="C1899" t="s">
        <v>7636</v>
      </c>
      <c r="D1899">
        <v>20</v>
      </c>
      <c r="E1899">
        <v>0</v>
      </c>
    </row>
    <row r="1900" spans="1:5" x14ac:dyDescent="0.25">
      <c r="A1900" s="32">
        <v>1905</v>
      </c>
      <c r="B1900" s="32" t="s">
        <v>9533</v>
      </c>
      <c r="C1900" s="32" t="s">
        <v>7638</v>
      </c>
      <c r="D1900" s="32">
        <v>90</v>
      </c>
      <c r="E1900" s="32">
        <v>0</v>
      </c>
    </row>
    <row r="1901" spans="1:5" x14ac:dyDescent="0.25">
      <c r="A1901">
        <v>1906</v>
      </c>
      <c r="B1901" t="s">
        <v>9533</v>
      </c>
      <c r="C1901" t="s">
        <v>7640</v>
      </c>
      <c r="D1901">
        <v>33</v>
      </c>
      <c r="E1901">
        <v>0</v>
      </c>
    </row>
    <row r="1902" spans="1:5" x14ac:dyDescent="0.25">
      <c r="A1902" s="32">
        <v>1907</v>
      </c>
      <c r="B1902" s="32" t="s">
        <v>9533</v>
      </c>
      <c r="C1902" s="32" t="s">
        <v>7642</v>
      </c>
      <c r="D1902" s="32">
        <v>66</v>
      </c>
      <c r="E1902" s="32">
        <v>0</v>
      </c>
    </row>
    <row r="1903" spans="1:5" x14ac:dyDescent="0.25">
      <c r="A1903">
        <v>1908</v>
      </c>
      <c r="B1903" t="s">
        <v>9533</v>
      </c>
      <c r="C1903" t="s">
        <v>7644</v>
      </c>
      <c r="D1903">
        <v>60</v>
      </c>
      <c r="E1903">
        <v>0</v>
      </c>
    </row>
    <row r="1904" spans="1:5" x14ac:dyDescent="0.25">
      <c r="A1904" s="32">
        <v>1909</v>
      </c>
      <c r="B1904" s="32" t="s">
        <v>9530</v>
      </c>
      <c r="C1904" s="32" t="s">
        <v>7646</v>
      </c>
      <c r="D1904" s="32">
        <v>6</v>
      </c>
      <c r="E1904" s="32">
        <v>0</v>
      </c>
    </row>
    <row r="1905" spans="1:5" x14ac:dyDescent="0.25">
      <c r="A1905">
        <v>1910</v>
      </c>
      <c r="B1905" t="s">
        <v>9530</v>
      </c>
      <c r="C1905" t="s">
        <v>7648</v>
      </c>
      <c r="D1905">
        <v>6</v>
      </c>
      <c r="E1905">
        <v>0</v>
      </c>
    </row>
    <row r="1906" spans="1:5" x14ac:dyDescent="0.25">
      <c r="A1906" s="32">
        <v>1911</v>
      </c>
      <c r="B1906" s="32" t="s">
        <v>9523</v>
      </c>
      <c r="C1906" s="32" t="s">
        <v>7650</v>
      </c>
      <c r="D1906" s="32">
        <v>6</v>
      </c>
      <c r="E1906" s="32">
        <v>0</v>
      </c>
    </row>
    <row r="1907" spans="1:5" x14ac:dyDescent="0.25">
      <c r="A1907">
        <v>1912</v>
      </c>
      <c r="B1907" t="s">
        <v>9530</v>
      </c>
      <c r="C1907" t="s">
        <v>7651</v>
      </c>
      <c r="D1907">
        <v>4</v>
      </c>
      <c r="E1907">
        <v>0</v>
      </c>
    </row>
    <row r="1908" spans="1:5" x14ac:dyDescent="0.25">
      <c r="A1908" s="32">
        <v>1913</v>
      </c>
      <c r="B1908" s="32" t="s">
        <v>9534</v>
      </c>
      <c r="C1908" s="32" t="s">
        <v>7653</v>
      </c>
      <c r="D1908" s="32">
        <v>12</v>
      </c>
      <c r="E1908" s="32">
        <v>0</v>
      </c>
    </row>
    <row r="1909" spans="1:5" x14ac:dyDescent="0.25">
      <c r="A1909">
        <v>1914</v>
      </c>
      <c r="B1909" t="s">
        <v>9534</v>
      </c>
      <c r="C1909" t="s">
        <v>7655</v>
      </c>
      <c r="D1909">
        <v>2</v>
      </c>
      <c r="E1909">
        <v>0</v>
      </c>
    </row>
    <row r="1910" spans="1:5" x14ac:dyDescent="0.25">
      <c r="A1910" s="32">
        <v>1915</v>
      </c>
      <c r="B1910" s="32" t="s">
        <v>9534</v>
      </c>
      <c r="C1910" s="32" t="s">
        <v>7657</v>
      </c>
      <c r="D1910" s="32">
        <v>9</v>
      </c>
      <c r="E1910" s="32">
        <v>0</v>
      </c>
    </row>
    <row r="1911" spans="1:5" x14ac:dyDescent="0.25">
      <c r="A1911">
        <v>1916</v>
      </c>
      <c r="B1911" t="s">
        <v>9534</v>
      </c>
      <c r="C1911" t="s">
        <v>7659</v>
      </c>
      <c r="D1911">
        <v>3</v>
      </c>
      <c r="E1911">
        <v>0</v>
      </c>
    </row>
    <row r="1912" spans="1:5" x14ac:dyDescent="0.25">
      <c r="A1912" s="32">
        <v>1917</v>
      </c>
      <c r="B1912" s="32" t="s">
        <v>9534</v>
      </c>
      <c r="C1912" s="32" t="s">
        <v>7661</v>
      </c>
      <c r="D1912" s="32">
        <v>36</v>
      </c>
      <c r="E1912" s="32">
        <v>0</v>
      </c>
    </row>
    <row r="1913" spans="1:5" x14ac:dyDescent="0.25">
      <c r="A1913">
        <v>1918</v>
      </c>
      <c r="B1913" t="s">
        <v>9534</v>
      </c>
      <c r="C1913" t="s">
        <v>7663</v>
      </c>
      <c r="D1913">
        <v>6</v>
      </c>
      <c r="E1913">
        <v>0</v>
      </c>
    </row>
    <row r="1914" spans="1:5" x14ac:dyDescent="0.25">
      <c r="A1914" s="32">
        <v>1919</v>
      </c>
      <c r="B1914" s="32" t="s">
        <v>9534</v>
      </c>
      <c r="C1914" s="32" t="s">
        <v>7665</v>
      </c>
      <c r="D1914" s="32">
        <v>2</v>
      </c>
      <c r="E1914" s="32">
        <v>0</v>
      </c>
    </row>
    <row r="1915" spans="1:5" x14ac:dyDescent="0.25">
      <c r="A1915">
        <v>1920</v>
      </c>
      <c r="B1915" t="s">
        <v>9534</v>
      </c>
      <c r="C1915" t="s">
        <v>7667</v>
      </c>
      <c r="D1915">
        <v>9</v>
      </c>
      <c r="E1915">
        <v>0</v>
      </c>
    </row>
    <row r="1916" spans="1:5" x14ac:dyDescent="0.25">
      <c r="A1916" s="32">
        <v>1921</v>
      </c>
      <c r="B1916" s="32" t="s">
        <v>9534</v>
      </c>
      <c r="C1916" s="32" t="s">
        <v>7668</v>
      </c>
      <c r="D1916" s="32">
        <v>18</v>
      </c>
      <c r="E1916" s="32">
        <v>0</v>
      </c>
    </row>
    <row r="1917" spans="1:5" x14ac:dyDescent="0.25">
      <c r="A1917">
        <v>1922</v>
      </c>
      <c r="B1917" t="s">
        <v>9534</v>
      </c>
      <c r="C1917" t="s">
        <v>7670</v>
      </c>
      <c r="D1917">
        <v>12</v>
      </c>
      <c r="E1917">
        <v>0</v>
      </c>
    </row>
    <row r="1918" spans="1:5" x14ac:dyDescent="0.25">
      <c r="A1918" s="32">
        <v>1923</v>
      </c>
      <c r="B1918" s="32" t="s">
        <v>9534</v>
      </c>
      <c r="C1918" s="32" t="s">
        <v>7672</v>
      </c>
      <c r="D1918" s="32">
        <v>8</v>
      </c>
      <c r="E1918" s="32">
        <v>0</v>
      </c>
    </row>
    <row r="1919" spans="1:5" x14ac:dyDescent="0.25">
      <c r="A1919">
        <v>1924</v>
      </c>
      <c r="B1919" t="s">
        <v>9534</v>
      </c>
      <c r="C1919" t="s">
        <v>7674</v>
      </c>
      <c r="D1919">
        <v>1</v>
      </c>
      <c r="E1919">
        <v>0</v>
      </c>
    </row>
    <row r="1920" spans="1:5" x14ac:dyDescent="0.25">
      <c r="A1920" s="32">
        <v>1925</v>
      </c>
      <c r="B1920" s="32" t="s">
        <v>9534</v>
      </c>
      <c r="C1920" s="32" t="s">
        <v>7676</v>
      </c>
      <c r="D1920" s="32">
        <v>6</v>
      </c>
      <c r="E1920" s="32">
        <v>0</v>
      </c>
    </row>
    <row r="1921" spans="1:5" x14ac:dyDescent="0.25">
      <c r="A1921">
        <v>1926</v>
      </c>
      <c r="B1921" t="s">
        <v>9534</v>
      </c>
      <c r="C1921" t="s">
        <v>7678</v>
      </c>
      <c r="D1921">
        <v>12</v>
      </c>
      <c r="E1921">
        <v>0</v>
      </c>
    </row>
    <row r="1922" spans="1:5" x14ac:dyDescent="0.25">
      <c r="A1922" s="32">
        <v>1927</v>
      </c>
      <c r="B1922" s="32" t="s">
        <v>9534</v>
      </c>
      <c r="C1922" s="32" t="s">
        <v>7680</v>
      </c>
      <c r="D1922" s="32">
        <v>6</v>
      </c>
      <c r="E1922" s="32">
        <v>0</v>
      </c>
    </row>
    <row r="1923" spans="1:5" x14ac:dyDescent="0.25">
      <c r="A1923">
        <v>1928</v>
      </c>
      <c r="B1923" t="s">
        <v>9534</v>
      </c>
      <c r="C1923" t="s">
        <v>7682</v>
      </c>
      <c r="D1923">
        <v>3</v>
      </c>
      <c r="E1923">
        <v>0</v>
      </c>
    </row>
    <row r="1924" spans="1:5" x14ac:dyDescent="0.25">
      <c r="A1924" s="32">
        <v>1929</v>
      </c>
      <c r="B1924" s="32" t="s">
        <v>9534</v>
      </c>
      <c r="C1924" s="32" t="s">
        <v>7684</v>
      </c>
      <c r="D1924" s="32">
        <v>18</v>
      </c>
      <c r="E1924" s="32">
        <v>0</v>
      </c>
    </row>
    <row r="1925" spans="1:5" x14ac:dyDescent="0.25">
      <c r="A1925">
        <v>1930</v>
      </c>
      <c r="B1925" t="s">
        <v>9534</v>
      </c>
      <c r="C1925" t="s">
        <v>7686</v>
      </c>
      <c r="D1925">
        <v>6</v>
      </c>
      <c r="E1925">
        <v>0</v>
      </c>
    </row>
    <row r="1926" spans="1:5" x14ac:dyDescent="0.25">
      <c r="A1926" s="32">
        <v>1931</v>
      </c>
      <c r="B1926" s="32" t="s">
        <v>9534</v>
      </c>
      <c r="C1926" s="32" t="s">
        <v>7688</v>
      </c>
      <c r="D1926" s="32">
        <v>12</v>
      </c>
      <c r="E1926" s="32">
        <v>0</v>
      </c>
    </row>
    <row r="1927" spans="1:5" x14ac:dyDescent="0.25">
      <c r="A1927">
        <v>1932</v>
      </c>
      <c r="B1927" t="s">
        <v>9534</v>
      </c>
      <c r="C1927" t="s">
        <v>7690</v>
      </c>
      <c r="D1927">
        <v>40</v>
      </c>
      <c r="E1927">
        <v>0</v>
      </c>
    </row>
    <row r="1928" spans="1:5" x14ac:dyDescent="0.25">
      <c r="A1928" s="32">
        <v>1933</v>
      </c>
      <c r="B1928" s="32" t="s">
        <v>9534</v>
      </c>
      <c r="C1928" s="32" t="s">
        <v>7692</v>
      </c>
      <c r="D1928" s="32">
        <v>60</v>
      </c>
      <c r="E1928" s="32">
        <v>0</v>
      </c>
    </row>
    <row r="1929" spans="1:5" x14ac:dyDescent="0.25">
      <c r="A1929">
        <v>1934</v>
      </c>
      <c r="B1929" t="s">
        <v>9534</v>
      </c>
      <c r="C1929" t="s">
        <v>7694</v>
      </c>
      <c r="D1929">
        <v>1</v>
      </c>
      <c r="E1929">
        <v>0</v>
      </c>
    </row>
    <row r="1930" spans="1:5" x14ac:dyDescent="0.25">
      <c r="A1930" s="32">
        <v>1935</v>
      </c>
      <c r="B1930" s="32" t="s">
        <v>9535</v>
      </c>
      <c r="C1930" s="32" t="s">
        <v>7696</v>
      </c>
      <c r="D1930" s="32">
        <v>8</v>
      </c>
      <c r="E1930" s="32">
        <v>0</v>
      </c>
    </row>
    <row r="1931" spans="1:5" x14ac:dyDescent="0.25">
      <c r="A1931">
        <v>1936</v>
      </c>
      <c r="B1931" t="s">
        <v>9535</v>
      </c>
      <c r="C1931" t="s">
        <v>7698</v>
      </c>
      <c r="D1931">
        <v>4</v>
      </c>
      <c r="E1931">
        <v>0</v>
      </c>
    </row>
    <row r="1932" spans="1:5" x14ac:dyDescent="0.25">
      <c r="A1932" s="32">
        <v>1937</v>
      </c>
      <c r="B1932" s="32" t="s">
        <v>9535</v>
      </c>
      <c r="C1932" s="32" t="s">
        <v>7699</v>
      </c>
      <c r="D1932" s="32">
        <v>6</v>
      </c>
      <c r="E1932" s="32">
        <v>0</v>
      </c>
    </row>
    <row r="1933" spans="1:5" x14ac:dyDescent="0.25">
      <c r="A1933">
        <v>1938</v>
      </c>
      <c r="B1933" t="s">
        <v>9535</v>
      </c>
      <c r="C1933" t="s">
        <v>7700</v>
      </c>
      <c r="D1933">
        <v>6</v>
      </c>
      <c r="E1933">
        <v>0</v>
      </c>
    </row>
    <row r="1934" spans="1:5" x14ac:dyDescent="0.25">
      <c r="A1934" s="32">
        <v>1939</v>
      </c>
      <c r="B1934" s="32" t="s">
        <v>9535</v>
      </c>
      <c r="C1934" s="32" t="s">
        <v>7702</v>
      </c>
      <c r="D1934" s="32">
        <v>12</v>
      </c>
      <c r="E1934" s="32">
        <v>0</v>
      </c>
    </row>
    <row r="1935" spans="1:5" x14ac:dyDescent="0.25">
      <c r="A1935">
        <v>1940</v>
      </c>
      <c r="B1935" t="s">
        <v>9535</v>
      </c>
      <c r="C1935" t="s">
        <v>7704</v>
      </c>
      <c r="D1935">
        <v>4</v>
      </c>
      <c r="E1935">
        <v>0</v>
      </c>
    </row>
    <row r="1936" spans="1:5" x14ac:dyDescent="0.25">
      <c r="A1936" s="32">
        <v>1941</v>
      </c>
      <c r="B1936" s="32" t="s">
        <v>9535</v>
      </c>
      <c r="C1936" s="32" t="s">
        <v>7706</v>
      </c>
      <c r="D1936" s="32">
        <v>180</v>
      </c>
      <c r="E1936" s="32">
        <v>0</v>
      </c>
    </row>
    <row r="1937" spans="1:5" x14ac:dyDescent="0.25">
      <c r="A1937">
        <v>1942</v>
      </c>
      <c r="B1937" t="s">
        <v>9535</v>
      </c>
      <c r="C1937" t="s">
        <v>50</v>
      </c>
      <c r="D1937">
        <v>40</v>
      </c>
      <c r="E1937">
        <v>0</v>
      </c>
    </row>
    <row r="1938" spans="1:5" x14ac:dyDescent="0.25">
      <c r="A1938" s="32">
        <v>1943</v>
      </c>
      <c r="B1938" s="32" t="s">
        <v>9535</v>
      </c>
      <c r="C1938" s="32" t="s">
        <v>7131</v>
      </c>
      <c r="D1938" s="32">
        <v>40</v>
      </c>
      <c r="E1938" s="32">
        <v>0</v>
      </c>
    </row>
    <row r="1939" spans="1:5" x14ac:dyDescent="0.25">
      <c r="A1939" s="32">
        <v>1947</v>
      </c>
      <c r="B1939" s="32" t="s">
        <v>9536</v>
      </c>
      <c r="C1939" s="32" t="s">
        <v>34</v>
      </c>
      <c r="D1939" s="32">
        <v>3</v>
      </c>
      <c r="E1939" s="32">
        <v>0</v>
      </c>
    </row>
    <row r="1940" spans="1:5" x14ac:dyDescent="0.25">
      <c r="A1940">
        <v>1948</v>
      </c>
      <c r="B1940" t="s">
        <v>9536</v>
      </c>
      <c r="C1940" t="s">
        <v>33</v>
      </c>
      <c r="D1940">
        <v>2</v>
      </c>
      <c r="E1940">
        <v>0</v>
      </c>
    </row>
    <row r="1941" spans="1:5" x14ac:dyDescent="0.25">
      <c r="A1941" s="32">
        <v>1949</v>
      </c>
      <c r="B1941" s="32" t="s">
        <v>9536</v>
      </c>
      <c r="C1941" s="32" t="s">
        <v>7709</v>
      </c>
      <c r="D1941" s="32">
        <v>2</v>
      </c>
      <c r="E1941" s="32">
        <v>0</v>
      </c>
    </row>
    <row r="1942" spans="1:5" x14ac:dyDescent="0.25">
      <c r="A1942">
        <v>1950</v>
      </c>
      <c r="B1942" t="s">
        <v>9536</v>
      </c>
      <c r="C1942" t="s">
        <v>7711</v>
      </c>
      <c r="D1942">
        <v>4</v>
      </c>
      <c r="E1942">
        <v>0</v>
      </c>
    </row>
    <row r="1943" spans="1:5" x14ac:dyDescent="0.25">
      <c r="A1943" s="32">
        <v>1951</v>
      </c>
      <c r="B1943" s="32" t="s">
        <v>9536</v>
      </c>
      <c r="C1943" s="32" t="s">
        <v>7713</v>
      </c>
      <c r="D1943" s="32">
        <v>9</v>
      </c>
      <c r="E1943" s="32">
        <v>0</v>
      </c>
    </row>
    <row r="1944" spans="1:5" x14ac:dyDescent="0.25">
      <c r="A1944">
        <v>1952</v>
      </c>
      <c r="B1944" t="s">
        <v>9536</v>
      </c>
      <c r="C1944" t="s">
        <v>7715</v>
      </c>
      <c r="D1944">
        <v>3</v>
      </c>
      <c r="E1944">
        <v>0</v>
      </c>
    </row>
    <row r="1945" spans="1:5" x14ac:dyDescent="0.25">
      <c r="A1945" s="32">
        <v>1953</v>
      </c>
      <c r="B1945" s="32" t="s">
        <v>9536</v>
      </c>
      <c r="C1945" s="32" t="s">
        <v>7717</v>
      </c>
      <c r="D1945" s="32">
        <v>24</v>
      </c>
      <c r="E1945" s="32">
        <v>0</v>
      </c>
    </row>
    <row r="1946" spans="1:5" x14ac:dyDescent="0.25">
      <c r="A1946">
        <v>1954</v>
      </c>
      <c r="B1946" t="s">
        <v>9536</v>
      </c>
      <c r="C1946" t="s">
        <v>7719</v>
      </c>
      <c r="D1946">
        <v>12</v>
      </c>
      <c r="E1946">
        <v>0</v>
      </c>
    </row>
    <row r="1947" spans="1:5" x14ac:dyDescent="0.25">
      <c r="A1947" s="32">
        <v>1955</v>
      </c>
      <c r="B1947" s="32" t="s">
        <v>9536</v>
      </c>
      <c r="C1947" s="32" t="s">
        <v>7721</v>
      </c>
      <c r="D1947" s="32">
        <v>12</v>
      </c>
      <c r="E1947" s="32">
        <v>0</v>
      </c>
    </row>
    <row r="1948" spans="1:5" x14ac:dyDescent="0.25">
      <c r="A1948">
        <v>1956</v>
      </c>
      <c r="B1948" t="s">
        <v>9536</v>
      </c>
      <c r="C1948" t="s">
        <v>7723</v>
      </c>
      <c r="D1948">
        <v>36</v>
      </c>
      <c r="E1948">
        <v>1.49</v>
      </c>
    </row>
    <row r="1949" spans="1:5" x14ac:dyDescent="0.25">
      <c r="A1949" s="32">
        <v>1957</v>
      </c>
      <c r="B1949" s="32" t="s">
        <v>9536</v>
      </c>
      <c r="C1949" s="32" t="s">
        <v>7725</v>
      </c>
      <c r="D1949" s="32">
        <v>8</v>
      </c>
      <c r="E1949" s="32">
        <v>1.2888999999999999</v>
      </c>
    </row>
    <row r="1950" spans="1:5" x14ac:dyDescent="0.25">
      <c r="A1950">
        <v>1958</v>
      </c>
      <c r="B1950" t="s">
        <v>9536</v>
      </c>
      <c r="C1950" t="s">
        <v>7727</v>
      </c>
      <c r="D1950">
        <v>2</v>
      </c>
      <c r="E1950">
        <v>0</v>
      </c>
    </row>
    <row r="1951" spans="1:5" x14ac:dyDescent="0.25">
      <c r="A1951" s="32">
        <v>1959</v>
      </c>
      <c r="B1951" s="32" t="s">
        <v>9536</v>
      </c>
      <c r="C1951" s="32" t="s">
        <v>7729</v>
      </c>
      <c r="D1951" s="32">
        <v>2</v>
      </c>
      <c r="E1951" s="32">
        <v>0</v>
      </c>
    </row>
    <row r="1952" spans="1:5" x14ac:dyDescent="0.25">
      <c r="A1952">
        <v>1960</v>
      </c>
      <c r="B1952" t="s">
        <v>9536</v>
      </c>
      <c r="C1952" t="s">
        <v>7731</v>
      </c>
      <c r="D1952">
        <v>6</v>
      </c>
      <c r="E1952">
        <v>0</v>
      </c>
    </row>
    <row r="1953" spans="1:5" x14ac:dyDescent="0.25">
      <c r="A1953" s="32">
        <v>1961</v>
      </c>
      <c r="B1953" s="32" t="s">
        <v>9536</v>
      </c>
      <c r="C1953" s="32" t="s">
        <v>7733</v>
      </c>
      <c r="D1953" s="32">
        <v>2</v>
      </c>
      <c r="E1953" s="32">
        <v>0</v>
      </c>
    </row>
    <row r="1954" spans="1:5" x14ac:dyDescent="0.25">
      <c r="A1954">
        <v>1962</v>
      </c>
      <c r="B1954" t="s">
        <v>9536</v>
      </c>
      <c r="C1954" t="s">
        <v>7735</v>
      </c>
      <c r="D1954">
        <v>4</v>
      </c>
      <c r="E1954">
        <v>0</v>
      </c>
    </row>
    <row r="1955" spans="1:5" x14ac:dyDescent="0.25">
      <c r="A1955" s="32">
        <v>1963</v>
      </c>
      <c r="B1955" s="32" t="s">
        <v>9536</v>
      </c>
      <c r="C1955" s="32" t="s">
        <v>7737</v>
      </c>
      <c r="D1955" s="32">
        <v>4</v>
      </c>
      <c r="E1955" s="32">
        <v>0</v>
      </c>
    </row>
    <row r="1956" spans="1:5" x14ac:dyDescent="0.25">
      <c r="A1956">
        <v>1964</v>
      </c>
      <c r="B1956" t="s">
        <v>9536</v>
      </c>
      <c r="C1956" t="s">
        <v>7739</v>
      </c>
      <c r="D1956">
        <v>3</v>
      </c>
      <c r="E1956">
        <v>0</v>
      </c>
    </row>
    <row r="1957" spans="1:5" x14ac:dyDescent="0.25">
      <c r="A1957" s="32">
        <v>1965</v>
      </c>
      <c r="B1957" s="32" t="s">
        <v>9536</v>
      </c>
      <c r="C1957" s="32" t="s">
        <v>7741</v>
      </c>
      <c r="D1957" s="32">
        <v>6</v>
      </c>
      <c r="E1957" s="32">
        <v>0</v>
      </c>
    </row>
    <row r="1958" spans="1:5" x14ac:dyDescent="0.25">
      <c r="A1958">
        <v>1966</v>
      </c>
      <c r="B1958" t="s">
        <v>9536</v>
      </c>
      <c r="C1958" t="s">
        <v>7743</v>
      </c>
      <c r="D1958">
        <v>6</v>
      </c>
      <c r="E1958">
        <v>0</v>
      </c>
    </row>
    <row r="1959" spans="1:5" x14ac:dyDescent="0.25">
      <c r="A1959" s="32">
        <v>1967</v>
      </c>
      <c r="B1959" s="32" t="s">
        <v>9536</v>
      </c>
      <c r="C1959" s="32" t="s">
        <v>7745</v>
      </c>
      <c r="D1959" s="32">
        <v>4</v>
      </c>
      <c r="E1959" s="32">
        <v>0</v>
      </c>
    </row>
    <row r="1960" spans="1:5" x14ac:dyDescent="0.25">
      <c r="A1960">
        <v>1968</v>
      </c>
      <c r="B1960" t="s">
        <v>9537</v>
      </c>
      <c r="C1960" t="s">
        <v>7747</v>
      </c>
      <c r="D1960">
        <v>60</v>
      </c>
      <c r="E1960">
        <v>0</v>
      </c>
    </row>
    <row r="1961" spans="1:5" x14ac:dyDescent="0.25">
      <c r="A1961" s="32">
        <v>1969</v>
      </c>
      <c r="B1961" s="32" t="s">
        <v>9538</v>
      </c>
      <c r="C1961" s="32" t="s">
        <v>7748</v>
      </c>
      <c r="D1961" s="32">
        <v>30</v>
      </c>
      <c r="E1961" s="32">
        <v>0</v>
      </c>
    </row>
    <row r="1962" spans="1:5" x14ac:dyDescent="0.25">
      <c r="A1962">
        <v>1970</v>
      </c>
      <c r="B1962" t="s">
        <v>9538</v>
      </c>
      <c r="C1962" t="s">
        <v>7749</v>
      </c>
      <c r="D1962">
        <v>21</v>
      </c>
      <c r="E1962">
        <v>0</v>
      </c>
    </row>
    <row r="1963" spans="1:5" x14ac:dyDescent="0.25">
      <c r="A1963" s="32">
        <v>1971</v>
      </c>
      <c r="B1963" s="32" t="s">
        <v>9530</v>
      </c>
      <c r="C1963" s="32" t="s">
        <v>7751</v>
      </c>
      <c r="D1963" s="32">
        <v>6</v>
      </c>
      <c r="E1963" s="32">
        <v>0</v>
      </c>
    </row>
    <row r="1964" spans="1:5" x14ac:dyDescent="0.25">
      <c r="A1964">
        <v>1972</v>
      </c>
      <c r="B1964" t="s">
        <v>9539</v>
      </c>
      <c r="C1964" t="s">
        <v>7753</v>
      </c>
      <c r="D1964">
        <v>24</v>
      </c>
      <c r="E1964">
        <v>0</v>
      </c>
    </row>
    <row r="1965" spans="1:5" x14ac:dyDescent="0.25">
      <c r="A1965" s="32">
        <v>1973</v>
      </c>
      <c r="B1965" s="32" t="s">
        <v>9540</v>
      </c>
      <c r="C1965" s="32" t="s">
        <v>7755</v>
      </c>
      <c r="D1965" s="32">
        <v>4</v>
      </c>
      <c r="E1965" s="32">
        <v>0</v>
      </c>
    </row>
    <row r="1966" spans="1:5" x14ac:dyDescent="0.25">
      <c r="A1966">
        <v>1974</v>
      </c>
      <c r="B1966" t="s">
        <v>9540</v>
      </c>
      <c r="C1966" t="s">
        <v>7757</v>
      </c>
      <c r="D1966">
        <v>4</v>
      </c>
      <c r="E1966">
        <v>0</v>
      </c>
    </row>
    <row r="1967" spans="1:5" x14ac:dyDescent="0.25">
      <c r="A1967" s="32">
        <v>1975</v>
      </c>
      <c r="B1967" s="32" t="s">
        <v>9540</v>
      </c>
      <c r="C1967" s="32" t="s">
        <v>7759</v>
      </c>
      <c r="D1967" s="32">
        <v>10</v>
      </c>
      <c r="E1967" s="32">
        <v>0</v>
      </c>
    </row>
    <row r="1968" spans="1:5" x14ac:dyDescent="0.25">
      <c r="A1968">
        <v>1976</v>
      </c>
      <c r="B1968" t="s">
        <v>9540</v>
      </c>
      <c r="C1968" t="s">
        <v>7761</v>
      </c>
      <c r="D1968">
        <v>8</v>
      </c>
      <c r="E1968">
        <v>0</v>
      </c>
    </row>
    <row r="1969" spans="1:5" x14ac:dyDescent="0.25">
      <c r="A1969" s="32">
        <v>1977</v>
      </c>
      <c r="B1969" s="32" t="s">
        <v>9540</v>
      </c>
      <c r="C1969" s="32" t="s">
        <v>7763</v>
      </c>
      <c r="D1969" s="32">
        <v>10</v>
      </c>
      <c r="E1969" s="32">
        <v>0</v>
      </c>
    </row>
    <row r="1970" spans="1:5" x14ac:dyDescent="0.25">
      <c r="A1970">
        <v>1978</v>
      </c>
      <c r="B1970" t="s">
        <v>9540</v>
      </c>
      <c r="C1970" t="s">
        <v>7765</v>
      </c>
      <c r="D1970">
        <v>20</v>
      </c>
      <c r="E1970">
        <v>0</v>
      </c>
    </row>
    <row r="1971" spans="1:5" x14ac:dyDescent="0.25">
      <c r="A1971" s="32">
        <v>1979</v>
      </c>
      <c r="B1971" s="32" t="s">
        <v>9540</v>
      </c>
      <c r="C1971" s="32" t="s">
        <v>7767</v>
      </c>
      <c r="D1971" s="32">
        <v>20</v>
      </c>
      <c r="E1971" s="32">
        <v>0</v>
      </c>
    </row>
    <row r="1972" spans="1:5" x14ac:dyDescent="0.25">
      <c r="A1972">
        <v>1980</v>
      </c>
      <c r="B1972" t="s">
        <v>9540</v>
      </c>
      <c r="C1972" t="s">
        <v>7769</v>
      </c>
      <c r="D1972">
        <v>10</v>
      </c>
      <c r="E1972">
        <v>0</v>
      </c>
    </row>
    <row r="1973" spans="1:5" x14ac:dyDescent="0.25">
      <c r="A1973" s="32">
        <v>1981</v>
      </c>
      <c r="B1973" s="32" t="s">
        <v>9541</v>
      </c>
      <c r="C1973" s="32" t="s">
        <v>7771</v>
      </c>
      <c r="D1973" s="32">
        <v>4</v>
      </c>
      <c r="E1973" s="32">
        <v>0</v>
      </c>
    </row>
    <row r="1974" spans="1:5" x14ac:dyDescent="0.25">
      <c r="A1974">
        <v>1982</v>
      </c>
      <c r="B1974" t="s">
        <v>9541</v>
      </c>
      <c r="C1974" t="s">
        <v>7773</v>
      </c>
      <c r="D1974">
        <v>4</v>
      </c>
      <c r="E1974">
        <v>0</v>
      </c>
    </row>
    <row r="1975" spans="1:5" x14ac:dyDescent="0.25">
      <c r="A1975" s="32">
        <v>1983</v>
      </c>
      <c r="B1975" s="32" t="s">
        <v>9541</v>
      </c>
      <c r="C1975" s="32" t="s">
        <v>7775</v>
      </c>
      <c r="D1975" s="32">
        <v>24</v>
      </c>
      <c r="E1975" s="32">
        <v>0</v>
      </c>
    </row>
    <row r="1976" spans="1:5" x14ac:dyDescent="0.25">
      <c r="A1976">
        <v>1984</v>
      </c>
      <c r="B1976" t="s">
        <v>9541</v>
      </c>
      <c r="C1976" t="s">
        <v>7777</v>
      </c>
      <c r="D1976">
        <v>10</v>
      </c>
      <c r="E1976">
        <v>0</v>
      </c>
    </row>
    <row r="1977" spans="1:5" x14ac:dyDescent="0.25">
      <c r="A1977" s="32">
        <v>1985</v>
      </c>
      <c r="B1977" s="32" t="s">
        <v>9541</v>
      </c>
      <c r="C1977" s="32" t="s">
        <v>7779</v>
      </c>
      <c r="D1977" s="32">
        <v>24</v>
      </c>
      <c r="E1977" s="32">
        <v>0</v>
      </c>
    </row>
    <row r="1978" spans="1:5" x14ac:dyDescent="0.25">
      <c r="A1978">
        <v>1986</v>
      </c>
      <c r="B1978" t="s">
        <v>9541</v>
      </c>
      <c r="C1978" t="s">
        <v>7781</v>
      </c>
      <c r="D1978">
        <v>50</v>
      </c>
      <c r="E1978">
        <v>0</v>
      </c>
    </row>
    <row r="1979" spans="1:5" x14ac:dyDescent="0.25">
      <c r="A1979" s="32">
        <v>1987</v>
      </c>
      <c r="B1979" s="32" t="s">
        <v>9541</v>
      </c>
      <c r="C1979" s="32" t="s">
        <v>7783</v>
      </c>
      <c r="D1979" s="32">
        <v>32</v>
      </c>
      <c r="E1979" s="32">
        <v>0</v>
      </c>
    </row>
    <row r="1980" spans="1:5" x14ac:dyDescent="0.25">
      <c r="A1980">
        <v>1988</v>
      </c>
      <c r="B1980" t="s">
        <v>9541</v>
      </c>
      <c r="C1980" t="s">
        <v>7785</v>
      </c>
      <c r="D1980">
        <v>32</v>
      </c>
      <c r="E1980">
        <v>0</v>
      </c>
    </row>
    <row r="1981" spans="1:5" x14ac:dyDescent="0.25">
      <c r="A1981" s="32">
        <v>1989</v>
      </c>
      <c r="B1981" s="32" t="s">
        <v>9541</v>
      </c>
      <c r="C1981" s="32" t="s">
        <v>7787</v>
      </c>
      <c r="D1981" s="32">
        <v>10</v>
      </c>
      <c r="E1981" s="32">
        <v>0</v>
      </c>
    </row>
    <row r="1982" spans="1:5" x14ac:dyDescent="0.25">
      <c r="A1982">
        <v>1990</v>
      </c>
      <c r="B1982" t="s">
        <v>9541</v>
      </c>
      <c r="C1982" t="s">
        <v>7789</v>
      </c>
      <c r="D1982">
        <v>48</v>
      </c>
      <c r="E1982">
        <v>0</v>
      </c>
    </row>
    <row r="1983" spans="1:5" x14ac:dyDescent="0.25">
      <c r="A1983" s="32">
        <v>1991</v>
      </c>
      <c r="B1983" s="32" t="s">
        <v>9541</v>
      </c>
      <c r="C1983" s="32" t="s">
        <v>7791</v>
      </c>
      <c r="D1983" s="32">
        <v>50</v>
      </c>
      <c r="E1983" s="32">
        <v>0</v>
      </c>
    </row>
    <row r="1984" spans="1:5" x14ac:dyDescent="0.25">
      <c r="A1984">
        <v>1992</v>
      </c>
      <c r="B1984" t="s">
        <v>9541</v>
      </c>
      <c r="C1984" t="s">
        <v>7793</v>
      </c>
      <c r="D1984">
        <v>48</v>
      </c>
      <c r="E1984">
        <v>0</v>
      </c>
    </row>
    <row r="1985" spans="1:5" x14ac:dyDescent="0.25">
      <c r="A1985" s="32">
        <v>1993</v>
      </c>
      <c r="B1985" s="32" t="s">
        <v>9541</v>
      </c>
      <c r="C1985" s="32" t="s">
        <v>7795</v>
      </c>
      <c r="D1985" s="32">
        <v>16</v>
      </c>
      <c r="E1985" s="32">
        <v>48</v>
      </c>
    </row>
    <row r="1986" spans="1:5" x14ac:dyDescent="0.25">
      <c r="A1986">
        <v>1994</v>
      </c>
      <c r="B1986" t="s">
        <v>9541</v>
      </c>
      <c r="C1986" t="s">
        <v>7797</v>
      </c>
      <c r="D1986">
        <v>16</v>
      </c>
      <c r="E1986">
        <v>0</v>
      </c>
    </row>
    <row r="1987" spans="1:5" x14ac:dyDescent="0.25">
      <c r="A1987" s="32">
        <v>1995</v>
      </c>
      <c r="B1987" s="32" t="s">
        <v>9541</v>
      </c>
      <c r="C1987" s="32" t="s">
        <v>7799</v>
      </c>
      <c r="D1987" s="32">
        <v>16</v>
      </c>
      <c r="E1987" s="32">
        <v>0</v>
      </c>
    </row>
    <row r="1988" spans="1:5" x14ac:dyDescent="0.25">
      <c r="A1988">
        <v>1996</v>
      </c>
      <c r="B1988" t="s">
        <v>9541</v>
      </c>
      <c r="C1988" t="s">
        <v>7801</v>
      </c>
      <c r="D1988">
        <v>96</v>
      </c>
      <c r="E1988">
        <v>0</v>
      </c>
    </row>
    <row r="1989" spans="1:5" x14ac:dyDescent="0.25">
      <c r="A1989" s="32">
        <v>1997</v>
      </c>
      <c r="B1989" s="32" t="s">
        <v>9541</v>
      </c>
      <c r="C1989" s="32" t="s">
        <v>7803</v>
      </c>
      <c r="D1989" s="32">
        <v>48</v>
      </c>
      <c r="E1989" s="32">
        <v>0</v>
      </c>
    </row>
    <row r="1990" spans="1:5" x14ac:dyDescent="0.25">
      <c r="A1990">
        <v>1998</v>
      </c>
      <c r="B1990" t="s">
        <v>9541</v>
      </c>
      <c r="C1990" t="s">
        <v>7805</v>
      </c>
      <c r="D1990">
        <v>16</v>
      </c>
      <c r="E1990">
        <v>0</v>
      </c>
    </row>
    <row r="1991" spans="1:5" x14ac:dyDescent="0.25">
      <c r="A1991" s="32">
        <v>1999</v>
      </c>
      <c r="B1991" s="32" t="s">
        <v>9541</v>
      </c>
      <c r="C1991" s="32" t="s">
        <v>7807</v>
      </c>
      <c r="D1991" s="32">
        <v>50</v>
      </c>
      <c r="E1991" s="32">
        <v>0</v>
      </c>
    </row>
    <row r="1992" spans="1:5" x14ac:dyDescent="0.25">
      <c r="A1992">
        <v>2000</v>
      </c>
      <c r="B1992" t="s">
        <v>9541</v>
      </c>
      <c r="C1992" t="s">
        <v>7809</v>
      </c>
      <c r="D1992">
        <v>32</v>
      </c>
      <c r="E1992">
        <v>0</v>
      </c>
    </row>
    <row r="1993" spans="1:5" x14ac:dyDescent="0.25">
      <c r="A1993" s="32">
        <v>2001</v>
      </c>
      <c r="B1993" s="32" t="s">
        <v>9541</v>
      </c>
      <c r="C1993" s="32" t="s">
        <v>7811</v>
      </c>
      <c r="D1993" s="32">
        <v>32</v>
      </c>
      <c r="E1993" s="32">
        <v>0</v>
      </c>
    </row>
    <row r="1994" spans="1:5" x14ac:dyDescent="0.25">
      <c r="A1994">
        <v>2002</v>
      </c>
      <c r="B1994" t="s">
        <v>9541</v>
      </c>
      <c r="C1994" t="s">
        <v>7813</v>
      </c>
      <c r="D1994">
        <v>10</v>
      </c>
      <c r="E1994">
        <v>0</v>
      </c>
    </row>
    <row r="1995" spans="1:5" x14ac:dyDescent="0.25">
      <c r="A1995" s="32">
        <v>2003</v>
      </c>
      <c r="B1995" s="32" t="s">
        <v>9526</v>
      </c>
      <c r="C1995" s="32" t="s">
        <v>7815</v>
      </c>
      <c r="D1995" s="32">
        <v>30</v>
      </c>
      <c r="E1995" s="32">
        <v>0</v>
      </c>
    </row>
    <row r="1996" spans="1:5" x14ac:dyDescent="0.25">
      <c r="A1996">
        <v>2004</v>
      </c>
      <c r="B1996" t="s">
        <v>9526</v>
      </c>
      <c r="C1996" t="s">
        <v>7817</v>
      </c>
      <c r="D1996">
        <v>60</v>
      </c>
      <c r="E1996">
        <v>0</v>
      </c>
    </row>
    <row r="1997" spans="1:5" x14ac:dyDescent="0.25">
      <c r="A1997" s="32">
        <v>2005</v>
      </c>
      <c r="B1997" s="32" t="s">
        <v>9526</v>
      </c>
      <c r="C1997" s="32" t="s">
        <v>7819</v>
      </c>
      <c r="D1997" s="32">
        <v>80</v>
      </c>
      <c r="E1997" s="32">
        <v>0</v>
      </c>
    </row>
    <row r="1998" spans="1:5" x14ac:dyDescent="0.25">
      <c r="A1998">
        <v>2006</v>
      </c>
      <c r="B1998" t="s">
        <v>9542</v>
      </c>
      <c r="C1998" t="s">
        <v>7821</v>
      </c>
      <c r="D1998">
        <v>20</v>
      </c>
      <c r="E1998">
        <v>0</v>
      </c>
    </row>
    <row r="1999" spans="1:5" x14ac:dyDescent="0.25">
      <c r="A1999" s="32">
        <v>2007</v>
      </c>
      <c r="B1999" s="32" t="s">
        <v>9543</v>
      </c>
      <c r="C1999" s="32" t="s">
        <v>7823</v>
      </c>
      <c r="D1999" s="32">
        <v>10</v>
      </c>
      <c r="E1999" s="32">
        <v>0</v>
      </c>
    </row>
    <row r="2000" spans="1:5" x14ac:dyDescent="0.25">
      <c r="A2000">
        <v>2008</v>
      </c>
      <c r="B2000" t="s">
        <v>9543</v>
      </c>
      <c r="C2000" t="s">
        <v>7825</v>
      </c>
      <c r="D2000">
        <v>10</v>
      </c>
      <c r="E2000">
        <v>0</v>
      </c>
    </row>
    <row r="2001" spans="1:5" x14ac:dyDescent="0.25">
      <c r="A2001" s="32">
        <v>2009</v>
      </c>
      <c r="B2001" s="32" t="s">
        <v>9543</v>
      </c>
      <c r="C2001" s="32" t="s">
        <v>7827</v>
      </c>
      <c r="D2001" s="32">
        <v>10</v>
      </c>
      <c r="E2001" s="32">
        <v>0</v>
      </c>
    </row>
    <row r="2002" spans="1:5" x14ac:dyDescent="0.25">
      <c r="A2002">
        <v>2010</v>
      </c>
      <c r="B2002" t="s">
        <v>9543</v>
      </c>
      <c r="C2002" t="s">
        <v>7829</v>
      </c>
      <c r="D2002">
        <v>16</v>
      </c>
      <c r="E2002">
        <v>0</v>
      </c>
    </row>
    <row r="2003" spans="1:5" x14ac:dyDescent="0.25">
      <c r="A2003" s="32">
        <v>2011</v>
      </c>
      <c r="B2003" s="32" t="s">
        <v>9543</v>
      </c>
      <c r="C2003" s="32" t="s">
        <v>7831</v>
      </c>
      <c r="D2003" s="32">
        <v>10</v>
      </c>
      <c r="E2003" s="32">
        <v>0</v>
      </c>
    </row>
    <row r="2004" spans="1:5" x14ac:dyDescent="0.25">
      <c r="A2004">
        <v>2012</v>
      </c>
      <c r="B2004" t="s">
        <v>9544</v>
      </c>
      <c r="C2004" t="s">
        <v>7832</v>
      </c>
      <c r="D2004">
        <v>10</v>
      </c>
      <c r="E2004">
        <v>0</v>
      </c>
    </row>
    <row r="2005" spans="1:5" x14ac:dyDescent="0.25">
      <c r="A2005" s="32">
        <v>2013</v>
      </c>
      <c r="B2005" s="32" t="s">
        <v>9526</v>
      </c>
      <c r="C2005" s="32" t="s">
        <v>7833</v>
      </c>
      <c r="D2005" s="32">
        <v>9</v>
      </c>
      <c r="E2005" s="32">
        <v>0</v>
      </c>
    </row>
    <row r="2006" spans="1:5" x14ac:dyDescent="0.25">
      <c r="A2006">
        <v>2014</v>
      </c>
      <c r="B2006" t="s">
        <v>9545</v>
      </c>
      <c r="C2006" t="s">
        <v>7834</v>
      </c>
      <c r="D2006">
        <v>40</v>
      </c>
      <c r="E2006">
        <v>0</v>
      </c>
    </row>
    <row r="2007" spans="1:5" x14ac:dyDescent="0.25">
      <c r="A2007" s="32">
        <v>2015</v>
      </c>
      <c r="B2007" s="32" t="s">
        <v>9545</v>
      </c>
      <c r="C2007" s="32" t="s">
        <v>7835</v>
      </c>
      <c r="D2007" s="32">
        <v>60</v>
      </c>
      <c r="E2007" s="32">
        <v>0</v>
      </c>
    </row>
    <row r="2008" spans="1:5" x14ac:dyDescent="0.25">
      <c r="A2008">
        <v>2016</v>
      </c>
      <c r="B2008" t="s">
        <v>9545</v>
      </c>
      <c r="C2008" t="s">
        <v>7837</v>
      </c>
      <c r="D2008">
        <v>90</v>
      </c>
      <c r="E2008">
        <v>0</v>
      </c>
    </row>
    <row r="2009" spans="1:5" x14ac:dyDescent="0.25">
      <c r="A2009" s="32">
        <v>2017</v>
      </c>
      <c r="B2009" s="32" t="s">
        <v>9540</v>
      </c>
      <c r="C2009" s="32" t="s">
        <v>7839</v>
      </c>
      <c r="D2009" s="32">
        <v>10</v>
      </c>
      <c r="E2009" s="32">
        <v>0</v>
      </c>
    </row>
    <row r="2010" spans="1:5" x14ac:dyDescent="0.25">
      <c r="A2010">
        <v>2018</v>
      </c>
      <c r="B2010" t="s">
        <v>9540</v>
      </c>
      <c r="C2010" t="s">
        <v>7841</v>
      </c>
      <c r="D2010">
        <v>10</v>
      </c>
      <c r="E2010">
        <v>0</v>
      </c>
    </row>
    <row r="2011" spans="1:5" x14ac:dyDescent="0.25">
      <c r="A2011" s="32">
        <v>2019</v>
      </c>
      <c r="B2011" s="32" t="s">
        <v>9540</v>
      </c>
      <c r="C2011" s="32" t="s">
        <v>7147</v>
      </c>
      <c r="D2011" s="32">
        <v>10</v>
      </c>
      <c r="E2011" s="32">
        <v>0</v>
      </c>
    </row>
    <row r="2012" spans="1:5" x14ac:dyDescent="0.25">
      <c r="A2012">
        <v>2020</v>
      </c>
      <c r="B2012" t="s">
        <v>9540</v>
      </c>
      <c r="C2012" t="s">
        <v>13</v>
      </c>
      <c r="D2012">
        <v>10</v>
      </c>
      <c r="E2012">
        <v>0</v>
      </c>
    </row>
    <row r="2013" spans="1:5" x14ac:dyDescent="0.25">
      <c r="A2013" s="32">
        <v>2021</v>
      </c>
      <c r="B2013" s="32" t="s">
        <v>9540</v>
      </c>
      <c r="C2013" s="32" t="s">
        <v>7149</v>
      </c>
      <c r="D2013" s="32">
        <v>10</v>
      </c>
      <c r="E2013" s="32">
        <v>0</v>
      </c>
    </row>
    <row r="2014" spans="1:5" x14ac:dyDescent="0.25">
      <c r="A2014">
        <v>2022</v>
      </c>
      <c r="B2014" t="s">
        <v>9540</v>
      </c>
      <c r="C2014" t="s">
        <v>7151</v>
      </c>
      <c r="D2014">
        <v>10</v>
      </c>
      <c r="E2014">
        <v>0</v>
      </c>
    </row>
    <row r="2015" spans="1:5" x14ac:dyDescent="0.25">
      <c r="A2015" s="32">
        <v>2023</v>
      </c>
      <c r="B2015" s="32" t="s">
        <v>9546</v>
      </c>
      <c r="C2015" s="32" t="s">
        <v>7153</v>
      </c>
      <c r="D2015" s="32">
        <v>96</v>
      </c>
      <c r="E2015" s="32">
        <v>0</v>
      </c>
    </row>
    <row r="2016" spans="1:5" x14ac:dyDescent="0.25">
      <c r="A2016">
        <v>2024</v>
      </c>
      <c r="B2016" t="s">
        <v>9546</v>
      </c>
      <c r="C2016" t="s">
        <v>7155</v>
      </c>
      <c r="D2016">
        <v>24</v>
      </c>
      <c r="E2016">
        <v>0</v>
      </c>
    </row>
    <row r="2017" spans="1:5" x14ac:dyDescent="0.25">
      <c r="A2017" s="32">
        <v>2025</v>
      </c>
      <c r="B2017" s="32" t="s">
        <v>9546</v>
      </c>
      <c r="C2017" s="32" t="s">
        <v>7157</v>
      </c>
      <c r="D2017" s="32">
        <v>72</v>
      </c>
      <c r="E2017" s="32">
        <v>0</v>
      </c>
    </row>
    <row r="2018" spans="1:5" x14ac:dyDescent="0.25">
      <c r="A2018">
        <v>2026</v>
      </c>
      <c r="B2018" t="s">
        <v>9546</v>
      </c>
      <c r="C2018" t="s">
        <v>40</v>
      </c>
      <c r="D2018">
        <v>24</v>
      </c>
      <c r="E2018">
        <v>0</v>
      </c>
    </row>
    <row r="2019" spans="1:5" x14ac:dyDescent="0.25">
      <c r="A2019" s="32">
        <v>2027</v>
      </c>
      <c r="B2019" s="32" t="s">
        <v>9546</v>
      </c>
      <c r="C2019" s="32" t="s">
        <v>39</v>
      </c>
      <c r="D2019" s="32">
        <v>48</v>
      </c>
      <c r="E2019" s="32">
        <v>0</v>
      </c>
    </row>
    <row r="2020" spans="1:5" x14ac:dyDescent="0.25">
      <c r="A2020">
        <v>2028</v>
      </c>
      <c r="B2020" t="s">
        <v>9546</v>
      </c>
      <c r="C2020" t="s">
        <v>103</v>
      </c>
      <c r="D2020">
        <v>60</v>
      </c>
      <c r="E2020">
        <v>0</v>
      </c>
    </row>
    <row r="2021" spans="1:5" x14ac:dyDescent="0.25">
      <c r="A2021" s="32">
        <v>2029</v>
      </c>
      <c r="B2021" s="32" t="s">
        <v>9546</v>
      </c>
      <c r="C2021" s="32" t="s">
        <v>104</v>
      </c>
      <c r="D2021" s="32">
        <v>90</v>
      </c>
      <c r="E2021" s="32">
        <v>0</v>
      </c>
    </row>
    <row r="2022" spans="1:5" x14ac:dyDescent="0.25">
      <c r="A2022">
        <v>2030</v>
      </c>
      <c r="B2022" t="s">
        <v>9546</v>
      </c>
      <c r="C2022" t="s">
        <v>102</v>
      </c>
      <c r="D2022">
        <v>20</v>
      </c>
      <c r="E2022">
        <v>0</v>
      </c>
    </row>
    <row r="2023" spans="1:5" x14ac:dyDescent="0.25">
      <c r="A2023" s="32">
        <v>2031</v>
      </c>
      <c r="B2023" s="32" t="s">
        <v>9536</v>
      </c>
      <c r="C2023" s="32" t="s">
        <v>15</v>
      </c>
      <c r="D2023" s="32">
        <v>18</v>
      </c>
      <c r="E2023" s="32">
        <v>0</v>
      </c>
    </row>
    <row r="2024" spans="1:5" x14ac:dyDescent="0.25">
      <c r="A2024">
        <v>2032</v>
      </c>
      <c r="B2024" t="s">
        <v>9547</v>
      </c>
      <c r="C2024" t="s">
        <v>14</v>
      </c>
      <c r="D2024">
        <v>132</v>
      </c>
      <c r="E2024">
        <v>0</v>
      </c>
    </row>
    <row r="2025" spans="1:5" x14ac:dyDescent="0.25">
      <c r="A2025" s="32">
        <v>2033</v>
      </c>
      <c r="B2025" s="32" t="s">
        <v>9547</v>
      </c>
      <c r="C2025" s="32" t="s">
        <v>116</v>
      </c>
      <c r="D2025" s="32">
        <v>36</v>
      </c>
      <c r="E2025" s="32">
        <v>0</v>
      </c>
    </row>
    <row r="2026" spans="1:5" x14ac:dyDescent="0.25">
      <c r="A2026">
        <v>2034</v>
      </c>
      <c r="B2026" t="s">
        <v>9546</v>
      </c>
      <c r="C2026" t="s">
        <v>117</v>
      </c>
      <c r="D2026">
        <v>96</v>
      </c>
      <c r="E2026">
        <v>0</v>
      </c>
    </row>
    <row r="2027" spans="1:5" x14ac:dyDescent="0.25">
      <c r="A2027" s="32">
        <v>2035</v>
      </c>
      <c r="B2027" s="32" t="s">
        <v>9546</v>
      </c>
      <c r="C2027" s="32" t="s">
        <v>38</v>
      </c>
      <c r="D2027" s="32">
        <v>64</v>
      </c>
      <c r="E2027" s="32">
        <v>0</v>
      </c>
    </row>
    <row r="2028" spans="1:5" x14ac:dyDescent="0.25">
      <c r="A2028">
        <v>2036</v>
      </c>
      <c r="B2028" t="s">
        <v>9546</v>
      </c>
      <c r="C2028" t="s">
        <v>69</v>
      </c>
      <c r="D2028">
        <v>144</v>
      </c>
      <c r="E2028">
        <v>0</v>
      </c>
    </row>
    <row r="2029" spans="1:5" x14ac:dyDescent="0.25">
      <c r="A2029" s="32">
        <v>2037</v>
      </c>
      <c r="B2029" s="32" t="s">
        <v>9546</v>
      </c>
      <c r="C2029" s="32" t="s">
        <v>37</v>
      </c>
      <c r="D2029" s="32">
        <v>4</v>
      </c>
      <c r="E2029" s="32">
        <v>0</v>
      </c>
    </row>
    <row r="2030" spans="1:5" x14ac:dyDescent="0.25">
      <c r="A2030">
        <v>2038</v>
      </c>
      <c r="B2030" t="s">
        <v>9548</v>
      </c>
      <c r="C2030" t="s">
        <v>118</v>
      </c>
      <c r="D2030">
        <v>12</v>
      </c>
      <c r="E2030">
        <v>0</v>
      </c>
    </row>
    <row r="2031" spans="1:5" x14ac:dyDescent="0.25">
      <c r="A2031" s="32">
        <v>2039</v>
      </c>
      <c r="B2031" s="32" t="s">
        <v>9548</v>
      </c>
      <c r="C2031" s="32" t="s">
        <v>119</v>
      </c>
      <c r="D2031" s="32">
        <v>72</v>
      </c>
      <c r="E2031" s="32">
        <v>0</v>
      </c>
    </row>
    <row r="2032" spans="1:5" x14ac:dyDescent="0.25">
      <c r="A2032">
        <v>2040</v>
      </c>
      <c r="B2032" t="s">
        <v>9548</v>
      </c>
      <c r="C2032" t="s">
        <v>17</v>
      </c>
      <c r="D2032">
        <v>20</v>
      </c>
      <c r="E2032">
        <v>0</v>
      </c>
    </row>
    <row r="2033" spans="1:5" x14ac:dyDescent="0.25">
      <c r="A2033" s="32">
        <v>2041</v>
      </c>
      <c r="B2033" s="32" t="s">
        <v>9548</v>
      </c>
      <c r="C2033" s="32" t="s">
        <v>16</v>
      </c>
      <c r="D2033" s="32">
        <v>8</v>
      </c>
      <c r="E2033" s="32">
        <v>0</v>
      </c>
    </row>
    <row r="2034" spans="1:5" x14ac:dyDescent="0.25">
      <c r="A2034">
        <v>2042</v>
      </c>
      <c r="B2034" t="s">
        <v>9548</v>
      </c>
      <c r="C2034" t="s">
        <v>41</v>
      </c>
      <c r="D2034">
        <v>6</v>
      </c>
      <c r="E2034">
        <v>0</v>
      </c>
    </row>
    <row r="2035" spans="1:5" x14ac:dyDescent="0.25">
      <c r="A2035" s="32">
        <v>2043</v>
      </c>
      <c r="B2035" s="32" t="s">
        <v>9548</v>
      </c>
      <c r="C2035" s="32" t="s">
        <v>18</v>
      </c>
      <c r="D2035" s="32">
        <v>30</v>
      </c>
      <c r="E2035" s="32">
        <v>0</v>
      </c>
    </row>
    <row r="2036" spans="1:5" x14ac:dyDescent="0.25">
      <c r="A2036">
        <v>2044</v>
      </c>
      <c r="B2036" t="s">
        <v>9548</v>
      </c>
      <c r="C2036" t="s">
        <v>120</v>
      </c>
      <c r="D2036">
        <v>1</v>
      </c>
      <c r="E2036">
        <v>0</v>
      </c>
    </row>
    <row r="2037" spans="1:5" x14ac:dyDescent="0.25">
      <c r="A2037" s="32">
        <v>2045</v>
      </c>
      <c r="B2037" s="32" t="s">
        <v>9548</v>
      </c>
      <c r="C2037" s="32" t="s">
        <v>121</v>
      </c>
      <c r="D2037" s="32">
        <v>9</v>
      </c>
      <c r="E2037" s="32">
        <v>0</v>
      </c>
    </row>
    <row r="2038" spans="1:5" x14ac:dyDescent="0.25">
      <c r="A2038">
        <v>2046</v>
      </c>
      <c r="B2038" t="s">
        <v>9548</v>
      </c>
      <c r="C2038" t="s">
        <v>44</v>
      </c>
      <c r="D2038">
        <v>12</v>
      </c>
      <c r="E2038">
        <v>0</v>
      </c>
    </row>
    <row r="2039" spans="1:5" x14ac:dyDescent="0.25">
      <c r="A2039" s="32">
        <v>2047</v>
      </c>
      <c r="B2039" s="32" t="s">
        <v>9548</v>
      </c>
      <c r="C2039" s="32" t="s">
        <v>43</v>
      </c>
      <c r="D2039" s="32">
        <v>6</v>
      </c>
      <c r="E2039" s="32">
        <v>0</v>
      </c>
    </row>
    <row r="2040" spans="1:5" x14ac:dyDescent="0.25">
      <c r="A2040">
        <v>2048</v>
      </c>
      <c r="B2040" t="s">
        <v>9548</v>
      </c>
      <c r="C2040" t="s">
        <v>122</v>
      </c>
      <c r="D2040">
        <v>6</v>
      </c>
      <c r="E2040">
        <v>0</v>
      </c>
    </row>
    <row r="2041" spans="1:5" x14ac:dyDescent="0.25">
      <c r="A2041" s="32">
        <v>2049</v>
      </c>
      <c r="B2041" s="32" t="s">
        <v>9549</v>
      </c>
      <c r="C2041" s="32" t="s">
        <v>123</v>
      </c>
      <c r="D2041" s="32">
        <v>128</v>
      </c>
      <c r="E2041" s="32">
        <v>0</v>
      </c>
    </row>
    <row r="2042" spans="1:5" x14ac:dyDescent="0.25">
      <c r="A2042">
        <v>2050</v>
      </c>
      <c r="B2042" t="s">
        <v>9549</v>
      </c>
      <c r="C2042" t="s">
        <v>7169</v>
      </c>
      <c r="D2042">
        <v>192</v>
      </c>
      <c r="E2042">
        <v>0</v>
      </c>
    </row>
    <row r="2043" spans="1:5" x14ac:dyDescent="0.25">
      <c r="A2043" s="32">
        <v>2051</v>
      </c>
      <c r="B2043" s="32" t="s">
        <v>9549</v>
      </c>
      <c r="C2043" s="32" t="s">
        <v>6857</v>
      </c>
      <c r="D2043" s="32">
        <v>64</v>
      </c>
      <c r="E2043" s="32">
        <v>0</v>
      </c>
    </row>
    <row r="2044" spans="1:5" x14ac:dyDescent="0.25">
      <c r="A2044">
        <v>2052</v>
      </c>
      <c r="B2044" t="s">
        <v>9549</v>
      </c>
      <c r="C2044" t="s">
        <v>6859</v>
      </c>
      <c r="D2044">
        <v>36</v>
      </c>
      <c r="E2044">
        <v>0</v>
      </c>
    </row>
    <row r="2045" spans="1:5" x14ac:dyDescent="0.25">
      <c r="A2045" s="32">
        <v>2053</v>
      </c>
      <c r="B2045" s="32" t="s">
        <v>9549</v>
      </c>
      <c r="C2045" s="32" t="s">
        <v>6861</v>
      </c>
      <c r="D2045" s="32">
        <v>15</v>
      </c>
      <c r="E2045" s="32">
        <v>0</v>
      </c>
    </row>
    <row r="2046" spans="1:5" x14ac:dyDescent="0.25">
      <c r="A2046">
        <v>2054</v>
      </c>
      <c r="B2046" t="s">
        <v>9549</v>
      </c>
      <c r="C2046" t="s">
        <v>98</v>
      </c>
      <c r="D2046">
        <v>15</v>
      </c>
      <c r="E2046">
        <v>0</v>
      </c>
    </row>
    <row r="2047" spans="1:5" x14ac:dyDescent="0.25">
      <c r="A2047" s="32">
        <v>2055</v>
      </c>
      <c r="B2047" s="32" t="s">
        <v>9549</v>
      </c>
      <c r="C2047" s="32" t="s">
        <v>6864</v>
      </c>
      <c r="D2047" s="32">
        <v>21</v>
      </c>
      <c r="E2047" s="32">
        <v>0</v>
      </c>
    </row>
    <row r="2048" spans="1:5" x14ac:dyDescent="0.25">
      <c r="A2048">
        <v>2056</v>
      </c>
      <c r="B2048" t="s">
        <v>9549</v>
      </c>
      <c r="C2048" t="s">
        <v>99</v>
      </c>
      <c r="D2048">
        <v>9</v>
      </c>
      <c r="E2048">
        <v>0</v>
      </c>
    </row>
    <row r="2049" spans="1:5" x14ac:dyDescent="0.25">
      <c r="A2049" s="32">
        <v>2057</v>
      </c>
      <c r="B2049" s="32" t="s">
        <v>9549</v>
      </c>
      <c r="C2049" s="32" t="s">
        <v>107</v>
      </c>
      <c r="D2049" s="32">
        <v>22</v>
      </c>
      <c r="E2049" s="32">
        <v>0</v>
      </c>
    </row>
    <row r="2050" spans="1:5" x14ac:dyDescent="0.25">
      <c r="A2050">
        <v>2058</v>
      </c>
      <c r="B2050" t="s">
        <v>9549</v>
      </c>
      <c r="C2050" t="s">
        <v>6868</v>
      </c>
      <c r="D2050">
        <v>24</v>
      </c>
      <c r="E2050">
        <v>0</v>
      </c>
    </row>
    <row r="2051" spans="1:5" x14ac:dyDescent="0.25">
      <c r="A2051" s="32">
        <v>2059</v>
      </c>
      <c r="B2051" s="32" t="s">
        <v>9549</v>
      </c>
      <c r="C2051" s="32" t="s">
        <v>6870</v>
      </c>
      <c r="D2051" s="32">
        <v>27</v>
      </c>
      <c r="E2051" s="32">
        <v>0</v>
      </c>
    </row>
    <row r="2052" spans="1:5" x14ac:dyDescent="0.25">
      <c r="A2052">
        <v>2060</v>
      </c>
      <c r="B2052" t="s">
        <v>9549</v>
      </c>
      <c r="C2052" t="s">
        <v>6872</v>
      </c>
      <c r="D2052">
        <v>18</v>
      </c>
      <c r="E2052">
        <v>0</v>
      </c>
    </row>
    <row r="2053" spans="1:5" x14ac:dyDescent="0.25">
      <c r="A2053" s="32">
        <v>2061</v>
      </c>
      <c r="B2053" s="32" t="s">
        <v>9549</v>
      </c>
      <c r="C2053" s="32" t="s">
        <v>6874</v>
      </c>
      <c r="D2053" s="32">
        <v>2</v>
      </c>
      <c r="E2053" s="32">
        <v>0</v>
      </c>
    </row>
    <row r="2054" spans="1:5" x14ac:dyDescent="0.25">
      <c r="A2054">
        <v>2062</v>
      </c>
      <c r="B2054" t="s">
        <v>9549</v>
      </c>
      <c r="C2054" t="s">
        <v>72</v>
      </c>
      <c r="D2054">
        <v>39</v>
      </c>
      <c r="E2054">
        <v>0</v>
      </c>
    </row>
    <row r="2055" spans="1:5" x14ac:dyDescent="0.25">
      <c r="A2055" s="32">
        <v>2063</v>
      </c>
      <c r="B2055" s="32" t="s">
        <v>9549</v>
      </c>
      <c r="C2055" s="32" t="s">
        <v>6877</v>
      </c>
      <c r="D2055" s="32">
        <v>6</v>
      </c>
      <c r="E2055" s="32">
        <v>0</v>
      </c>
    </row>
    <row r="2056" spans="1:5" x14ac:dyDescent="0.25">
      <c r="A2056">
        <v>2064</v>
      </c>
      <c r="B2056" t="s">
        <v>9549</v>
      </c>
      <c r="C2056" t="s">
        <v>6879</v>
      </c>
      <c r="D2056">
        <v>9</v>
      </c>
      <c r="E2056">
        <v>0</v>
      </c>
    </row>
    <row r="2057" spans="1:5" x14ac:dyDescent="0.25">
      <c r="A2057" s="32">
        <v>2065</v>
      </c>
      <c r="B2057" s="32" t="s">
        <v>9549</v>
      </c>
      <c r="C2057" s="32" t="s">
        <v>6881</v>
      </c>
      <c r="D2057" s="32">
        <v>6</v>
      </c>
      <c r="E2057" s="32">
        <v>0</v>
      </c>
    </row>
    <row r="2058" spans="1:5" x14ac:dyDescent="0.25">
      <c r="A2058">
        <v>2066</v>
      </c>
      <c r="B2058" t="s">
        <v>9550</v>
      </c>
      <c r="C2058" t="s">
        <v>6883</v>
      </c>
      <c r="D2058">
        <v>4</v>
      </c>
      <c r="E2058">
        <v>0</v>
      </c>
    </row>
    <row r="2059" spans="1:5" x14ac:dyDescent="0.25">
      <c r="A2059" s="32">
        <v>2067</v>
      </c>
      <c r="B2059" s="32" t="s">
        <v>9550</v>
      </c>
      <c r="C2059" s="32" t="s">
        <v>6885</v>
      </c>
      <c r="D2059" s="32">
        <v>24</v>
      </c>
      <c r="E2059" s="32">
        <v>0</v>
      </c>
    </row>
    <row r="2060" spans="1:5" x14ac:dyDescent="0.25">
      <c r="A2060">
        <v>2068</v>
      </c>
      <c r="B2060" t="s">
        <v>9550</v>
      </c>
      <c r="C2060" t="s">
        <v>6887</v>
      </c>
      <c r="D2060">
        <v>16</v>
      </c>
      <c r="E2060">
        <v>0</v>
      </c>
    </row>
    <row r="2061" spans="1:5" x14ac:dyDescent="0.25">
      <c r="A2061" s="32">
        <v>2069</v>
      </c>
      <c r="B2061" s="32" t="s">
        <v>9550</v>
      </c>
      <c r="C2061" s="32" t="s">
        <v>6889</v>
      </c>
      <c r="D2061" s="32">
        <v>16</v>
      </c>
      <c r="E2061" s="32">
        <v>0</v>
      </c>
    </row>
    <row r="2062" spans="1:5" x14ac:dyDescent="0.25">
      <c r="A2062">
        <v>2070</v>
      </c>
      <c r="B2062" t="s">
        <v>9550</v>
      </c>
      <c r="C2062" t="s">
        <v>91</v>
      </c>
      <c r="D2062">
        <v>48</v>
      </c>
      <c r="E2062">
        <v>0</v>
      </c>
    </row>
    <row r="2063" spans="1:5" x14ac:dyDescent="0.25">
      <c r="A2063" s="32">
        <v>2071</v>
      </c>
      <c r="B2063" s="32" t="s">
        <v>9550</v>
      </c>
      <c r="C2063" s="32" t="s">
        <v>6892</v>
      </c>
      <c r="D2063" s="32">
        <v>16</v>
      </c>
      <c r="E2063" s="32">
        <v>0</v>
      </c>
    </row>
    <row r="2064" spans="1:5" x14ac:dyDescent="0.25">
      <c r="A2064">
        <v>2072</v>
      </c>
      <c r="B2064" t="s">
        <v>9550</v>
      </c>
      <c r="C2064" t="s">
        <v>6894</v>
      </c>
      <c r="D2064">
        <v>8</v>
      </c>
      <c r="E2064">
        <v>0</v>
      </c>
    </row>
    <row r="2065" spans="1:5" x14ac:dyDescent="0.25">
      <c r="A2065" s="32">
        <v>2073</v>
      </c>
      <c r="B2065" s="32" t="s">
        <v>9550</v>
      </c>
      <c r="C2065" s="32" t="s">
        <v>6896</v>
      </c>
      <c r="D2065" s="32">
        <v>32</v>
      </c>
      <c r="E2065" s="32">
        <v>0</v>
      </c>
    </row>
    <row r="2066" spans="1:5" x14ac:dyDescent="0.25">
      <c r="A2066">
        <v>2074</v>
      </c>
      <c r="B2066" t="s">
        <v>9550</v>
      </c>
      <c r="C2066" t="s">
        <v>76</v>
      </c>
      <c r="D2066">
        <v>12</v>
      </c>
      <c r="E2066">
        <v>0</v>
      </c>
    </row>
    <row r="2067" spans="1:5" x14ac:dyDescent="0.25">
      <c r="A2067" s="32">
        <v>2075</v>
      </c>
      <c r="B2067" s="32" t="s">
        <v>9550</v>
      </c>
      <c r="C2067" s="32" t="s">
        <v>100</v>
      </c>
      <c r="D2067" s="32">
        <v>9</v>
      </c>
      <c r="E2067" s="32">
        <v>0</v>
      </c>
    </row>
    <row r="2068" spans="1:5" x14ac:dyDescent="0.25">
      <c r="A2068">
        <v>2076</v>
      </c>
      <c r="B2068" t="s">
        <v>9550</v>
      </c>
      <c r="C2068" t="s">
        <v>96</v>
      </c>
      <c r="D2068">
        <v>2</v>
      </c>
      <c r="E2068">
        <v>0</v>
      </c>
    </row>
    <row r="2069" spans="1:5" x14ac:dyDescent="0.25">
      <c r="A2069" s="32">
        <v>2077</v>
      </c>
      <c r="B2069" s="32" t="s">
        <v>9550</v>
      </c>
      <c r="C2069" s="32" t="s">
        <v>6901</v>
      </c>
      <c r="D2069" s="32">
        <v>3</v>
      </c>
      <c r="E2069" s="32">
        <v>0</v>
      </c>
    </row>
    <row r="2070" spans="1:5" x14ac:dyDescent="0.25">
      <c r="A2070">
        <v>2078</v>
      </c>
      <c r="B2070" t="s">
        <v>9550</v>
      </c>
      <c r="C2070" t="s">
        <v>21</v>
      </c>
      <c r="D2070">
        <v>3</v>
      </c>
      <c r="E2070">
        <v>0</v>
      </c>
    </row>
    <row r="2071" spans="1:5" x14ac:dyDescent="0.25">
      <c r="A2071" s="32">
        <v>2079</v>
      </c>
      <c r="B2071" s="32" t="s">
        <v>9550</v>
      </c>
      <c r="C2071" s="32" t="s">
        <v>6904</v>
      </c>
      <c r="D2071" s="32">
        <v>24</v>
      </c>
      <c r="E2071" s="32">
        <v>0</v>
      </c>
    </row>
    <row r="2072" spans="1:5" x14ac:dyDescent="0.25">
      <c r="A2072">
        <v>2080</v>
      </c>
      <c r="B2072" t="s">
        <v>9550</v>
      </c>
      <c r="C2072" t="s">
        <v>52</v>
      </c>
      <c r="D2072">
        <v>30</v>
      </c>
      <c r="E2072">
        <v>0</v>
      </c>
    </row>
    <row r="2073" spans="1:5" x14ac:dyDescent="0.25">
      <c r="A2073" s="32">
        <v>2081</v>
      </c>
      <c r="B2073" s="32" t="s">
        <v>9550</v>
      </c>
      <c r="C2073" s="32" t="s">
        <v>63</v>
      </c>
      <c r="D2073" s="32">
        <v>2</v>
      </c>
      <c r="E2073" s="32">
        <v>0</v>
      </c>
    </row>
    <row r="2074" spans="1:5" x14ac:dyDescent="0.25">
      <c r="A2074">
        <v>2082</v>
      </c>
      <c r="B2074" t="s">
        <v>9550</v>
      </c>
      <c r="C2074" t="s">
        <v>6908</v>
      </c>
      <c r="D2074">
        <v>20</v>
      </c>
      <c r="E2074">
        <v>0</v>
      </c>
    </row>
    <row r="2075" spans="1:5" x14ac:dyDescent="0.25">
      <c r="A2075" s="32">
        <v>2083</v>
      </c>
      <c r="B2075" s="32" t="s">
        <v>9550</v>
      </c>
      <c r="C2075" s="32" t="s">
        <v>19</v>
      </c>
      <c r="D2075" s="32">
        <v>144</v>
      </c>
      <c r="E2075" s="32">
        <v>0</v>
      </c>
    </row>
    <row r="2076" spans="1:5" x14ac:dyDescent="0.25">
      <c r="A2076">
        <v>2084</v>
      </c>
      <c r="B2076" t="s">
        <v>9550</v>
      </c>
      <c r="C2076" t="s">
        <v>108</v>
      </c>
      <c r="D2076">
        <v>24</v>
      </c>
      <c r="E2076">
        <v>0</v>
      </c>
    </row>
    <row r="2077" spans="1:5" x14ac:dyDescent="0.25">
      <c r="A2077" s="32">
        <v>2085</v>
      </c>
      <c r="B2077" s="32" t="s">
        <v>9551</v>
      </c>
      <c r="C2077" s="32" t="s">
        <v>20</v>
      </c>
      <c r="D2077" s="32">
        <v>96</v>
      </c>
      <c r="E2077" s="32">
        <v>0</v>
      </c>
    </row>
    <row r="2078" spans="1:5" x14ac:dyDescent="0.25">
      <c r="A2078">
        <v>2086</v>
      </c>
      <c r="B2078" t="s">
        <v>9552</v>
      </c>
      <c r="C2078" t="s">
        <v>88</v>
      </c>
      <c r="D2078">
        <v>432</v>
      </c>
      <c r="E2078">
        <v>0</v>
      </c>
    </row>
    <row r="2079" spans="1:5" x14ac:dyDescent="0.25">
      <c r="A2079" s="32">
        <v>2087</v>
      </c>
      <c r="B2079" s="32" t="s">
        <v>9552</v>
      </c>
      <c r="C2079" s="32" t="s">
        <v>57</v>
      </c>
      <c r="D2079" s="32">
        <v>48</v>
      </c>
      <c r="E2079" s="32">
        <v>0</v>
      </c>
    </row>
    <row r="2080" spans="1:5" x14ac:dyDescent="0.25">
      <c r="A2080">
        <v>2088</v>
      </c>
      <c r="B2080" t="s">
        <v>9552</v>
      </c>
      <c r="C2080" t="s">
        <v>64</v>
      </c>
      <c r="D2080">
        <v>96</v>
      </c>
      <c r="E2080">
        <v>0</v>
      </c>
    </row>
    <row r="2081" spans="1:5" x14ac:dyDescent="0.25">
      <c r="A2081" s="32">
        <v>2089</v>
      </c>
      <c r="B2081" s="32" t="s">
        <v>9552</v>
      </c>
      <c r="C2081" s="32" t="s">
        <v>25</v>
      </c>
      <c r="D2081" s="32">
        <v>216</v>
      </c>
      <c r="E2081" s="32">
        <v>0</v>
      </c>
    </row>
    <row r="2082" spans="1:5" x14ac:dyDescent="0.25">
      <c r="A2082">
        <v>2090</v>
      </c>
      <c r="B2082" t="s">
        <v>9552</v>
      </c>
      <c r="C2082" t="s">
        <v>6917</v>
      </c>
      <c r="D2082">
        <v>32</v>
      </c>
      <c r="E2082">
        <v>0</v>
      </c>
    </row>
    <row r="2083" spans="1:5" x14ac:dyDescent="0.25">
      <c r="A2083" s="32">
        <v>2091</v>
      </c>
      <c r="B2083" s="32" t="s">
        <v>9552</v>
      </c>
      <c r="C2083" s="32" t="s">
        <v>23</v>
      </c>
      <c r="D2083" s="32">
        <v>16</v>
      </c>
      <c r="E2083" s="32">
        <v>0</v>
      </c>
    </row>
    <row r="2084" spans="1:5" x14ac:dyDescent="0.25">
      <c r="A2084">
        <v>2092</v>
      </c>
      <c r="B2084" t="s">
        <v>9552</v>
      </c>
      <c r="C2084" t="s">
        <v>93</v>
      </c>
      <c r="D2084">
        <v>48</v>
      </c>
      <c r="E2084">
        <v>0</v>
      </c>
    </row>
    <row r="2085" spans="1:5" x14ac:dyDescent="0.25">
      <c r="A2085" s="32">
        <v>2093</v>
      </c>
      <c r="B2085" s="32" t="s">
        <v>9552</v>
      </c>
      <c r="C2085" s="32" t="s">
        <v>24</v>
      </c>
      <c r="D2085" s="32">
        <v>96</v>
      </c>
      <c r="E2085" s="32">
        <v>0</v>
      </c>
    </row>
    <row r="2086" spans="1:5" x14ac:dyDescent="0.25">
      <c r="A2086">
        <v>2094</v>
      </c>
      <c r="B2086" t="s">
        <v>9553</v>
      </c>
      <c r="C2086" t="s">
        <v>83</v>
      </c>
      <c r="D2086">
        <v>180</v>
      </c>
      <c r="E2086">
        <v>0</v>
      </c>
    </row>
    <row r="2087" spans="1:5" x14ac:dyDescent="0.25">
      <c r="A2087" s="32">
        <v>2095</v>
      </c>
      <c r="B2087" s="32" t="s">
        <v>9554</v>
      </c>
      <c r="C2087" s="32" t="s">
        <v>56</v>
      </c>
      <c r="D2087" s="32">
        <v>200</v>
      </c>
      <c r="E2087" s="32">
        <v>0</v>
      </c>
    </row>
    <row r="2088" spans="1:5" x14ac:dyDescent="0.25">
      <c r="A2088">
        <v>2096</v>
      </c>
      <c r="B2088" t="s">
        <v>9554</v>
      </c>
      <c r="C2088" t="s">
        <v>68</v>
      </c>
      <c r="D2088">
        <v>200</v>
      </c>
      <c r="E2088">
        <v>0</v>
      </c>
    </row>
    <row r="2089" spans="1:5" x14ac:dyDescent="0.25">
      <c r="A2089" s="32">
        <v>2097</v>
      </c>
      <c r="B2089" s="32" t="s">
        <v>9554</v>
      </c>
      <c r="C2089" s="32" t="s">
        <v>49</v>
      </c>
      <c r="D2089" s="32">
        <v>200</v>
      </c>
      <c r="E2089" s="32">
        <v>0</v>
      </c>
    </row>
    <row r="2090" spans="1:5" x14ac:dyDescent="0.25">
      <c r="A2090">
        <v>2098</v>
      </c>
      <c r="B2090" t="s">
        <v>9555</v>
      </c>
      <c r="C2090" t="s">
        <v>6925</v>
      </c>
      <c r="D2090">
        <v>720</v>
      </c>
      <c r="E2090">
        <v>0</v>
      </c>
    </row>
    <row r="2091" spans="1:5" ht="15.75" thickBot="1" x14ac:dyDescent="0.3">
      <c r="A2091">
        <v>2099</v>
      </c>
      <c r="B2091" s="35" t="s">
        <v>9555</v>
      </c>
      <c r="C2091" s="35" t="s">
        <v>51</v>
      </c>
      <c r="D2091" s="35">
        <v>280</v>
      </c>
      <c r="E2091" s="35">
        <v>0</v>
      </c>
    </row>
  </sheetData>
  <autoFilter ref="A1:E2091" xr:uid="{E7DFB684-61D8-4A7A-A3E6-B9AD8AD4CC50}"/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963C-9CE1-4BA0-9301-B3175007165D}">
  <sheetPr codeName="Feuil4"/>
  <dimension ref="A1:K2500"/>
  <sheetViews>
    <sheetView workbookViewId="0">
      <selection activeCell="K1" sqref="K1:K1048576"/>
    </sheetView>
  </sheetViews>
  <sheetFormatPr baseColWidth="10" defaultRowHeight="15" x14ac:dyDescent="0.25"/>
  <cols>
    <col min="1" max="1" width="10.5703125" bestFit="1" customWidth="1"/>
    <col min="2" max="2" width="20.85546875" bestFit="1" customWidth="1"/>
    <col min="3" max="3" width="49.42578125" bestFit="1" customWidth="1"/>
    <col min="4" max="4" width="54.7109375" bestFit="1" customWidth="1"/>
    <col min="5" max="5" width="15.28515625" bestFit="1" customWidth="1"/>
    <col min="6" max="6" width="44.42578125" bestFit="1" customWidth="1"/>
    <col min="7" max="7" width="17.85546875" bestFit="1" customWidth="1"/>
    <col min="8" max="8" width="13.7109375" bestFit="1" customWidth="1"/>
    <col min="9" max="9" width="19.140625" bestFit="1" customWidth="1"/>
    <col min="10" max="10" width="23.5703125" bestFit="1" customWidth="1"/>
    <col min="11" max="11" width="12.42578125" bestFit="1" customWidth="1"/>
  </cols>
  <sheetData>
    <row r="1" spans="1:11" x14ac:dyDescent="0.25">
      <c r="A1" s="7" t="s">
        <v>125</v>
      </c>
      <c r="B1" s="7" t="s">
        <v>128</v>
      </c>
      <c r="C1" s="7" t="s">
        <v>129</v>
      </c>
      <c r="D1" s="7" t="s">
        <v>130</v>
      </c>
      <c r="E1" s="7" t="s">
        <v>131</v>
      </c>
      <c r="F1" s="7" t="s">
        <v>132</v>
      </c>
      <c r="G1" s="7" t="s">
        <v>133</v>
      </c>
      <c r="H1" s="7" t="s">
        <v>134</v>
      </c>
      <c r="I1" s="7" t="s">
        <v>135</v>
      </c>
      <c r="J1" s="7" t="s">
        <v>136</v>
      </c>
      <c r="K1" s="7" t="s">
        <v>137</v>
      </c>
    </row>
    <row r="2" spans="1:11" x14ac:dyDescent="0.25">
      <c r="A2" s="8">
        <v>7</v>
      </c>
      <c r="B2" s="9" t="s">
        <v>8428</v>
      </c>
      <c r="C2" s="9" t="s">
        <v>138</v>
      </c>
      <c r="D2" s="9" t="s">
        <v>139</v>
      </c>
      <c r="E2" s="9" t="s">
        <v>140</v>
      </c>
      <c r="F2" s="9" t="s">
        <v>141</v>
      </c>
      <c r="G2" s="9" t="s">
        <v>142</v>
      </c>
      <c r="H2" s="9" t="s">
        <v>139</v>
      </c>
      <c r="I2" s="9" t="s">
        <v>143</v>
      </c>
      <c r="J2" s="9" t="s">
        <v>139</v>
      </c>
      <c r="K2" s="10">
        <v>37104</v>
      </c>
    </row>
    <row r="3" spans="1:11" x14ac:dyDescent="0.25">
      <c r="A3" s="8">
        <v>8</v>
      </c>
      <c r="B3" s="9" t="s">
        <v>8429</v>
      </c>
      <c r="C3" s="9" t="s">
        <v>144</v>
      </c>
      <c r="D3" s="9" t="s">
        <v>139</v>
      </c>
      <c r="E3" s="9" t="s">
        <v>145</v>
      </c>
      <c r="F3" s="9" t="s">
        <v>141</v>
      </c>
      <c r="G3" s="9" t="s">
        <v>142</v>
      </c>
      <c r="H3" s="9" t="s">
        <v>139</v>
      </c>
      <c r="I3" s="9" t="s">
        <v>143</v>
      </c>
      <c r="J3" s="9" t="s">
        <v>139</v>
      </c>
      <c r="K3" s="10">
        <v>37104</v>
      </c>
    </row>
    <row r="4" spans="1:11" x14ac:dyDescent="0.25">
      <c r="A4" s="8">
        <v>9</v>
      </c>
      <c r="B4" s="9" t="s">
        <v>8430</v>
      </c>
      <c r="C4" s="9" t="s">
        <v>146</v>
      </c>
      <c r="D4" s="9" t="s">
        <v>139</v>
      </c>
      <c r="E4" s="9" t="s">
        <v>147</v>
      </c>
      <c r="F4" s="9" t="s">
        <v>141</v>
      </c>
      <c r="G4" s="9" t="s">
        <v>142</v>
      </c>
      <c r="H4" s="9" t="s">
        <v>139</v>
      </c>
      <c r="I4" s="9" t="s">
        <v>143</v>
      </c>
      <c r="J4" s="9" t="s">
        <v>139</v>
      </c>
      <c r="K4" s="10">
        <v>37104</v>
      </c>
    </row>
    <row r="5" spans="1:11" x14ac:dyDescent="0.25">
      <c r="A5" s="8">
        <v>10</v>
      </c>
      <c r="B5" s="9" t="s">
        <v>8431</v>
      </c>
      <c r="C5" s="9" t="s">
        <v>148</v>
      </c>
      <c r="D5" s="9" t="s">
        <v>139</v>
      </c>
      <c r="E5" s="9" t="s">
        <v>149</v>
      </c>
      <c r="F5" s="9" t="s">
        <v>141</v>
      </c>
      <c r="G5" s="9" t="s">
        <v>142</v>
      </c>
      <c r="H5" s="9" t="s">
        <v>139</v>
      </c>
      <c r="I5" s="9" t="s">
        <v>143</v>
      </c>
      <c r="J5" s="9" t="s">
        <v>139</v>
      </c>
      <c r="K5" s="10">
        <v>37104</v>
      </c>
    </row>
    <row r="6" spans="1:11" x14ac:dyDescent="0.25">
      <c r="A6" s="8">
        <v>11</v>
      </c>
      <c r="B6" s="9" t="s">
        <v>8432</v>
      </c>
      <c r="C6" s="9" t="s">
        <v>150</v>
      </c>
      <c r="D6" s="9" t="s">
        <v>139</v>
      </c>
      <c r="E6" s="9" t="s">
        <v>151</v>
      </c>
      <c r="F6" s="9" t="s">
        <v>152</v>
      </c>
      <c r="G6" s="9" t="s">
        <v>142</v>
      </c>
      <c r="H6" s="9" t="s">
        <v>139</v>
      </c>
      <c r="I6" s="9" t="s">
        <v>143</v>
      </c>
      <c r="J6" s="9" t="s">
        <v>139</v>
      </c>
      <c r="K6" s="10">
        <v>37104</v>
      </c>
    </row>
    <row r="7" spans="1:11" x14ac:dyDescent="0.25">
      <c r="A7" s="8">
        <v>12</v>
      </c>
      <c r="B7" s="9" t="s">
        <v>8433</v>
      </c>
      <c r="C7" s="9" t="s">
        <v>153</v>
      </c>
      <c r="D7" s="9" t="s">
        <v>139</v>
      </c>
      <c r="E7" s="9" t="s">
        <v>154</v>
      </c>
      <c r="F7" s="9" t="s">
        <v>155</v>
      </c>
      <c r="G7" s="9" t="s">
        <v>142</v>
      </c>
      <c r="H7" s="9" t="s">
        <v>139</v>
      </c>
      <c r="I7" s="9" t="s">
        <v>143</v>
      </c>
      <c r="J7" s="9" t="s">
        <v>139</v>
      </c>
      <c r="K7" s="10">
        <v>37104</v>
      </c>
    </row>
    <row r="8" spans="1:11" x14ac:dyDescent="0.25">
      <c r="A8" s="8">
        <v>15</v>
      </c>
      <c r="B8" s="9" t="s">
        <v>8434</v>
      </c>
      <c r="C8" s="9" t="s">
        <v>156</v>
      </c>
      <c r="D8" s="9" t="s">
        <v>139</v>
      </c>
      <c r="E8" s="9" t="s">
        <v>145</v>
      </c>
      <c r="F8" s="9" t="s">
        <v>141</v>
      </c>
      <c r="G8" s="9" t="s">
        <v>142</v>
      </c>
      <c r="H8" s="9" t="s">
        <v>139</v>
      </c>
      <c r="I8" s="9" t="s">
        <v>143</v>
      </c>
      <c r="J8" s="9" t="s">
        <v>139</v>
      </c>
      <c r="K8" s="10">
        <v>37104</v>
      </c>
    </row>
    <row r="9" spans="1:11" x14ac:dyDescent="0.25">
      <c r="A9" s="8">
        <v>19</v>
      </c>
      <c r="B9" s="9" t="s">
        <v>8435</v>
      </c>
      <c r="C9" s="9" t="s">
        <v>157</v>
      </c>
      <c r="D9" s="9" t="s">
        <v>139</v>
      </c>
      <c r="E9" s="9" t="s">
        <v>158</v>
      </c>
      <c r="F9" s="9" t="s">
        <v>159</v>
      </c>
      <c r="G9" s="9" t="s">
        <v>142</v>
      </c>
      <c r="H9" s="9" t="s">
        <v>139</v>
      </c>
      <c r="I9" s="9" t="s">
        <v>143</v>
      </c>
      <c r="J9" s="9" t="s">
        <v>139</v>
      </c>
      <c r="K9" s="10">
        <v>37104</v>
      </c>
    </row>
    <row r="10" spans="1:11" x14ac:dyDescent="0.25">
      <c r="A10" s="8">
        <v>20</v>
      </c>
      <c r="B10" s="9" t="s">
        <v>8436</v>
      </c>
      <c r="C10" s="9" t="s">
        <v>160</v>
      </c>
      <c r="D10" s="9" t="s">
        <v>139</v>
      </c>
      <c r="E10" s="9" t="s">
        <v>161</v>
      </c>
      <c r="F10" s="9" t="s">
        <v>9304</v>
      </c>
      <c r="G10" s="9" t="s">
        <v>142</v>
      </c>
      <c r="H10" s="9" t="s">
        <v>139</v>
      </c>
      <c r="I10" s="9" t="s">
        <v>143</v>
      </c>
      <c r="J10" s="9" t="s">
        <v>139</v>
      </c>
      <c r="K10" s="10">
        <v>37104</v>
      </c>
    </row>
    <row r="11" spans="1:11" x14ac:dyDescent="0.25">
      <c r="A11" s="8">
        <v>21</v>
      </c>
      <c r="B11" s="9" t="s">
        <v>8437</v>
      </c>
      <c r="C11" s="9" t="s">
        <v>162</v>
      </c>
      <c r="D11" s="9" t="s">
        <v>139</v>
      </c>
      <c r="E11" s="9" t="s">
        <v>163</v>
      </c>
      <c r="F11" s="9" t="s">
        <v>141</v>
      </c>
      <c r="G11" s="9" t="s">
        <v>142</v>
      </c>
      <c r="H11" s="9" t="s">
        <v>139</v>
      </c>
      <c r="I11" s="9" t="s">
        <v>143</v>
      </c>
      <c r="J11" s="9" t="s">
        <v>139</v>
      </c>
      <c r="K11" s="10">
        <v>37104</v>
      </c>
    </row>
    <row r="12" spans="1:11" x14ac:dyDescent="0.25">
      <c r="A12" s="8">
        <v>22</v>
      </c>
      <c r="B12" s="9" t="s">
        <v>8438</v>
      </c>
      <c r="C12" s="9" t="s">
        <v>164</v>
      </c>
      <c r="D12" s="9" t="s">
        <v>139</v>
      </c>
      <c r="E12" s="9" t="s">
        <v>140</v>
      </c>
      <c r="F12" s="9" t="s">
        <v>141</v>
      </c>
      <c r="G12" s="9" t="s">
        <v>142</v>
      </c>
      <c r="H12" s="9" t="s">
        <v>139</v>
      </c>
      <c r="I12" s="9" t="s">
        <v>143</v>
      </c>
      <c r="J12" s="9" t="s">
        <v>139</v>
      </c>
      <c r="K12" s="10">
        <v>37104</v>
      </c>
    </row>
    <row r="13" spans="1:11" x14ac:dyDescent="0.25">
      <c r="A13" s="8">
        <v>23</v>
      </c>
      <c r="B13" s="9" t="s">
        <v>8439</v>
      </c>
      <c r="C13" s="9" t="s">
        <v>165</v>
      </c>
      <c r="D13" s="9" t="s">
        <v>139</v>
      </c>
      <c r="E13" s="9" t="s">
        <v>140</v>
      </c>
      <c r="F13" s="9" t="s">
        <v>141</v>
      </c>
      <c r="G13" s="9" t="s">
        <v>142</v>
      </c>
      <c r="H13" s="9" t="s">
        <v>166</v>
      </c>
      <c r="I13" s="9" t="s">
        <v>143</v>
      </c>
      <c r="J13" s="9" t="s">
        <v>139</v>
      </c>
      <c r="K13" s="10">
        <v>37104</v>
      </c>
    </row>
    <row r="14" spans="1:11" x14ac:dyDescent="0.25">
      <c r="A14" s="8">
        <v>25</v>
      </c>
      <c r="B14" s="9" t="s">
        <v>8440</v>
      </c>
      <c r="C14" s="9" t="s">
        <v>167</v>
      </c>
      <c r="D14" s="9" t="s">
        <v>139</v>
      </c>
      <c r="E14" s="9" t="s">
        <v>168</v>
      </c>
      <c r="F14" s="9" t="s">
        <v>169</v>
      </c>
      <c r="G14" s="9" t="s">
        <v>142</v>
      </c>
      <c r="H14" s="9" t="s">
        <v>139</v>
      </c>
      <c r="I14" s="9" t="s">
        <v>143</v>
      </c>
      <c r="J14" s="9" t="s">
        <v>139</v>
      </c>
      <c r="K14" s="10">
        <v>37104</v>
      </c>
    </row>
    <row r="15" spans="1:11" x14ac:dyDescent="0.25">
      <c r="A15" s="8">
        <v>26</v>
      </c>
      <c r="B15" s="9" t="s">
        <v>8441</v>
      </c>
      <c r="C15" s="9" t="s">
        <v>170</v>
      </c>
      <c r="D15" s="9" t="s">
        <v>139</v>
      </c>
      <c r="E15" s="9" t="s">
        <v>171</v>
      </c>
      <c r="F15" s="9" t="s">
        <v>172</v>
      </c>
      <c r="G15" s="9" t="s">
        <v>142</v>
      </c>
      <c r="H15" s="9" t="s">
        <v>139</v>
      </c>
      <c r="I15" s="9" t="s">
        <v>143</v>
      </c>
      <c r="J15" s="9" t="s">
        <v>139</v>
      </c>
      <c r="K15" s="10">
        <v>37104</v>
      </c>
    </row>
    <row r="16" spans="1:11" x14ac:dyDescent="0.25">
      <c r="A16" s="8">
        <v>27</v>
      </c>
      <c r="B16" s="9" t="s">
        <v>8442</v>
      </c>
      <c r="C16" s="9" t="s">
        <v>173</v>
      </c>
      <c r="D16" s="9" t="s">
        <v>139</v>
      </c>
      <c r="E16" s="9" t="s">
        <v>174</v>
      </c>
      <c r="F16" s="9" t="s">
        <v>175</v>
      </c>
      <c r="G16" s="9" t="s">
        <v>142</v>
      </c>
      <c r="H16" s="9" t="s">
        <v>139</v>
      </c>
      <c r="I16" s="9" t="s">
        <v>143</v>
      </c>
      <c r="J16" s="9" t="s">
        <v>139</v>
      </c>
      <c r="K16" s="10">
        <v>37104</v>
      </c>
    </row>
    <row r="17" spans="1:11" x14ac:dyDescent="0.25">
      <c r="A17" s="8">
        <v>33</v>
      </c>
      <c r="B17" s="9" t="s">
        <v>8443</v>
      </c>
      <c r="C17" s="9" t="s">
        <v>176</v>
      </c>
      <c r="D17" s="9" t="s">
        <v>139</v>
      </c>
      <c r="E17" s="9" t="s">
        <v>177</v>
      </c>
      <c r="F17" s="9" t="s">
        <v>178</v>
      </c>
      <c r="G17" s="9" t="s">
        <v>142</v>
      </c>
      <c r="H17" s="9" t="s">
        <v>139</v>
      </c>
      <c r="I17" s="9" t="s">
        <v>143</v>
      </c>
      <c r="J17" s="9" t="s">
        <v>139</v>
      </c>
      <c r="K17" s="10">
        <v>37104</v>
      </c>
    </row>
    <row r="18" spans="1:11" x14ac:dyDescent="0.25">
      <c r="A18" s="8">
        <v>38</v>
      </c>
      <c r="B18" s="9" t="s">
        <v>8444</v>
      </c>
      <c r="C18" s="9" t="s">
        <v>179</v>
      </c>
      <c r="D18" s="9" t="s">
        <v>139</v>
      </c>
      <c r="E18" s="9" t="s">
        <v>180</v>
      </c>
      <c r="F18" s="9" t="s">
        <v>141</v>
      </c>
      <c r="G18" s="9" t="s">
        <v>142</v>
      </c>
      <c r="H18" s="9" t="s">
        <v>139</v>
      </c>
      <c r="I18" s="9" t="s">
        <v>143</v>
      </c>
      <c r="J18" s="9" t="s">
        <v>139</v>
      </c>
      <c r="K18" s="10">
        <v>37104</v>
      </c>
    </row>
    <row r="19" spans="1:11" x14ac:dyDescent="0.25">
      <c r="A19" s="8">
        <v>42</v>
      </c>
      <c r="B19" s="9" t="s">
        <v>8445</v>
      </c>
      <c r="C19" s="9" t="s">
        <v>181</v>
      </c>
      <c r="D19" s="9" t="s">
        <v>139</v>
      </c>
      <c r="E19" s="9" t="s">
        <v>182</v>
      </c>
      <c r="F19" s="9" t="s">
        <v>183</v>
      </c>
      <c r="G19" s="9" t="s">
        <v>142</v>
      </c>
      <c r="H19" s="9" t="s">
        <v>139</v>
      </c>
      <c r="I19" s="9" t="s">
        <v>143</v>
      </c>
      <c r="J19" s="9" t="s">
        <v>139</v>
      </c>
      <c r="K19" s="10">
        <v>37104</v>
      </c>
    </row>
    <row r="20" spans="1:11" x14ac:dyDescent="0.25">
      <c r="A20" s="8">
        <v>43</v>
      </c>
      <c r="B20" s="9" t="s">
        <v>8446</v>
      </c>
      <c r="C20" s="9" t="s">
        <v>184</v>
      </c>
      <c r="D20" s="9" t="s">
        <v>139</v>
      </c>
      <c r="E20" s="9" t="s">
        <v>147</v>
      </c>
      <c r="F20" s="9" t="s">
        <v>141</v>
      </c>
      <c r="G20" s="9" t="s">
        <v>142</v>
      </c>
      <c r="H20" s="9" t="s">
        <v>139</v>
      </c>
      <c r="I20" s="9" t="s">
        <v>143</v>
      </c>
      <c r="J20" s="9" t="s">
        <v>139</v>
      </c>
      <c r="K20" s="10">
        <v>37104</v>
      </c>
    </row>
    <row r="21" spans="1:11" x14ac:dyDescent="0.25">
      <c r="A21" s="8">
        <v>48</v>
      </c>
      <c r="B21" s="9" t="s">
        <v>8447</v>
      </c>
      <c r="C21" s="9" t="s">
        <v>185</v>
      </c>
      <c r="D21" s="9" t="s">
        <v>139</v>
      </c>
      <c r="E21" s="9" t="s">
        <v>147</v>
      </c>
      <c r="F21" s="9" t="s">
        <v>141</v>
      </c>
      <c r="G21" s="9" t="s">
        <v>142</v>
      </c>
      <c r="H21" s="9" t="s">
        <v>139</v>
      </c>
      <c r="I21" s="9" t="s">
        <v>143</v>
      </c>
      <c r="J21" s="9" t="s">
        <v>139</v>
      </c>
      <c r="K21" s="10">
        <v>37104</v>
      </c>
    </row>
    <row r="22" spans="1:11" x14ac:dyDescent="0.25">
      <c r="A22" s="8">
        <v>51</v>
      </c>
      <c r="B22" s="9" t="s">
        <v>8448</v>
      </c>
      <c r="C22" s="9" t="s">
        <v>186</v>
      </c>
      <c r="D22" s="9" t="s">
        <v>139</v>
      </c>
      <c r="E22" s="9" t="s">
        <v>187</v>
      </c>
      <c r="F22" s="9" t="s">
        <v>188</v>
      </c>
      <c r="G22" s="9" t="s">
        <v>142</v>
      </c>
      <c r="H22" s="9" t="s">
        <v>139</v>
      </c>
      <c r="I22" s="9" t="s">
        <v>143</v>
      </c>
      <c r="J22" s="9" t="s">
        <v>139</v>
      </c>
      <c r="K22" s="10">
        <v>37104</v>
      </c>
    </row>
    <row r="23" spans="1:11" x14ac:dyDescent="0.25">
      <c r="A23" s="8">
        <v>53</v>
      </c>
      <c r="B23" s="9" t="s">
        <v>8449</v>
      </c>
      <c r="C23" s="9" t="s">
        <v>189</v>
      </c>
      <c r="D23" s="9" t="s">
        <v>139</v>
      </c>
      <c r="E23" s="9" t="s">
        <v>140</v>
      </c>
      <c r="F23" s="9" t="s">
        <v>141</v>
      </c>
      <c r="G23" s="9" t="s">
        <v>142</v>
      </c>
      <c r="H23" s="9" t="s">
        <v>139</v>
      </c>
      <c r="I23" s="9" t="s">
        <v>143</v>
      </c>
      <c r="J23" s="9" t="s">
        <v>139</v>
      </c>
      <c r="K23" s="10">
        <v>37104</v>
      </c>
    </row>
    <row r="24" spans="1:11" x14ac:dyDescent="0.25">
      <c r="A24" s="8">
        <v>56</v>
      </c>
      <c r="B24" s="9" t="s">
        <v>8450</v>
      </c>
      <c r="C24" s="9" t="s">
        <v>190</v>
      </c>
      <c r="D24" s="9" t="s">
        <v>139</v>
      </c>
      <c r="E24" s="9" t="s">
        <v>191</v>
      </c>
      <c r="F24" s="9" t="s">
        <v>141</v>
      </c>
      <c r="G24" s="9" t="s">
        <v>142</v>
      </c>
      <c r="H24" s="9" t="s">
        <v>139</v>
      </c>
      <c r="I24" s="9" t="s">
        <v>143</v>
      </c>
      <c r="J24" s="9" t="s">
        <v>139</v>
      </c>
      <c r="K24" s="10">
        <v>37104</v>
      </c>
    </row>
    <row r="25" spans="1:11" x14ac:dyDescent="0.25">
      <c r="A25" s="8">
        <v>61</v>
      </c>
      <c r="B25" s="9" t="s">
        <v>8451</v>
      </c>
      <c r="C25" s="9" t="s">
        <v>192</v>
      </c>
      <c r="D25" s="9" t="s">
        <v>139</v>
      </c>
      <c r="E25" s="9" t="s">
        <v>163</v>
      </c>
      <c r="F25" s="9" t="s">
        <v>141</v>
      </c>
      <c r="G25" s="9" t="s">
        <v>142</v>
      </c>
      <c r="H25" s="9" t="s">
        <v>139</v>
      </c>
      <c r="I25" s="9" t="s">
        <v>143</v>
      </c>
      <c r="J25" s="9" t="s">
        <v>139</v>
      </c>
      <c r="K25" s="10">
        <v>37104</v>
      </c>
    </row>
    <row r="26" spans="1:11" x14ac:dyDescent="0.25">
      <c r="A26" s="8">
        <v>62</v>
      </c>
      <c r="B26" s="9" t="s">
        <v>8452</v>
      </c>
      <c r="C26" s="9" t="s">
        <v>193</v>
      </c>
      <c r="D26" s="9" t="s">
        <v>139</v>
      </c>
      <c r="E26" s="9" t="s">
        <v>194</v>
      </c>
      <c r="F26" s="9" t="s">
        <v>195</v>
      </c>
      <c r="G26" s="9" t="s">
        <v>142</v>
      </c>
      <c r="H26" s="9" t="s">
        <v>139</v>
      </c>
      <c r="I26" s="9" t="s">
        <v>143</v>
      </c>
      <c r="J26" s="9" t="s">
        <v>139</v>
      </c>
      <c r="K26" s="10">
        <v>37104</v>
      </c>
    </row>
    <row r="27" spans="1:11" x14ac:dyDescent="0.25">
      <c r="A27" s="8">
        <v>63</v>
      </c>
      <c r="B27" s="9" t="s">
        <v>8453</v>
      </c>
      <c r="C27" s="9" t="s">
        <v>196</v>
      </c>
      <c r="D27" s="9" t="s">
        <v>139</v>
      </c>
      <c r="E27" s="9" t="s">
        <v>197</v>
      </c>
      <c r="F27" s="9" t="s">
        <v>141</v>
      </c>
      <c r="G27" s="9" t="s">
        <v>142</v>
      </c>
      <c r="H27" s="9" t="s">
        <v>139</v>
      </c>
      <c r="I27" s="9" t="s">
        <v>143</v>
      </c>
      <c r="J27" s="9" t="s">
        <v>139</v>
      </c>
      <c r="K27" s="10">
        <v>37104</v>
      </c>
    </row>
    <row r="28" spans="1:11" x14ac:dyDescent="0.25">
      <c r="A28" s="8">
        <v>64</v>
      </c>
      <c r="B28" s="9" t="s">
        <v>8454</v>
      </c>
      <c r="C28" s="9" t="s">
        <v>198</v>
      </c>
      <c r="D28" s="9" t="s">
        <v>139</v>
      </c>
      <c r="E28" s="9" t="s">
        <v>199</v>
      </c>
      <c r="F28" s="9" t="s">
        <v>200</v>
      </c>
      <c r="G28" s="9" t="s">
        <v>142</v>
      </c>
      <c r="H28" s="9" t="s">
        <v>139</v>
      </c>
      <c r="I28" s="9" t="s">
        <v>143</v>
      </c>
      <c r="J28" s="9" t="s">
        <v>139</v>
      </c>
      <c r="K28" s="10">
        <v>37104</v>
      </c>
    </row>
    <row r="29" spans="1:11" x14ac:dyDescent="0.25">
      <c r="A29" s="8">
        <v>66</v>
      </c>
      <c r="B29" s="9" t="s">
        <v>8455</v>
      </c>
      <c r="C29" s="9" t="s">
        <v>201</v>
      </c>
      <c r="D29" s="9" t="s">
        <v>139</v>
      </c>
      <c r="E29" s="9" t="s">
        <v>202</v>
      </c>
      <c r="F29" s="9" t="s">
        <v>141</v>
      </c>
      <c r="G29" s="9" t="s">
        <v>142</v>
      </c>
      <c r="H29" s="9" t="s">
        <v>139</v>
      </c>
      <c r="I29" s="9" t="s">
        <v>143</v>
      </c>
      <c r="J29" s="9" t="s">
        <v>139</v>
      </c>
      <c r="K29" s="10">
        <v>37104</v>
      </c>
    </row>
    <row r="30" spans="1:11" x14ac:dyDescent="0.25">
      <c r="A30" s="8">
        <v>69</v>
      </c>
      <c r="B30" s="9" t="s">
        <v>8456</v>
      </c>
      <c r="C30" s="9" t="s">
        <v>203</v>
      </c>
      <c r="D30" s="9" t="s">
        <v>139</v>
      </c>
      <c r="E30" s="9" t="s">
        <v>204</v>
      </c>
      <c r="F30" s="9" t="s">
        <v>205</v>
      </c>
      <c r="G30" s="9" t="s">
        <v>142</v>
      </c>
      <c r="H30" s="9" t="s">
        <v>139</v>
      </c>
      <c r="I30" s="9" t="s">
        <v>143</v>
      </c>
      <c r="J30" s="9" t="s">
        <v>139</v>
      </c>
      <c r="K30" s="10">
        <v>37104</v>
      </c>
    </row>
    <row r="31" spans="1:11" x14ac:dyDescent="0.25">
      <c r="A31" s="8">
        <v>76</v>
      </c>
      <c r="B31" s="9" t="s">
        <v>8457</v>
      </c>
      <c r="C31" s="9" t="s">
        <v>206</v>
      </c>
      <c r="D31" s="9" t="s">
        <v>139</v>
      </c>
      <c r="E31" s="9" t="s">
        <v>147</v>
      </c>
      <c r="F31" s="9" t="s">
        <v>141</v>
      </c>
      <c r="G31" s="9" t="s">
        <v>142</v>
      </c>
      <c r="H31" s="9" t="s">
        <v>139</v>
      </c>
      <c r="I31" s="9" t="s">
        <v>143</v>
      </c>
      <c r="J31" s="9" t="s">
        <v>139</v>
      </c>
      <c r="K31" s="10">
        <v>37104</v>
      </c>
    </row>
    <row r="32" spans="1:11" x14ac:dyDescent="0.25">
      <c r="A32" s="8">
        <v>77</v>
      </c>
      <c r="B32" s="9" t="s">
        <v>8458</v>
      </c>
      <c r="C32" s="9" t="s">
        <v>207</v>
      </c>
      <c r="D32" s="9" t="s">
        <v>139</v>
      </c>
      <c r="E32" s="9" t="s">
        <v>194</v>
      </c>
      <c r="F32" s="9" t="s">
        <v>195</v>
      </c>
      <c r="G32" s="9" t="s">
        <v>142</v>
      </c>
      <c r="H32" s="9" t="s">
        <v>139</v>
      </c>
      <c r="I32" s="9" t="s">
        <v>143</v>
      </c>
      <c r="J32" s="9" t="s">
        <v>139</v>
      </c>
      <c r="K32" s="10">
        <v>37104</v>
      </c>
    </row>
    <row r="33" spans="1:11" x14ac:dyDescent="0.25">
      <c r="A33" s="8">
        <v>78</v>
      </c>
      <c r="B33" s="9" t="s">
        <v>8459</v>
      </c>
      <c r="C33" s="9" t="s">
        <v>208</v>
      </c>
      <c r="D33" s="9" t="s">
        <v>139</v>
      </c>
      <c r="E33" s="9" t="s">
        <v>197</v>
      </c>
      <c r="F33" s="9" t="s">
        <v>141</v>
      </c>
      <c r="G33" s="9" t="s">
        <v>142</v>
      </c>
      <c r="H33" s="9" t="s">
        <v>139</v>
      </c>
      <c r="I33" s="9" t="s">
        <v>143</v>
      </c>
      <c r="J33" s="9" t="s">
        <v>139</v>
      </c>
      <c r="K33" s="10">
        <v>37104</v>
      </c>
    </row>
    <row r="34" spans="1:11" x14ac:dyDescent="0.25">
      <c r="A34" s="8">
        <v>79</v>
      </c>
      <c r="B34" s="9" t="s">
        <v>8460</v>
      </c>
      <c r="C34" s="9" t="s">
        <v>209</v>
      </c>
      <c r="D34" s="9" t="s">
        <v>210</v>
      </c>
      <c r="E34" s="9" t="s">
        <v>161</v>
      </c>
      <c r="F34" s="9" t="s">
        <v>9305</v>
      </c>
      <c r="G34" s="9" t="s">
        <v>142</v>
      </c>
      <c r="H34" s="9" t="s">
        <v>139</v>
      </c>
      <c r="I34" s="9" t="s">
        <v>143</v>
      </c>
      <c r="J34" s="9" t="s">
        <v>139</v>
      </c>
      <c r="K34" s="10">
        <v>37104</v>
      </c>
    </row>
    <row r="35" spans="1:11" x14ac:dyDescent="0.25">
      <c r="A35" s="8">
        <v>82</v>
      </c>
      <c r="B35" s="9" t="s">
        <v>8461</v>
      </c>
      <c r="C35" s="9" t="s">
        <v>211</v>
      </c>
      <c r="D35" s="9" t="s">
        <v>139</v>
      </c>
      <c r="E35" s="9" t="s">
        <v>212</v>
      </c>
      <c r="F35" s="9" t="s">
        <v>141</v>
      </c>
      <c r="G35" s="9" t="s">
        <v>142</v>
      </c>
      <c r="H35" s="9" t="s">
        <v>166</v>
      </c>
      <c r="I35" s="9" t="s">
        <v>143</v>
      </c>
      <c r="J35" s="9" t="s">
        <v>139</v>
      </c>
      <c r="K35" s="10">
        <v>37104</v>
      </c>
    </row>
    <row r="36" spans="1:11" x14ac:dyDescent="0.25">
      <c r="A36" s="8">
        <v>83</v>
      </c>
      <c r="B36" s="9" t="s">
        <v>8462</v>
      </c>
      <c r="C36" s="9" t="s">
        <v>213</v>
      </c>
      <c r="D36" s="9" t="s">
        <v>5233</v>
      </c>
      <c r="E36" s="9" t="s">
        <v>214</v>
      </c>
      <c r="F36" s="9" t="s">
        <v>215</v>
      </c>
      <c r="G36" s="9" t="s">
        <v>142</v>
      </c>
      <c r="H36" s="9" t="s">
        <v>139</v>
      </c>
      <c r="I36" s="9" t="s">
        <v>143</v>
      </c>
      <c r="J36" s="9" t="s">
        <v>139</v>
      </c>
      <c r="K36" s="10">
        <v>37104</v>
      </c>
    </row>
    <row r="37" spans="1:11" x14ac:dyDescent="0.25">
      <c r="A37" s="8">
        <v>86</v>
      </c>
      <c r="B37" s="9" t="s">
        <v>8463</v>
      </c>
      <c r="C37" s="9" t="s">
        <v>216</v>
      </c>
      <c r="D37" s="9" t="s">
        <v>139</v>
      </c>
      <c r="E37" s="9" t="s">
        <v>191</v>
      </c>
      <c r="F37" s="9" t="s">
        <v>141</v>
      </c>
      <c r="G37" s="9" t="s">
        <v>142</v>
      </c>
      <c r="H37" s="9" t="s">
        <v>139</v>
      </c>
      <c r="I37" s="9" t="s">
        <v>143</v>
      </c>
      <c r="J37" s="9" t="s">
        <v>139</v>
      </c>
      <c r="K37" s="10">
        <v>37104</v>
      </c>
    </row>
    <row r="38" spans="1:11" x14ac:dyDescent="0.25">
      <c r="A38" s="8">
        <v>88</v>
      </c>
      <c r="B38" s="9" t="s">
        <v>8464</v>
      </c>
      <c r="C38" s="9" t="s">
        <v>217</v>
      </c>
      <c r="D38" s="9" t="s">
        <v>139</v>
      </c>
      <c r="E38" s="9" t="s">
        <v>218</v>
      </c>
      <c r="F38" s="9" t="s">
        <v>141</v>
      </c>
      <c r="G38" s="9" t="s">
        <v>142</v>
      </c>
      <c r="H38" s="9" t="s">
        <v>139</v>
      </c>
      <c r="I38" s="9" t="s">
        <v>143</v>
      </c>
      <c r="J38" s="9" t="s">
        <v>139</v>
      </c>
      <c r="K38" s="10">
        <v>37104</v>
      </c>
    </row>
    <row r="39" spans="1:11" x14ac:dyDescent="0.25">
      <c r="A39" s="8">
        <v>91</v>
      </c>
      <c r="B39" s="9" t="s">
        <v>8465</v>
      </c>
      <c r="C39" s="9" t="s">
        <v>219</v>
      </c>
      <c r="D39" s="9" t="s">
        <v>139</v>
      </c>
      <c r="E39" s="9" t="s">
        <v>212</v>
      </c>
      <c r="F39" s="9" t="s">
        <v>141</v>
      </c>
      <c r="G39" s="9" t="s">
        <v>142</v>
      </c>
      <c r="H39" s="9" t="s">
        <v>139</v>
      </c>
      <c r="I39" s="9" t="s">
        <v>143</v>
      </c>
      <c r="J39" s="9" t="s">
        <v>139</v>
      </c>
      <c r="K39" s="10">
        <v>37104</v>
      </c>
    </row>
    <row r="40" spans="1:11" x14ac:dyDescent="0.25">
      <c r="A40" s="8">
        <v>92</v>
      </c>
      <c r="B40" s="9" t="s">
        <v>8466</v>
      </c>
      <c r="C40" s="9" t="s">
        <v>220</v>
      </c>
      <c r="D40" s="9" t="s">
        <v>139</v>
      </c>
      <c r="E40" s="9" t="s">
        <v>191</v>
      </c>
      <c r="F40" s="9" t="s">
        <v>141</v>
      </c>
      <c r="G40" s="9" t="s">
        <v>142</v>
      </c>
      <c r="H40" s="9" t="s">
        <v>139</v>
      </c>
      <c r="I40" s="9" t="s">
        <v>143</v>
      </c>
      <c r="J40" s="9" t="s">
        <v>139</v>
      </c>
      <c r="K40" s="10">
        <v>37104</v>
      </c>
    </row>
    <row r="41" spans="1:11" x14ac:dyDescent="0.25">
      <c r="A41" s="8">
        <v>99</v>
      </c>
      <c r="B41" s="9" t="s">
        <v>8467</v>
      </c>
      <c r="C41" s="9" t="s">
        <v>221</v>
      </c>
      <c r="D41" s="9" t="s">
        <v>139</v>
      </c>
      <c r="E41" s="9" t="s">
        <v>222</v>
      </c>
      <c r="F41" s="9" t="s">
        <v>223</v>
      </c>
      <c r="G41" s="9" t="s">
        <v>142</v>
      </c>
      <c r="H41" s="9" t="s">
        <v>139</v>
      </c>
      <c r="I41" s="9" t="s">
        <v>143</v>
      </c>
      <c r="J41" s="9" t="s">
        <v>139</v>
      </c>
      <c r="K41" s="10">
        <v>37104</v>
      </c>
    </row>
    <row r="42" spans="1:11" x14ac:dyDescent="0.25">
      <c r="A42" s="8">
        <v>101</v>
      </c>
      <c r="B42" s="9" t="s">
        <v>8468</v>
      </c>
      <c r="C42" s="9" t="s">
        <v>224</v>
      </c>
      <c r="D42" s="9" t="s">
        <v>139</v>
      </c>
      <c r="E42" s="9" t="s">
        <v>145</v>
      </c>
      <c r="F42" s="9" t="s">
        <v>141</v>
      </c>
      <c r="G42" s="9" t="s">
        <v>142</v>
      </c>
      <c r="H42" s="9" t="s">
        <v>139</v>
      </c>
      <c r="I42" s="9" t="s">
        <v>143</v>
      </c>
      <c r="J42" s="9" t="s">
        <v>139</v>
      </c>
      <c r="K42" s="10">
        <v>37104</v>
      </c>
    </row>
    <row r="43" spans="1:11" x14ac:dyDescent="0.25">
      <c r="A43" s="8">
        <v>102</v>
      </c>
      <c r="B43" s="9" t="s">
        <v>8469</v>
      </c>
      <c r="C43" s="9" t="s">
        <v>225</v>
      </c>
      <c r="D43" s="9" t="s">
        <v>139</v>
      </c>
      <c r="E43" s="9" t="s">
        <v>145</v>
      </c>
      <c r="F43" s="9" t="s">
        <v>141</v>
      </c>
      <c r="G43" s="9" t="s">
        <v>142</v>
      </c>
      <c r="H43" s="9" t="s">
        <v>139</v>
      </c>
      <c r="I43" s="9" t="s">
        <v>143</v>
      </c>
      <c r="J43" s="9" t="s">
        <v>139</v>
      </c>
      <c r="K43" s="10">
        <v>37104</v>
      </c>
    </row>
    <row r="44" spans="1:11" x14ac:dyDescent="0.25">
      <c r="A44" s="8">
        <v>108</v>
      </c>
      <c r="B44" s="9" t="s">
        <v>8470</v>
      </c>
      <c r="C44" s="9" t="s">
        <v>226</v>
      </c>
      <c r="D44" s="9" t="s">
        <v>139</v>
      </c>
      <c r="E44" s="9" t="s">
        <v>202</v>
      </c>
      <c r="F44" s="9" t="s">
        <v>141</v>
      </c>
      <c r="G44" s="9" t="s">
        <v>142</v>
      </c>
      <c r="H44" s="9" t="s">
        <v>139</v>
      </c>
      <c r="I44" s="9" t="s">
        <v>143</v>
      </c>
      <c r="J44" s="9" t="s">
        <v>139</v>
      </c>
      <c r="K44" s="10">
        <v>37104</v>
      </c>
    </row>
    <row r="45" spans="1:11" x14ac:dyDescent="0.25">
      <c r="A45" s="8">
        <v>109</v>
      </c>
      <c r="B45" s="9" t="s">
        <v>8471</v>
      </c>
      <c r="C45" s="9" t="s">
        <v>227</v>
      </c>
      <c r="D45" s="9" t="s">
        <v>139</v>
      </c>
      <c r="E45" s="9" t="s">
        <v>212</v>
      </c>
      <c r="F45" s="9" t="s">
        <v>141</v>
      </c>
      <c r="G45" s="9" t="s">
        <v>142</v>
      </c>
      <c r="H45" s="9" t="s">
        <v>139</v>
      </c>
      <c r="I45" s="9" t="s">
        <v>143</v>
      </c>
      <c r="J45" s="9" t="s">
        <v>139</v>
      </c>
      <c r="K45" s="10">
        <v>37104</v>
      </c>
    </row>
    <row r="46" spans="1:11" x14ac:dyDescent="0.25">
      <c r="A46" s="8">
        <v>111</v>
      </c>
      <c r="B46" s="9" t="s">
        <v>8472</v>
      </c>
      <c r="C46" s="9" t="s">
        <v>228</v>
      </c>
      <c r="D46" s="9" t="s">
        <v>139</v>
      </c>
      <c r="E46" s="9" t="s">
        <v>229</v>
      </c>
      <c r="F46" s="9" t="s">
        <v>141</v>
      </c>
      <c r="G46" s="9" t="s">
        <v>142</v>
      </c>
      <c r="H46" s="9" t="s">
        <v>139</v>
      </c>
      <c r="I46" s="9" t="s">
        <v>143</v>
      </c>
      <c r="J46" s="9" t="s">
        <v>139</v>
      </c>
      <c r="K46" s="10">
        <v>37104</v>
      </c>
    </row>
    <row r="47" spans="1:11" x14ac:dyDescent="0.25">
      <c r="A47" s="8">
        <v>114</v>
      </c>
      <c r="B47" s="9" t="s">
        <v>8473</v>
      </c>
      <c r="C47" s="9" t="s">
        <v>230</v>
      </c>
      <c r="D47" s="9" t="s">
        <v>139</v>
      </c>
      <c r="E47" s="9" t="s">
        <v>212</v>
      </c>
      <c r="F47" s="9" t="s">
        <v>141</v>
      </c>
      <c r="G47" s="9" t="s">
        <v>142</v>
      </c>
      <c r="H47" s="9" t="s">
        <v>139</v>
      </c>
      <c r="I47" s="9" t="s">
        <v>143</v>
      </c>
      <c r="J47" s="9" t="s">
        <v>139</v>
      </c>
      <c r="K47" s="10">
        <v>37104</v>
      </c>
    </row>
    <row r="48" spans="1:11" x14ac:dyDescent="0.25">
      <c r="A48" s="8">
        <v>117</v>
      </c>
      <c r="B48" s="9" t="s">
        <v>8474</v>
      </c>
      <c r="C48" s="9" t="s">
        <v>231</v>
      </c>
      <c r="D48" s="9" t="s">
        <v>139</v>
      </c>
      <c r="E48" s="9" t="s">
        <v>232</v>
      </c>
      <c r="F48" s="9" t="s">
        <v>233</v>
      </c>
      <c r="G48" s="9" t="s">
        <v>142</v>
      </c>
      <c r="H48" s="9" t="s">
        <v>166</v>
      </c>
      <c r="I48" s="9" t="s">
        <v>143</v>
      </c>
      <c r="J48" s="9" t="s">
        <v>139</v>
      </c>
      <c r="K48" s="10">
        <v>37104</v>
      </c>
    </row>
    <row r="49" spans="1:11" x14ac:dyDescent="0.25">
      <c r="A49" s="8">
        <v>118</v>
      </c>
      <c r="B49" s="9" t="s">
        <v>8475</v>
      </c>
      <c r="C49" s="9" t="s">
        <v>234</v>
      </c>
      <c r="D49" s="9" t="s">
        <v>139</v>
      </c>
      <c r="E49" s="9" t="s">
        <v>163</v>
      </c>
      <c r="F49" s="9" t="s">
        <v>141</v>
      </c>
      <c r="G49" s="9" t="s">
        <v>142</v>
      </c>
      <c r="H49" s="9" t="s">
        <v>166</v>
      </c>
      <c r="I49" s="9" t="s">
        <v>143</v>
      </c>
      <c r="J49" s="9" t="s">
        <v>139</v>
      </c>
      <c r="K49" s="10">
        <v>37104</v>
      </c>
    </row>
    <row r="50" spans="1:11" x14ac:dyDescent="0.25">
      <c r="A50" s="8">
        <v>120</v>
      </c>
      <c r="B50" s="9" t="s">
        <v>8476</v>
      </c>
      <c r="C50" s="9" t="s">
        <v>235</v>
      </c>
      <c r="D50" s="9" t="s">
        <v>139</v>
      </c>
      <c r="E50" s="9" t="s">
        <v>236</v>
      </c>
      <c r="F50" s="9" t="s">
        <v>237</v>
      </c>
      <c r="G50" s="9" t="s">
        <v>142</v>
      </c>
      <c r="H50" s="9" t="s">
        <v>139</v>
      </c>
      <c r="I50" s="9" t="s">
        <v>143</v>
      </c>
      <c r="J50" s="9" t="s">
        <v>139</v>
      </c>
      <c r="K50" s="10">
        <v>37104</v>
      </c>
    </row>
    <row r="51" spans="1:11" x14ac:dyDescent="0.25">
      <c r="A51" s="8">
        <v>122</v>
      </c>
      <c r="B51" s="9" t="s">
        <v>8477</v>
      </c>
      <c r="C51" s="9" t="s">
        <v>238</v>
      </c>
      <c r="D51" s="9" t="s">
        <v>139</v>
      </c>
      <c r="E51" s="9" t="s">
        <v>239</v>
      </c>
      <c r="F51" s="9" t="s">
        <v>240</v>
      </c>
      <c r="G51" s="9" t="s">
        <v>142</v>
      </c>
      <c r="H51" s="9" t="s">
        <v>241</v>
      </c>
      <c r="I51" s="9" t="s">
        <v>143</v>
      </c>
      <c r="J51" s="9" t="s">
        <v>139</v>
      </c>
      <c r="K51" s="10">
        <v>37104</v>
      </c>
    </row>
    <row r="52" spans="1:11" x14ac:dyDescent="0.25">
      <c r="A52" s="8">
        <v>123</v>
      </c>
      <c r="B52" s="9" t="s">
        <v>8478</v>
      </c>
      <c r="C52" s="9" t="s">
        <v>242</v>
      </c>
      <c r="D52" s="9" t="s">
        <v>139</v>
      </c>
      <c r="E52" s="9" t="s">
        <v>243</v>
      </c>
      <c r="F52" s="9" t="s">
        <v>244</v>
      </c>
      <c r="G52" s="9" t="s">
        <v>142</v>
      </c>
      <c r="H52" s="9" t="s">
        <v>241</v>
      </c>
      <c r="I52" s="9" t="s">
        <v>143</v>
      </c>
      <c r="J52" s="9" t="s">
        <v>139</v>
      </c>
      <c r="K52" s="10">
        <v>37104</v>
      </c>
    </row>
    <row r="53" spans="1:11" x14ac:dyDescent="0.25">
      <c r="A53" s="8">
        <v>125</v>
      </c>
      <c r="B53" s="9" t="s">
        <v>8479</v>
      </c>
      <c r="C53" s="9" t="s">
        <v>245</v>
      </c>
      <c r="D53" s="9" t="s">
        <v>139</v>
      </c>
      <c r="E53" s="9" t="s">
        <v>246</v>
      </c>
      <c r="F53" s="9" t="s">
        <v>247</v>
      </c>
      <c r="G53" s="9" t="s">
        <v>142</v>
      </c>
      <c r="H53" s="9" t="s">
        <v>139</v>
      </c>
      <c r="I53" s="9" t="s">
        <v>143</v>
      </c>
      <c r="J53" s="9" t="s">
        <v>139</v>
      </c>
      <c r="K53" s="10">
        <v>37104</v>
      </c>
    </row>
    <row r="54" spans="1:11" x14ac:dyDescent="0.25">
      <c r="A54" s="8">
        <v>127</v>
      </c>
      <c r="B54" s="9" t="s">
        <v>8480</v>
      </c>
      <c r="C54" s="9" t="s">
        <v>248</v>
      </c>
      <c r="D54" s="9" t="s">
        <v>139</v>
      </c>
      <c r="E54" s="9" t="s">
        <v>249</v>
      </c>
      <c r="F54" s="9" t="s">
        <v>250</v>
      </c>
      <c r="G54" s="9" t="s">
        <v>142</v>
      </c>
      <c r="H54" s="9" t="s">
        <v>139</v>
      </c>
      <c r="I54" s="9" t="s">
        <v>143</v>
      </c>
      <c r="J54" s="9" t="s">
        <v>139</v>
      </c>
      <c r="K54" s="10">
        <v>37104</v>
      </c>
    </row>
    <row r="55" spans="1:11" x14ac:dyDescent="0.25">
      <c r="A55" s="8">
        <v>129</v>
      </c>
      <c r="B55" s="9" t="s">
        <v>8481</v>
      </c>
      <c r="C55" s="9" t="s">
        <v>251</v>
      </c>
      <c r="D55" s="9" t="s">
        <v>139</v>
      </c>
      <c r="E55" s="9" t="s">
        <v>222</v>
      </c>
      <c r="F55" s="9" t="s">
        <v>223</v>
      </c>
      <c r="G55" s="9" t="s">
        <v>142</v>
      </c>
      <c r="H55" s="9" t="s">
        <v>139</v>
      </c>
      <c r="I55" s="9" t="s">
        <v>143</v>
      </c>
      <c r="J55" s="9" t="s">
        <v>139</v>
      </c>
      <c r="K55" s="10">
        <v>37104</v>
      </c>
    </row>
    <row r="56" spans="1:11" x14ac:dyDescent="0.25">
      <c r="A56" s="8">
        <v>131</v>
      </c>
      <c r="B56" s="9" t="s">
        <v>8482</v>
      </c>
      <c r="C56" s="9" t="s">
        <v>252</v>
      </c>
      <c r="D56" s="9" t="s">
        <v>139</v>
      </c>
      <c r="E56" s="9" t="s">
        <v>253</v>
      </c>
      <c r="F56" s="9" t="s">
        <v>254</v>
      </c>
      <c r="G56" s="9" t="s">
        <v>142</v>
      </c>
      <c r="H56" s="9" t="s">
        <v>139</v>
      </c>
      <c r="I56" s="9" t="s">
        <v>143</v>
      </c>
      <c r="J56" s="9" t="s">
        <v>139</v>
      </c>
      <c r="K56" s="10">
        <v>37104</v>
      </c>
    </row>
    <row r="57" spans="1:11" x14ac:dyDescent="0.25">
      <c r="A57" s="8">
        <v>134</v>
      </c>
      <c r="B57" s="9" t="s">
        <v>8483</v>
      </c>
      <c r="C57" s="9" t="s">
        <v>255</v>
      </c>
      <c r="D57" s="9" t="s">
        <v>139</v>
      </c>
      <c r="E57" s="9" t="s">
        <v>256</v>
      </c>
      <c r="F57" s="9" t="s">
        <v>257</v>
      </c>
      <c r="G57" s="9" t="s">
        <v>142</v>
      </c>
      <c r="H57" s="9" t="s">
        <v>258</v>
      </c>
      <c r="I57" s="9" t="s">
        <v>143</v>
      </c>
      <c r="J57" s="9" t="s">
        <v>139</v>
      </c>
      <c r="K57" s="10">
        <v>37104</v>
      </c>
    </row>
    <row r="58" spans="1:11" x14ac:dyDescent="0.25">
      <c r="A58" s="8">
        <v>135</v>
      </c>
      <c r="B58" s="9" t="s">
        <v>8484</v>
      </c>
      <c r="C58" s="9" t="s">
        <v>259</v>
      </c>
      <c r="D58" s="9" t="s">
        <v>139</v>
      </c>
      <c r="E58" s="9" t="s">
        <v>260</v>
      </c>
      <c r="F58" s="9" t="s">
        <v>261</v>
      </c>
      <c r="G58" s="9" t="s">
        <v>142</v>
      </c>
      <c r="H58" s="9" t="s">
        <v>258</v>
      </c>
      <c r="I58" s="9" t="s">
        <v>143</v>
      </c>
      <c r="J58" s="9" t="s">
        <v>139</v>
      </c>
      <c r="K58" s="10">
        <v>37104</v>
      </c>
    </row>
    <row r="59" spans="1:11" x14ac:dyDescent="0.25">
      <c r="A59" s="8">
        <v>137</v>
      </c>
      <c r="B59" s="9" t="s">
        <v>8485</v>
      </c>
      <c r="C59" s="9" t="s">
        <v>262</v>
      </c>
      <c r="D59" s="9" t="s">
        <v>139</v>
      </c>
      <c r="E59" s="9" t="s">
        <v>263</v>
      </c>
      <c r="F59" s="9" t="s">
        <v>141</v>
      </c>
      <c r="G59" s="9" t="s">
        <v>142</v>
      </c>
      <c r="H59" s="9" t="s">
        <v>139</v>
      </c>
      <c r="I59" s="9" t="s">
        <v>143</v>
      </c>
      <c r="J59" s="9" t="s">
        <v>139</v>
      </c>
      <c r="K59" s="10">
        <v>37104</v>
      </c>
    </row>
    <row r="60" spans="1:11" x14ac:dyDescent="0.25">
      <c r="A60" s="8">
        <v>138</v>
      </c>
      <c r="B60" s="9" t="s">
        <v>8486</v>
      </c>
      <c r="C60" s="9" t="s">
        <v>264</v>
      </c>
      <c r="D60" s="9" t="s">
        <v>139</v>
      </c>
      <c r="E60" s="9" t="s">
        <v>218</v>
      </c>
      <c r="F60" s="9" t="s">
        <v>141</v>
      </c>
      <c r="G60" s="9" t="s">
        <v>142</v>
      </c>
      <c r="H60" s="9" t="s">
        <v>139</v>
      </c>
      <c r="I60" s="9" t="s">
        <v>143</v>
      </c>
      <c r="J60" s="9" t="s">
        <v>139</v>
      </c>
      <c r="K60" s="10">
        <v>37104</v>
      </c>
    </row>
    <row r="61" spans="1:11" x14ac:dyDescent="0.25">
      <c r="A61" s="8">
        <v>139</v>
      </c>
      <c r="B61" s="9" t="s">
        <v>8487</v>
      </c>
      <c r="C61" s="9" t="s">
        <v>265</v>
      </c>
      <c r="D61" s="9" t="s">
        <v>139</v>
      </c>
      <c r="E61" s="9" t="s">
        <v>212</v>
      </c>
      <c r="F61" s="9" t="s">
        <v>141</v>
      </c>
      <c r="G61" s="9" t="s">
        <v>142</v>
      </c>
      <c r="H61" s="9" t="s">
        <v>139</v>
      </c>
      <c r="I61" s="9" t="s">
        <v>143</v>
      </c>
      <c r="J61" s="9" t="s">
        <v>139</v>
      </c>
      <c r="K61" s="10">
        <v>37104</v>
      </c>
    </row>
    <row r="62" spans="1:11" x14ac:dyDescent="0.25">
      <c r="A62" s="8">
        <v>142</v>
      </c>
      <c r="B62" s="9" t="s">
        <v>8488</v>
      </c>
      <c r="C62" s="9" t="s">
        <v>266</v>
      </c>
      <c r="D62" s="9" t="s">
        <v>139</v>
      </c>
      <c r="E62" s="9" t="s">
        <v>267</v>
      </c>
      <c r="F62" s="9" t="s">
        <v>141</v>
      </c>
      <c r="G62" s="9" t="s">
        <v>142</v>
      </c>
      <c r="H62" s="9" t="s">
        <v>258</v>
      </c>
      <c r="I62" s="9" t="s">
        <v>143</v>
      </c>
      <c r="J62" s="9" t="s">
        <v>139</v>
      </c>
      <c r="K62" s="10">
        <v>37104</v>
      </c>
    </row>
    <row r="63" spans="1:11" x14ac:dyDescent="0.25">
      <c r="A63" s="8">
        <v>147</v>
      </c>
      <c r="B63" s="9" t="s">
        <v>8489</v>
      </c>
      <c r="C63" s="9" t="s">
        <v>268</v>
      </c>
      <c r="D63" s="9" t="s">
        <v>139</v>
      </c>
      <c r="E63" s="9" t="s">
        <v>218</v>
      </c>
      <c r="F63" s="9" t="s">
        <v>141</v>
      </c>
      <c r="G63" s="9" t="s">
        <v>142</v>
      </c>
      <c r="H63" s="9" t="s">
        <v>139</v>
      </c>
      <c r="I63" s="9" t="s">
        <v>143</v>
      </c>
      <c r="J63" s="9" t="s">
        <v>139</v>
      </c>
      <c r="K63" s="10">
        <v>37104</v>
      </c>
    </row>
    <row r="64" spans="1:11" x14ac:dyDescent="0.25">
      <c r="A64" s="8">
        <v>148</v>
      </c>
      <c r="B64" s="9" t="s">
        <v>8490</v>
      </c>
      <c r="C64" s="9" t="s">
        <v>269</v>
      </c>
      <c r="D64" s="9" t="s">
        <v>139</v>
      </c>
      <c r="E64" s="9" t="s">
        <v>270</v>
      </c>
      <c r="F64" s="9" t="s">
        <v>271</v>
      </c>
      <c r="G64" s="9" t="s">
        <v>142</v>
      </c>
      <c r="H64" s="9" t="s">
        <v>139</v>
      </c>
      <c r="I64" s="9" t="s">
        <v>143</v>
      </c>
      <c r="J64" s="9" t="s">
        <v>139</v>
      </c>
      <c r="K64" s="10">
        <v>37104</v>
      </c>
    </row>
    <row r="65" spans="1:11" x14ac:dyDescent="0.25">
      <c r="A65" s="8">
        <v>149</v>
      </c>
      <c r="B65" s="9" t="s">
        <v>8491</v>
      </c>
      <c r="C65" s="9" t="s">
        <v>272</v>
      </c>
      <c r="D65" s="9" t="s">
        <v>139</v>
      </c>
      <c r="E65" s="9" t="s">
        <v>161</v>
      </c>
      <c r="F65" s="9" t="s">
        <v>9304</v>
      </c>
      <c r="G65" s="9" t="s">
        <v>142</v>
      </c>
      <c r="H65" s="9" t="s">
        <v>139</v>
      </c>
      <c r="I65" s="9" t="s">
        <v>143</v>
      </c>
      <c r="J65" s="9" t="s">
        <v>139</v>
      </c>
      <c r="K65" s="10">
        <v>37104</v>
      </c>
    </row>
    <row r="66" spans="1:11" x14ac:dyDescent="0.25">
      <c r="A66" s="8">
        <v>150</v>
      </c>
      <c r="B66" s="9" t="s">
        <v>8492</v>
      </c>
      <c r="C66" s="9" t="s">
        <v>273</v>
      </c>
      <c r="D66" s="9" t="s">
        <v>139</v>
      </c>
      <c r="E66" s="9" t="s">
        <v>274</v>
      </c>
      <c r="F66" s="9" t="s">
        <v>275</v>
      </c>
      <c r="G66" s="9" t="s">
        <v>142</v>
      </c>
      <c r="H66" s="9" t="s">
        <v>139</v>
      </c>
      <c r="I66" s="9" t="s">
        <v>143</v>
      </c>
      <c r="J66" s="9" t="s">
        <v>139</v>
      </c>
      <c r="K66" s="10">
        <v>37104</v>
      </c>
    </row>
    <row r="67" spans="1:11" x14ac:dyDescent="0.25">
      <c r="A67" s="8">
        <v>151</v>
      </c>
      <c r="B67" s="9" t="s">
        <v>8493</v>
      </c>
      <c r="C67" s="9" t="s">
        <v>276</v>
      </c>
      <c r="D67" s="9" t="s">
        <v>139</v>
      </c>
      <c r="E67" s="9" t="s">
        <v>277</v>
      </c>
      <c r="F67" s="9" t="s">
        <v>278</v>
      </c>
      <c r="G67" s="9" t="s">
        <v>142</v>
      </c>
      <c r="H67" s="9" t="s">
        <v>139</v>
      </c>
      <c r="I67" s="9" t="s">
        <v>143</v>
      </c>
      <c r="J67" s="9" t="s">
        <v>139</v>
      </c>
      <c r="K67" s="10">
        <v>37104</v>
      </c>
    </row>
    <row r="68" spans="1:11" x14ac:dyDescent="0.25">
      <c r="A68" s="8">
        <v>152</v>
      </c>
      <c r="B68" s="9" t="s">
        <v>8494</v>
      </c>
      <c r="C68" s="9" t="s">
        <v>279</v>
      </c>
      <c r="D68" s="9" t="s">
        <v>139</v>
      </c>
      <c r="E68" s="9" t="s">
        <v>280</v>
      </c>
      <c r="F68" s="9" t="s">
        <v>141</v>
      </c>
      <c r="G68" s="9" t="s">
        <v>142</v>
      </c>
      <c r="H68" s="9" t="s">
        <v>139</v>
      </c>
      <c r="I68" s="9" t="s">
        <v>143</v>
      </c>
      <c r="J68" s="9" t="s">
        <v>139</v>
      </c>
      <c r="K68" s="10">
        <v>37104</v>
      </c>
    </row>
    <row r="69" spans="1:11" x14ac:dyDescent="0.25">
      <c r="A69" s="8">
        <v>155</v>
      </c>
      <c r="B69" s="9" t="s">
        <v>8495</v>
      </c>
      <c r="C69" s="9" t="s">
        <v>281</v>
      </c>
      <c r="D69" s="9" t="s">
        <v>139</v>
      </c>
      <c r="E69" s="9" t="s">
        <v>282</v>
      </c>
      <c r="F69" s="9" t="s">
        <v>283</v>
      </c>
      <c r="G69" s="9" t="s">
        <v>142</v>
      </c>
      <c r="H69" s="9" t="s">
        <v>139</v>
      </c>
      <c r="I69" s="9" t="s">
        <v>143</v>
      </c>
      <c r="J69" s="9" t="s">
        <v>139</v>
      </c>
      <c r="K69" s="10">
        <v>37104</v>
      </c>
    </row>
    <row r="70" spans="1:11" x14ac:dyDescent="0.25">
      <c r="A70" s="8">
        <v>157</v>
      </c>
      <c r="B70" s="9" t="s">
        <v>8496</v>
      </c>
      <c r="C70" s="9" t="s">
        <v>284</v>
      </c>
      <c r="D70" s="9" t="s">
        <v>139</v>
      </c>
      <c r="E70" s="9" t="s">
        <v>212</v>
      </c>
      <c r="F70" s="9" t="s">
        <v>141</v>
      </c>
      <c r="G70" s="9" t="s">
        <v>142</v>
      </c>
      <c r="H70" s="9" t="s">
        <v>139</v>
      </c>
      <c r="I70" s="9" t="s">
        <v>143</v>
      </c>
      <c r="J70" s="9" t="s">
        <v>139</v>
      </c>
      <c r="K70" s="10">
        <v>37104</v>
      </c>
    </row>
    <row r="71" spans="1:11" x14ac:dyDescent="0.25">
      <c r="A71" s="8">
        <v>158</v>
      </c>
      <c r="B71" s="9" t="s">
        <v>8497</v>
      </c>
      <c r="C71" s="9" t="s">
        <v>285</v>
      </c>
      <c r="D71" s="9" t="s">
        <v>139</v>
      </c>
      <c r="E71" s="9" t="s">
        <v>286</v>
      </c>
      <c r="F71" s="9" t="s">
        <v>141</v>
      </c>
      <c r="G71" s="9" t="s">
        <v>142</v>
      </c>
      <c r="H71" s="9" t="s">
        <v>139</v>
      </c>
      <c r="I71" s="9" t="s">
        <v>143</v>
      </c>
      <c r="J71" s="9" t="s">
        <v>139</v>
      </c>
      <c r="K71" s="10">
        <v>37104</v>
      </c>
    </row>
    <row r="72" spans="1:11" x14ac:dyDescent="0.25">
      <c r="A72" s="8">
        <v>159</v>
      </c>
      <c r="B72" s="9" t="s">
        <v>8498</v>
      </c>
      <c r="C72" s="9" t="s">
        <v>287</v>
      </c>
      <c r="D72" s="9" t="s">
        <v>139</v>
      </c>
      <c r="E72" s="9" t="s">
        <v>191</v>
      </c>
      <c r="F72" s="9" t="s">
        <v>141</v>
      </c>
      <c r="G72" s="9" t="s">
        <v>142</v>
      </c>
      <c r="H72" s="9" t="s">
        <v>139</v>
      </c>
      <c r="I72" s="9" t="s">
        <v>143</v>
      </c>
      <c r="J72" s="9" t="s">
        <v>139</v>
      </c>
      <c r="K72" s="10">
        <v>37104</v>
      </c>
    </row>
    <row r="73" spans="1:11" x14ac:dyDescent="0.25">
      <c r="A73" s="8">
        <v>160</v>
      </c>
      <c r="B73" s="9" t="s">
        <v>8499</v>
      </c>
      <c r="C73" s="9" t="s">
        <v>288</v>
      </c>
      <c r="D73" s="9" t="s">
        <v>139</v>
      </c>
      <c r="E73" s="9" t="s">
        <v>289</v>
      </c>
      <c r="F73" s="9" t="s">
        <v>290</v>
      </c>
      <c r="G73" s="9" t="s">
        <v>142</v>
      </c>
      <c r="H73" s="9" t="s">
        <v>139</v>
      </c>
      <c r="I73" s="9" t="s">
        <v>143</v>
      </c>
      <c r="J73" s="9" t="s">
        <v>139</v>
      </c>
      <c r="K73" s="10">
        <v>37104</v>
      </c>
    </row>
    <row r="74" spans="1:11" x14ac:dyDescent="0.25">
      <c r="A74" s="8">
        <v>161</v>
      </c>
      <c r="B74" s="9" t="s">
        <v>8500</v>
      </c>
      <c r="C74" s="9" t="s">
        <v>291</v>
      </c>
      <c r="D74" s="9" t="s">
        <v>139</v>
      </c>
      <c r="E74" s="9" t="s">
        <v>292</v>
      </c>
      <c r="F74" s="9" t="s">
        <v>293</v>
      </c>
      <c r="G74" s="9" t="s">
        <v>142</v>
      </c>
      <c r="H74" s="9" t="s">
        <v>139</v>
      </c>
      <c r="I74" s="9" t="s">
        <v>143</v>
      </c>
      <c r="J74" s="9" t="s">
        <v>139</v>
      </c>
      <c r="K74" s="10">
        <v>37104</v>
      </c>
    </row>
    <row r="75" spans="1:11" x14ac:dyDescent="0.25">
      <c r="A75" s="8">
        <v>162</v>
      </c>
      <c r="B75" s="9" t="s">
        <v>8501</v>
      </c>
      <c r="C75" s="9" t="s">
        <v>294</v>
      </c>
      <c r="D75" s="9" t="s">
        <v>139</v>
      </c>
      <c r="E75" s="9" t="s">
        <v>295</v>
      </c>
      <c r="F75" s="9" t="s">
        <v>296</v>
      </c>
      <c r="G75" s="9" t="s">
        <v>142</v>
      </c>
      <c r="H75" s="9" t="s">
        <v>139</v>
      </c>
      <c r="I75" s="9" t="s">
        <v>143</v>
      </c>
      <c r="J75" s="9" t="s">
        <v>139</v>
      </c>
      <c r="K75" s="10">
        <v>37104</v>
      </c>
    </row>
    <row r="76" spans="1:11" x14ac:dyDescent="0.25">
      <c r="A76" s="8">
        <v>165</v>
      </c>
      <c r="B76" s="9" t="s">
        <v>8502</v>
      </c>
      <c r="C76" s="9" t="s">
        <v>297</v>
      </c>
      <c r="D76" s="9" t="s">
        <v>139</v>
      </c>
      <c r="E76" s="9" t="s">
        <v>267</v>
      </c>
      <c r="F76" s="9" t="s">
        <v>141</v>
      </c>
      <c r="G76" s="9" t="s">
        <v>142</v>
      </c>
      <c r="H76" s="9" t="s">
        <v>139</v>
      </c>
      <c r="I76" s="9" t="s">
        <v>143</v>
      </c>
      <c r="J76" s="9" t="s">
        <v>139</v>
      </c>
      <c r="K76" s="10">
        <v>37104</v>
      </c>
    </row>
    <row r="77" spans="1:11" x14ac:dyDescent="0.25">
      <c r="A77" s="8">
        <v>166</v>
      </c>
      <c r="B77" s="9" t="s">
        <v>8503</v>
      </c>
      <c r="C77" s="9" t="s">
        <v>298</v>
      </c>
      <c r="D77" s="9" t="s">
        <v>139</v>
      </c>
      <c r="E77" s="9" t="s">
        <v>299</v>
      </c>
      <c r="F77" s="9" t="s">
        <v>300</v>
      </c>
      <c r="G77" s="9" t="s">
        <v>142</v>
      </c>
      <c r="H77" s="9" t="s">
        <v>139</v>
      </c>
      <c r="I77" s="9" t="s">
        <v>143</v>
      </c>
      <c r="J77" s="9" t="s">
        <v>139</v>
      </c>
      <c r="K77" s="10">
        <v>37104</v>
      </c>
    </row>
    <row r="78" spans="1:11" x14ac:dyDescent="0.25">
      <c r="A78" s="8">
        <v>168</v>
      </c>
      <c r="B78" s="9" t="s">
        <v>8504</v>
      </c>
      <c r="C78" s="9" t="s">
        <v>301</v>
      </c>
      <c r="D78" s="9" t="s">
        <v>139</v>
      </c>
      <c r="E78" s="9" t="s">
        <v>197</v>
      </c>
      <c r="F78" s="9" t="s">
        <v>141</v>
      </c>
      <c r="G78" s="9" t="s">
        <v>142</v>
      </c>
      <c r="H78" s="9" t="s">
        <v>139</v>
      </c>
      <c r="I78" s="9" t="s">
        <v>143</v>
      </c>
      <c r="J78" s="9" t="s">
        <v>139</v>
      </c>
      <c r="K78" s="10">
        <v>37104</v>
      </c>
    </row>
    <row r="79" spans="1:11" x14ac:dyDescent="0.25">
      <c r="A79" s="8">
        <v>171</v>
      </c>
      <c r="B79" s="9" t="s">
        <v>8505</v>
      </c>
      <c r="C79" s="9" t="s">
        <v>162</v>
      </c>
      <c r="D79" s="9" t="s">
        <v>139</v>
      </c>
      <c r="E79" s="9" t="s">
        <v>163</v>
      </c>
      <c r="F79" s="9" t="s">
        <v>141</v>
      </c>
      <c r="G79" s="9" t="s">
        <v>142</v>
      </c>
      <c r="H79" s="9" t="s">
        <v>139</v>
      </c>
      <c r="I79" s="9" t="s">
        <v>143</v>
      </c>
      <c r="J79" s="9" t="s">
        <v>139</v>
      </c>
      <c r="K79" s="10">
        <v>37104</v>
      </c>
    </row>
    <row r="80" spans="1:11" x14ac:dyDescent="0.25">
      <c r="A80" s="8">
        <v>174</v>
      </c>
      <c r="B80" s="9" t="s">
        <v>8506</v>
      </c>
      <c r="C80" s="9" t="s">
        <v>302</v>
      </c>
      <c r="D80" s="9" t="s">
        <v>139</v>
      </c>
      <c r="E80" s="9" t="s">
        <v>303</v>
      </c>
      <c r="F80" s="9" t="s">
        <v>304</v>
      </c>
      <c r="G80" s="9" t="s">
        <v>142</v>
      </c>
      <c r="H80" s="9" t="s">
        <v>139</v>
      </c>
      <c r="I80" s="9" t="s">
        <v>143</v>
      </c>
      <c r="J80" s="9" t="s">
        <v>139</v>
      </c>
      <c r="K80" s="10">
        <v>37104</v>
      </c>
    </row>
    <row r="81" spans="1:11" x14ac:dyDescent="0.25">
      <c r="A81" s="8">
        <v>175</v>
      </c>
      <c r="B81" s="9" t="s">
        <v>8507</v>
      </c>
      <c r="C81" s="9" t="s">
        <v>305</v>
      </c>
      <c r="D81" s="9" t="s">
        <v>139</v>
      </c>
      <c r="E81" s="9" t="s">
        <v>306</v>
      </c>
      <c r="F81" s="9" t="s">
        <v>141</v>
      </c>
      <c r="G81" s="9" t="s">
        <v>142</v>
      </c>
      <c r="H81" s="9" t="s">
        <v>139</v>
      </c>
      <c r="I81" s="9" t="s">
        <v>143</v>
      </c>
      <c r="J81" s="9" t="s">
        <v>139</v>
      </c>
      <c r="K81" s="10">
        <v>37104</v>
      </c>
    </row>
    <row r="82" spans="1:11" x14ac:dyDescent="0.25">
      <c r="A82" s="8">
        <v>176</v>
      </c>
      <c r="B82" s="9" t="s">
        <v>8508</v>
      </c>
      <c r="C82" s="9" t="s">
        <v>307</v>
      </c>
      <c r="D82" s="9" t="s">
        <v>139</v>
      </c>
      <c r="E82" s="9" t="s">
        <v>308</v>
      </c>
      <c r="F82" s="9" t="s">
        <v>141</v>
      </c>
      <c r="G82" s="9" t="s">
        <v>142</v>
      </c>
      <c r="H82" s="9" t="s">
        <v>139</v>
      </c>
      <c r="I82" s="9" t="s">
        <v>143</v>
      </c>
      <c r="J82" s="9" t="s">
        <v>139</v>
      </c>
      <c r="K82" s="10">
        <v>37104</v>
      </c>
    </row>
    <row r="83" spans="1:11" x14ac:dyDescent="0.25">
      <c r="A83" s="8">
        <v>187</v>
      </c>
      <c r="B83" s="9" t="s">
        <v>8509</v>
      </c>
      <c r="C83" s="9" t="s">
        <v>309</v>
      </c>
      <c r="D83" s="9" t="s">
        <v>139</v>
      </c>
      <c r="E83" s="9" t="s">
        <v>310</v>
      </c>
      <c r="F83" s="9" t="s">
        <v>311</v>
      </c>
      <c r="G83" s="9" t="s">
        <v>142</v>
      </c>
      <c r="H83" s="9" t="s">
        <v>139</v>
      </c>
      <c r="I83" s="9" t="s">
        <v>143</v>
      </c>
      <c r="J83" s="9" t="s">
        <v>139</v>
      </c>
      <c r="K83" s="10">
        <v>37104</v>
      </c>
    </row>
    <row r="84" spans="1:11" x14ac:dyDescent="0.25">
      <c r="A84" s="8">
        <v>188</v>
      </c>
      <c r="B84" s="9" t="s">
        <v>8510</v>
      </c>
      <c r="C84" s="9" t="s">
        <v>312</v>
      </c>
      <c r="D84" s="9" t="s">
        <v>139</v>
      </c>
      <c r="E84" s="9" t="s">
        <v>197</v>
      </c>
      <c r="F84" s="9" t="s">
        <v>141</v>
      </c>
      <c r="G84" s="9" t="s">
        <v>142</v>
      </c>
      <c r="H84" s="9" t="s">
        <v>139</v>
      </c>
      <c r="I84" s="9" t="s">
        <v>143</v>
      </c>
      <c r="J84" s="9" t="s">
        <v>139</v>
      </c>
      <c r="K84" s="10">
        <v>37104</v>
      </c>
    </row>
    <row r="85" spans="1:11" x14ac:dyDescent="0.25">
      <c r="A85" s="8">
        <v>192</v>
      </c>
      <c r="B85" s="9" t="s">
        <v>8511</v>
      </c>
      <c r="C85" s="9" t="s">
        <v>313</v>
      </c>
      <c r="D85" s="9" t="s">
        <v>139</v>
      </c>
      <c r="E85" s="9" t="s">
        <v>314</v>
      </c>
      <c r="F85" s="9" t="s">
        <v>315</v>
      </c>
      <c r="G85" s="9" t="s">
        <v>142</v>
      </c>
      <c r="H85" s="9" t="s">
        <v>139</v>
      </c>
      <c r="I85" s="9" t="s">
        <v>143</v>
      </c>
      <c r="J85" s="9" t="s">
        <v>139</v>
      </c>
      <c r="K85" s="10">
        <v>37104</v>
      </c>
    </row>
    <row r="86" spans="1:11" x14ac:dyDescent="0.25">
      <c r="A86" s="8">
        <v>196</v>
      </c>
      <c r="B86" s="9" t="s">
        <v>8512</v>
      </c>
      <c r="C86" s="9" t="s">
        <v>316</v>
      </c>
      <c r="D86" s="9" t="s">
        <v>139</v>
      </c>
      <c r="E86" s="9" t="s">
        <v>308</v>
      </c>
      <c r="F86" s="9" t="s">
        <v>141</v>
      </c>
      <c r="G86" s="9" t="s">
        <v>142</v>
      </c>
      <c r="H86" s="9" t="s">
        <v>258</v>
      </c>
      <c r="I86" s="9" t="s">
        <v>143</v>
      </c>
      <c r="J86" s="9" t="s">
        <v>139</v>
      </c>
      <c r="K86" s="10">
        <v>37104</v>
      </c>
    </row>
    <row r="87" spans="1:11" x14ac:dyDescent="0.25">
      <c r="A87" s="8">
        <v>197</v>
      </c>
      <c r="B87" s="9" t="s">
        <v>8513</v>
      </c>
      <c r="C87" s="9" t="s">
        <v>317</v>
      </c>
      <c r="D87" s="9" t="s">
        <v>139</v>
      </c>
      <c r="E87" s="9" t="s">
        <v>318</v>
      </c>
      <c r="F87" s="9" t="s">
        <v>319</v>
      </c>
      <c r="G87" s="9" t="s">
        <v>142</v>
      </c>
      <c r="H87" s="9" t="s">
        <v>166</v>
      </c>
      <c r="I87" s="9" t="s">
        <v>143</v>
      </c>
      <c r="J87" s="9" t="s">
        <v>139</v>
      </c>
      <c r="K87" s="10">
        <v>37104</v>
      </c>
    </row>
    <row r="88" spans="1:11" x14ac:dyDescent="0.25">
      <c r="A88" s="8">
        <v>198</v>
      </c>
      <c r="B88" s="9" t="s">
        <v>8514</v>
      </c>
      <c r="C88" s="9" t="s">
        <v>320</v>
      </c>
      <c r="D88" s="9" t="s">
        <v>139</v>
      </c>
      <c r="E88" s="9" t="s">
        <v>140</v>
      </c>
      <c r="F88" s="9" t="s">
        <v>141</v>
      </c>
      <c r="G88" s="9" t="s">
        <v>142</v>
      </c>
      <c r="H88" s="9" t="s">
        <v>321</v>
      </c>
      <c r="I88" s="9" t="s">
        <v>143</v>
      </c>
      <c r="J88" s="9" t="s">
        <v>139</v>
      </c>
      <c r="K88" s="10">
        <v>37104</v>
      </c>
    </row>
    <row r="89" spans="1:11" x14ac:dyDescent="0.25">
      <c r="A89" s="8">
        <v>201</v>
      </c>
      <c r="B89" s="9" t="s">
        <v>8515</v>
      </c>
      <c r="C89" s="9" t="s">
        <v>322</v>
      </c>
      <c r="D89" s="9" t="s">
        <v>139</v>
      </c>
      <c r="E89" s="9" t="s">
        <v>191</v>
      </c>
      <c r="F89" s="9" t="s">
        <v>141</v>
      </c>
      <c r="G89" s="9" t="s">
        <v>142</v>
      </c>
      <c r="H89" s="9" t="s">
        <v>139</v>
      </c>
      <c r="I89" s="9" t="s">
        <v>143</v>
      </c>
      <c r="J89" s="9" t="s">
        <v>139</v>
      </c>
      <c r="K89" s="10">
        <v>37104</v>
      </c>
    </row>
    <row r="90" spans="1:11" x14ac:dyDescent="0.25">
      <c r="A90" s="8">
        <v>203</v>
      </c>
      <c r="B90" s="9" t="s">
        <v>8516</v>
      </c>
      <c r="C90" s="9" t="s">
        <v>323</v>
      </c>
      <c r="D90" s="9" t="s">
        <v>139</v>
      </c>
      <c r="E90" s="9" t="s">
        <v>306</v>
      </c>
      <c r="F90" s="9" t="s">
        <v>141</v>
      </c>
      <c r="G90" s="9" t="s">
        <v>142</v>
      </c>
      <c r="H90" s="9" t="s">
        <v>139</v>
      </c>
      <c r="I90" s="9" t="s">
        <v>143</v>
      </c>
      <c r="J90" s="9" t="s">
        <v>139</v>
      </c>
      <c r="K90" s="10">
        <v>37104</v>
      </c>
    </row>
    <row r="91" spans="1:11" x14ac:dyDescent="0.25">
      <c r="A91" s="8">
        <v>204</v>
      </c>
      <c r="B91" s="9" t="s">
        <v>8517</v>
      </c>
      <c r="C91" s="9" t="s">
        <v>324</v>
      </c>
      <c r="D91" s="9" t="s">
        <v>139</v>
      </c>
      <c r="E91" s="9" t="s">
        <v>292</v>
      </c>
      <c r="F91" s="9" t="s">
        <v>325</v>
      </c>
      <c r="G91" s="9" t="s">
        <v>142</v>
      </c>
      <c r="H91" s="9" t="s">
        <v>139</v>
      </c>
      <c r="I91" s="9" t="s">
        <v>143</v>
      </c>
      <c r="J91" s="9" t="s">
        <v>139</v>
      </c>
      <c r="K91" s="10">
        <v>37104</v>
      </c>
    </row>
    <row r="92" spans="1:11" x14ac:dyDescent="0.25">
      <c r="A92" s="8">
        <v>206</v>
      </c>
      <c r="B92" s="9" t="s">
        <v>8518</v>
      </c>
      <c r="C92" s="9" t="s">
        <v>326</v>
      </c>
      <c r="D92" s="9" t="s">
        <v>139</v>
      </c>
      <c r="E92" s="9" t="s">
        <v>180</v>
      </c>
      <c r="F92" s="9" t="s">
        <v>141</v>
      </c>
      <c r="G92" s="9" t="s">
        <v>142</v>
      </c>
      <c r="H92" s="9" t="s">
        <v>139</v>
      </c>
      <c r="I92" s="9" t="s">
        <v>143</v>
      </c>
      <c r="J92" s="9" t="s">
        <v>139</v>
      </c>
      <c r="K92" s="10">
        <v>37104</v>
      </c>
    </row>
    <row r="93" spans="1:11" x14ac:dyDescent="0.25">
      <c r="A93" s="8">
        <v>209</v>
      </c>
      <c r="B93" s="9" t="s">
        <v>8519</v>
      </c>
      <c r="C93" s="9" t="s">
        <v>327</v>
      </c>
      <c r="D93" s="9" t="s">
        <v>139</v>
      </c>
      <c r="E93" s="9" t="s">
        <v>328</v>
      </c>
      <c r="F93" s="9" t="s">
        <v>141</v>
      </c>
      <c r="G93" s="9" t="s">
        <v>142</v>
      </c>
      <c r="H93" s="9" t="s">
        <v>139</v>
      </c>
      <c r="I93" s="9" t="s">
        <v>143</v>
      </c>
      <c r="J93" s="9" t="s">
        <v>139</v>
      </c>
      <c r="K93" s="10">
        <v>37104</v>
      </c>
    </row>
    <row r="94" spans="1:11" x14ac:dyDescent="0.25">
      <c r="A94" s="8">
        <v>212</v>
      </c>
      <c r="B94" s="9" t="s">
        <v>8520</v>
      </c>
      <c r="C94" s="9" t="s">
        <v>329</v>
      </c>
      <c r="D94" s="9" t="s">
        <v>139</v>
      </c>
      <c r="E94" s="9" t="s">
        <v>328</v>
      </c>
      <c r="F94" s="9" t="s">
        <v>141</v>
      </c>
      <c r="G94" s="9" t="s">
        <v>142</v>
      </c>
      <c r="H94" s="9" t="s">
        <v>139</v>
      </c>
      <c r="I94" s="9" t="s">
        <v>143</v>
      </c>
      <c r="J94" s="9" t="s">
        <v>139</v>
      </c>
      <c r="K94" s="10">
        <v>37104</v>
      </c>
    </row>
    <row r="95" spans="1:11" x14ac:dyDescent="0.25">
      <c r="A95" s="8">
        <v>213</v>
      </c>
      <c r="B95" s="9" t="s">
        <v>8521</v>
      </c>
      <c r="C95" s="9" t="s">
        <v>330</v>
      </c>
      <c r="D95" s="9" t="s">
        <v>139</v>
      </c>
      <c r="E95" s="9" t="s">
        <v>331</v>
      </c>
      <c r="F95" s="9" t="s">
        <v>332</v>
      </c>
      <c r="G95" s="9" t="s">
        <v>142</v>
      </c>
      <c r="H95" s="9" t="s">
        <v>258</v>
      </c>
      <c r="I95" s="9" t="s">
        <v>143</v>
      </c>
      <c r="J95" s="9" t="s">
        <v>139</v>
      </c>
      <c r="K95" s="10">
        <v>37104</v>
      </c>
    </row>
    <row r="96" spans="1:11" x14ac:dyDescent="0.25">
      <c r="A96" s="8">
        <v>214</v>
      </c>
      <c r="B96" s="9" t="s">
        <v>8522</v>
      </c>
      <c r="C96" s="9" t="s">
        <v>333</v>
      </c>
      <c r="D96" s="9" t="s">
        <v>139</v>
      </c>
      <c r="E96" s="9" t="s">
        <v>334</v>
      </c>
      <c r="F96" s="9" t="s">
        <v>335</v>
      </c>
      <c r="G96" s="9" t="s">
        <v>142</v>
      </c>
      <c r="H96" s="9" t="s">
        <v>139</v>
      </c>
      <c r="I96" s="9" t="s">
        <v>143</v>
      </c>
      <c r="J96" s="9" t="s">
        <v>139</v>
      </c>
      <c r="K96" s="10">
        <v>37104</v>
      </c>
    </row>
    <row r="97" spans="1:11" x14ac:dyDescent="0.25">
      <c r="A97" s="8">
        <v>215</v>
      </c>
      <c r="B97" s="9" t="s">
        <v>8523</v>
      </c>
      <c r="C97" s="9" t="s">
        <v>336</v>
      </c>
      <c r="D97" s="9" t="s">
        <v>139</v>
      </c>
      <c r="E97" s="9" t="s">
        <v>197</v>
      </c>
      <c r="F97" s="9" t="s">
        <v>141</v>
      </c>
      <c r="G97" s="9" t="s">
        <v>142</v>
      </c>
      <c r="H97" s="9" t="s">
        <v>139</v>
      </c>
      <c r="I97" s="9" t="s">
        <v>143</v>
      </c>
      <c r="J97" s="9" t="s">
        <v>139</v>
      </c>
      <c r="K97" s="10">
        <v>37104</v>
      </c>
    </row>
    <row r="98" spans="1:11" x14ac:dyDescent="0.25">
      <c r="A98" s="8">
        <v>221</v>
      </c>
      <c r="B98" s="9" t="s">
        <v>8524</v>
      </c>
      <c r="C98" s="9" t="s">
        <v>185</v>
      </c>
      <c r="D98" s="9" t="s">
        <v>139</v>
      </c>
      <c r="E98" s="9" t="s">
        <v>147</v>
      </c>
      <c r="F98" s="9" t="s">
        <v>141</v>
      </c>
      <c r="G98" s="9" t="s">
        <v>142</v>
      </c>
      <c r="H98" s="9" t="s">
        <v>139</v>
      </c>
      <c r="I98" s="9" t="s">
        <v>143</v>
      </c>
      <c r="J98" s="9" t="s">
        <v>139</v>
      </c>
      <c r="K98" s="10">
        <v>37104</v>
      </c>
    </row>
    <row r="99" spans="1:11" x14ac:dyDescent="0.25">
      <c r="A99" s="8">
        <v>230</v>
      </c>
      <c r="B99" s="9" t="s">
        <v>8525</v>
      </c>
      <c r="C99" s="9" t="s">
        <v>337</v>
      </c>
      <c r="D99" s="9" t="s">
        <v>139</v>
      </c>
      <c r="E99" s="9" t="s">
        <v>202</v>
      </c>
      <c r="F99" s="9" t="s">
        <v>141</v>
      </c>
      <c r="G99" s="9" t="s">
        <v>142</v>
      </c>
      <c r="H99" s="9" t="s">
        <v>139</v>
      </c>
      <c r="I99" s="9" t="s">
        <v>143</v>
      </c>
      <c r="J99" s="9" t="s">
        <v>139</v>
      </c>
      <c r="K99" s="10">
        <v>37104</v>
      </c>
    </row>
    <row r="100" spans="1:11" x14ac:dyDescent="0.25">
      <c r="A100" s="8">
        <v>231</v>
      </c>
      <c r="B100" s="9" t="s">
        <v>8526</v>
      </c>
      <c r="C100" s="9" t="s">
        <v>338</v>
      </c>
      <c r="D100" s="9" t="s">
        <v>339</v>
      </c>
      <c r="E100" s="9" t="s">
        <v>340</v>
      </c>
      <c r="F100" s="9" t="s">
        <v>341</v>
      </c>
      <c r="G100" s="9" t="s">
        <v>142</v>
      </c>
      <c r="H100" s="9" t="s">
        <v>139</v>
      </c>
      <c r="I100" s="9" t="s">
        <v>143</v>
      </c>
      <c r="J100" s="9" t="s">
        <v>139</v>
      </c>
      <c r="K100" s="10">
        <v>37104</v>
      </c>
    </row>
    <row r="101" spans="1:11" x14ac:dyDescent="0.25">
      <c r="A101" s="8">
        <v>232</v>
      </c>
      <c r="B101" s="9" t="s">
        <v>8527</v>
      </c>
      <c r="C101" s="9" t="s">
        <v>342</v>
      </c>
      <c r="D101" s="9" t="s">
        <v>139</v>
      </c>
      <c r="E101" s="9" t="s">
        <v>218</v>
      </c>
      <c r="F101" s="9" t="s">
        <v>141</v>
      </c>
      <c r="G101" s="9" t="s">
        <v>142</v>
      </c>
      <c r="H101" s="9" t="s">
        <v>139</v>
      </c>
      <c r="I101" s="9" t="s">
        <v>143</v>
      </c>
      <c r="J101" s="9" t="s">
        <v>139</v>
      </c>
      <c r="K101" s="10">
        <v>37104</v>
      </c>
    </row>
    <row r="102" spans="1:11" x14ac:dyDescent="0.25">
      <c r="A102" s="8">
        <v>233</v>
      </c>
      <c r="B102" s="9" t="s">
        <v>8528</v>
      </c>
      <c r="C102" s="9" t="s">
        <v>343</v>
      </c>
      <c r="D102" s="9" t="s">
        <v>139</v>
      </c>
      <c r="E102" s="9" t="s">
        <v>267</v>
      </c>
      <c r="F102" s="9" t="s">
        <v>141</v>
      </c>
      <c r="G102" s="9" t="s">
        <v>142</v>
      </c>
      <c r="H102" s="9" t="s">
        <v>139</v>
      </c>
      <c r="I102" s="9" t="s">
        <v>143</v>
      </c>
      <c r="J102" s="9" t="s">
        <v>139</v>
      </c>
      <c r="K102" s="10">
        <v>37104</v>
      </c>
    </row>
    <row r="103" spans="1:11" x14ac:dyDescent="0.25">
      <c r="A103" s="8">
        <v>236</v>
      </c>
      <c r="B103" s="9" t="s">
        <v>8529</v>
      </c>
      <c r="C103" s="9" t="s">
        <v>344</v>
      </c>
      <c r="D103" s="9" t="s">
        <v>139</v>
      </c>
      <c r="E103" s="9" t="s">
        <v>345</v>
      </c>
      <c r="F103" s="9" t="s">
        <v>346</v>
      </c>
      <c r="G103" s="9" t="s">
        <v>142</v>
      </c>
      <c r="H103" s="9" t="s">
        <v>139</v>
      </c>
      <c r="I103" s="9" t="s">
        <v>143</v>
      </c>
      <c r="J103" s="9" t="s">
        <v>139</v>
      </c>
      <c r="K103" s="10">
        <v>37104</v>
      </c>
    </row>
    <row r="104" spans="1:11" x14ac:dyDescent="0.25">
      <c r="A104" s="8">
        <v>239</v>
      </c>
      <c r="B104" s="9" t="s">
        <v>8530</v>
      </c>
      <c r="C104" s="9" t="s">
        <v>347</v>
      </c>
      <c r="D104" s="9" t="s">
        <v>139</v>
      </c>
      <c r="E104" s="9" t="s">
        <v>306</v>
      </c>
      <c r="F104" s="9" t="s">
        <v>141</v>
      </c>
      <c r="G104" s="9" t="s">
        <v>142</v>
      </c>
      <c r="H104" s="9" t="s">
        <v>139</v>
      </c>
      <c r="I104" s="9" t="s">
        <v>143</v>
      </c>
      <c r="J104" s="9" t="s">
        <v>139</v>
      </c>
      <c r="K104" s="10">
        <v>37104</v>
      </c>
    </row>
    <row r="105" spans="1:11" x14ac:dyDescent="0.25">
      <c r="A105" s="8">
        <v>240</v>
      </c>
      <c r="B105" s="9" t="s">
        <v>8531</v>
      </c>
      <c r="C105" s="9" t="s">
        <v>348</v>
      </c>
      <c r="D105" s="9" t="s">
        <v>139</v>
      </c>
      <c r="E105" s="9" t="s">
        <v>349</v>
      </c>
      <c r="F105" s="9" t="s">
        <v>350</v>
      </c>
      <c r="G105" s="9" t="s">
        <v>142</v>
      </c>
      <c r="H105" s="9" t="s">
        <v>139</v>
      </c>
      <c r="I105" s="9" t="s">
        <v>143</v>
      </c>
      <c r="J105" s="9" t="s">
        <v>139</v>
      </c>
      <c r="K105" s="10">
        <v>37104</v>
      </c>
    </row>
    <row r="106" spans="1:11" x14ac:dyDescent="0.25">
      <c r="A106" s="8">
        <v>242</v>
      </c>
      <c r="B106" s="9" t="s">
        <v>8532</v>
      </c>
      <c r="C106" s="9" t="s">
        <v>351</v>
      </c>
      <c r="D106" s="9" t="s">
        <v>139</v>
      </c>
      <c r="E106" s="9" t="s">
        <v>286</v>
      </c>
      <c r="F106" s="9" t="s">
        <v>141</v>
      </c>
      <c r="G106" s="9" t="s">
        <v>142</v>
      </c>
      <c r="H106" s="9" t="s">
        <v>139</v>
      </c>
      <c r="I106" s="9" t="s">
        <v>143</v>
      </c>
      <c r="J106" s="9" t="s">
        <v>139</v>
      </c>
      <c r="K106" s="10">
        <v>37104</v>
      </c>
    </row>
    <row r="107" spans="1:11" x14ac:dyDescent="0.25">
      <c r="A107" s="8">
        <v>243</v>
      </c>
      <c r="B107" s="9" t="s">
        <v>8533</v>
      </c>
      <c r="C107" s="9" t="s">
        <v>352</v>
      </c>
      <c r="D107" s="9" t="s">
        <v>139</v>
      </c>
      <c r="E107" s="9" t="s">
        <v>267</v>
      </c>
      <c r="F107" s="9" t="s">
        <v>141</v>
      </c>
      <c r="G107" s="9" t="s">
        <v>142</v>
      </c>
      <c r="H107" s="9" t="s">
        <v>139</v>
      </c>
      <c r="I107" s="9" t="s">
        <v>143</v>
      </c>
      <c r="J107" s="9" t="s">
        <v>139</v>
      </c>
      <c r="K107" s="10">
        <v>37104</v>
      </c>
    </row>
    <row r="108" spans="1:11" x14ac:dyDescent="0.25">
      <c r="A108" s="8">
        <v>244</v>
      </c>
      <c r="B108" s="9" t="s">
        <v>8534</v>
      </c>
      <c r="C108" s="9" t="s">
        <v>353</v>
      </c>
      <c r="D108" s="9" t="s">
        <v>139</v>
      </c>
      <c r="E108" s="9" t="s">
        <v>354</v>
      </c>
      <c r="F108" s="9" t="s">
        <v>355</v>
      </c>
      <c r="G108" s="9" t="s">
        <v>142</v>
      </c>
      <c r="H108" s="9" t="s">
        <v>139</v>
      </c>
      <c r="I108" s="9" t="s">
        <v>143</v>
      </c>
      <c r="J108" s="9" t="s">
        <v>139</v>
      </c>
      <c r="K108" s="10">
        <v>37104</v>
      </c>
    </row>
    <row r="109" spans="1:11" x14ac:dyDescent="0.25">
      <c r="A109" s="8">
        <v>245</v>
      </c>
      <c r="B109" s="9" t="s">
        <v>8535</v>
      </c>
      <c r="C109" s="9" t="s">
        <v>356</v>
      </c>
      <c r="D109" s="9" t="s">
        <v>139</v>
      </c>
      <c r="E109" s="9" t="s">
        <v>357</v>
      </c>
      <c r="F109" s="9" t="s">
        <v>358</v>
      </c>
      <c r="G109" s="9" t="s">
        <v>142</v>
      </c>
      <c r="H109" s="9" t="s">
        <v>139</v>
      </c>
      <c r="I109" s="9" t="s">
        <v>143</v>
      </c>
      <c r="J109" s="9" t="s">
        <v>139</v>
      </c>
      <c r="K109" s="10">
        <v>37104</v>
      </c>
    </row>
    <row r="110" spans="1:11" x14ac:dyDescent="0.25">
      <c r="A110" s="8">
        <v>246</v>
      </c>
      <c r="B110" s="9" t="s">
        <v>8536</v>
      </c>
      <c r="C110" s="9" t="s">
        <v>359</v>
      </c>
      <c r="D110" s="9" t="s">
        <v>139</v>
      </c>
      <c r="E110" s="9" t="s">
        <v>267</v>
      </c>
      <c r="F110" s="9" t="s">
        <v>141</v>
      </c>
      <c r="G110" s="9" t="s">
        <v>142</v>
      </c>
      <c r="H110" s="9" t="s">
        <v>139</v>
      </c>
      <c r="I110" s="9" t="s">
        <v>143</v>
      </c>
      <c r="J110" s="9" t="s">
        <v>139</v>
      </c>
      <c r="K110" s="10">
        <v>37104</v>
      </c>
    </row>
    <row r="111" spans="1:11" x14ac:dyDescent="0.25">
      <c r="A111" s="8">
        <v>248</v>
      </c>
      <c r="B111" s="9" t="s">
        <v>8537</v>
      </c>
      <c r="C111" s="9" t="s">
        <v>360</v>
      </c>
      <c r="D111" s="9" t="s">
        <v>139</v>
      </c>
      <c r="E111" s="9" t="s">
        <v>361</v>
      </c>
      <c r="F111" s="9" t="s">
        <v>362</v>
      </c>
      <c r="G111" s="9" t="s">
        <v>142</v>
      </c>
      <c r="H111" s="9" t="s">
        <v>139</v>
      </c>
      <c r="I111" s="9" t="s">
        <v>143</v>
      </c>
      <c r="J111" s="9" t="s">
        <v>139</v>
      </c>
      <c r="K111" s="10">
        <v>37104</v>
      </c>
    </row>
    <row r="112" spans="1:11" x14ac:dyDescent="0.25">
      <c r="A112" s="8">
        <v>250</v>
      </c>
      <c r="B112" s="9" t="s">
        <v>8538</v>
      </c>
      <c r="C112" s="9" t="s">
        <v>363</v>
      </c>
      <c r="D112" s="9" t="s">
        <v>139</v>
      </c>
      <c r="E112" s="9" t="s">
        <v>364</v>
      </c>
      <c r="F112" s="9" t="s">
        <v>365</v>
      </c>
      <c r="G112" s="9" t="s">
        <v>142</v>
      </c>
      <c r="H112" s="9" t="s">
        <v>139</v>
      </c>
      <c r="I112" s="9" t="s">
        <v>143</v>
      </c>
      <c r="J112" s="9" t="s">
        <v>139</v>
      </c>
      <c r="K112" s="10">
        <v>37104</v>
      </c>
    </row>
    <row r="113" spans="1:11" x14ac:dyDescent="0.25">
      <c r="A113" s="8">
        <v>252</v>
      </c>
      <c r="B113" s="9" t="s">
        <v>8539</v>
      </c>
      <c r="C113" s="9" t="s">
        <v>366</v>
      </c>
      <c r="D113" s="9" t="s">
        <v>139</v>
      </c>
      <c r="E113" s="9" t="s">
        <v>331</v>
      </c>
      <c r="F113" s="9" t="s">
        <v>332</v>
      </c>
      <c r="G113" s="9" t="s">
        <v>142</v>
      </c>
      <c r="H113" s="9" t="s">
        <v>139</v>
      </c>
      <c r="I113" s="9" t="s">
        <v>143</v>
      </c>
      <c r="J113" s="9" t="s">
        <v>139</v>
      </c>
      <c r="K113" s="10">
        <v>37104</v>
      </c>
    </row>
    <row r="114" spans="1:11" x14ac:dyDescent="0.25">
      <c r="A114" s="8">
        <v>256</v>
      </c>
      <c r="B114" s="9" t="s">
        <v>8540</v>
      </c>
      <c r="C114" s="9" t="s">
        <v>367</v>
      </c>
      <c r="D114" s="9" t="s">
        <v>139</v>
      </c>
      <c r="E114" s="9" t="s">
        <v>368</v>
      </c>
      <c r="F114" s="9" t="s">
        <v>369</v>
      </c>
      <c r="G114" s="9" t="s">
        <v>142</v>
      </c>
      <c r="H114" s="9" t="s">
        <v>139</v>
      </c>
      <c r="I114" s="9" t="s">
        <v>143</v>
      </c>
      <c r="J114" s="9" t="s">
        <v>139</v>
      </c>
      <c r="K114" s="10">
        <v>37104</v>
      </c>
    </row>
    <row r="115" spans="1:11" x14ac:dyDescent="0.25">
      <c r="A115" s="8">
        <v>257</v>
      </c>
      <c r="B115" s="9" t="s">
        <v>8541</v>
      </c>
      <c r="C115" s="9" t="s">
        <v>370</v>
      </c>
      <c r="D115" s="9" t="s">
        <v>139</v>
      </c>
      <c r="E115" s="9" t="s">
        <v>371</v>
      </c>
      <c r="F115" s="9" t="s">
        <v>372</v>
      </c>
      <c r="G115" s="9" t="s">
        <v>142</v>
      </c>
      <c r="H115" s="9" t="s">
        <v>139</v>
      </c>
      <c r="I115" s="9" t="s">
        <v>143</v>
      </c>
      <c r="J115" s="9" t="s">
        <v>139</v>
      </c>
      <c r="K115" s="10">
        <v>37104</v>
      </c>
    </row>
    <row r="116" spans="1:11" x14ac:dyDescent="0.25">
      <c r="A116" s="8">
        <v>259</v>
      </c>
      <c r="B116" s="9" t="s">
        <v>8542</v>
      </c>
      <c r="C116" s="9" t="s">
        <v>373</v>
      </c>
      <c r="D116" s="9" t="s">
        <v>139</v>
      </c>
      <c r="E116" s="9" t="s">
        <v>374</v>
      </c>
      <c r="F116" s="9" t="s">
        <v>375</v>
      </c>
      <c r="G116" s="9" t="s">
        <v>142</v>
      </c>
      <c r="H116" s="9" t="s">
        <v>139</v>
      </c>
      <c r="I116" s="9" t="s">
        <v>143</v>
      </c>
      <c r="J116" s="9" t="s">
        <v>139</v>
      </c>
      <c r="K116" s="10">
        <v>37104</v>
      </c>
    </row>
    <row r="117" spans="1:11" x14ac:dyDescent="0.25">
      <c r="A117" s="8">
        <v>264</v>
      </c>
      <c r="B117" s="9" t="s">
        <v>8543</v>
      </c>
      <c r="C117" s="9" t="s">
        <v>376</v>
      </c>
      <c r="D117" s="9" t="s">
        <v>139</v>
      </c>
      <c r="E117" s="9" t="s">
        <v>377</v>
      </c>
      <c r="F117" s="9" t="s">
        <v>378</v>
      </c>
      <c r="G117" s="9" t="s">
        <v>142</v>
      </c>
      <c r="H117" s="9" t="s">
        <v>139</v>
      </c>
      <c r="I117" s="9" t="s">
        <v>143</v>
      </c>
      <c r="J117" s="9" t="s">
        <v>139</v>
      </c>
      <c r="K117" s="10">
        <v>37104</v>
      </c>
    </row>
    <row r="118" spans="1:11" x14ac:dyDescent="0.25">
      <c r="A118" s="8">
        <v>266</v>
      </c>
      <c r="B118" s="9" t="s">
        <v>8544</v>
      </c>
      <c r="C118" s="9" t="s">
        <v>379</v>
      </c>
      <c r="D118" s="9" t="s">
        <v>139</v>
      </c>
      <c r="E118" s="9" t="s">
        <v>140</v>
      </c>
      <c r="F118" s="9" t="s">
        <v>141</v>
      </c>
      <c r="G118" s="9" t="s">
        <v>142</v>
      </c>
      <c r="H118" s="9" t="s">
        <v>139</v>
      </c>
      <c r="I118" s="9" t="s">
        <v>143</v>
      </c>
      <c r="J118" s="9" t="s">
        <v>139</v>
      </c>
      <c r="K118" s="10">
        <v>37104</v>
      </c>
    </row>
    <row r="119" spans="1:11" x14ac:dyDescent="0.25">
      <c r="A119" s="8">
        <v>271</v>
      </c>
      <c r="B119" s="9" t="s">
        <v>8545</v>
      </c>
      <c r="C119" s="9" t="s">
        <v>380</v>
      </c>
      <c r="D119" s="9" t="s">
        <v>139</v>
      </c>
      <c r="E119" s="9" t="s">
        <v>381</v>
      </c>
      <c r="F119" s="9" t="s">
        <v>382</v>
      </c>
      <c r="G119" s="9" t="s">
        <v>142</v>
      </c>
      <c r="H119" s="9" t="s">
        <v>139</v>
      </c>
      <c r="I119" s="9" t="s">
        <v>143</v>
      </c>
      <c r="J119" s="9" t="s">
        <v>139</v>
      </c>
      <c r="K119" s="10">
        <v>37104</v>
      </c>
    </row>
    <row r="120" spans="1:11" x14ac:dyDescent="0.25">
      <c r="A120" s="8">
        <v>272</v>
      </c>
      <c r="B120" s="9" t="s">
        <v>8546</v>
      </c>
      <c r="C120" s="9" t="s">
        <v>383</v>
      </c>
      <c r="D120" s="9" t="s">
        <v>139</v>
      </c>
      <c r="E120" s="9" t="s">
        <v>140</v>
      </c>
      <c r="F120" s="9" t="s">
        <v>141</v>
      </c>
      <c r="G120" s="9" t="s">
        <v>142</v>
      </c>
      <c r="H120" s="9" t="s">
        <v>139</v>
      </c>
      <c r="I120" s="9" t="s">
        <v>143</v>
      </c>
      <c r="J120" s="9" t="s">
        <v>139</v>
      </c>
      <c r="K120" s="10">
        <v>37104</v>
      </c>
    </row>
    <row r="121" spans="1:11" x14ac:dyDescent="0.25">
      <c r="A121" s="8">
        <v>273</v>
      </c>
      <c r="B121" s="9" t="s">
        <v>8547</v>
      </c>
      <c r="C121" s="9" t="s">
        <v>384</v>
      </c>
      <c r="D121" s="9" t="s">
        <v>139</v>
      </c>
      <c r="E121" s="9" t="s">
        <v>199</v>
      </c>
      <c r="F121" s="9" t="s">
        <v>200</v>
      </c>
      <c r="G121" s="9" t="s">
        <v>142</v>
      </c>
      <c r="H121" s="9" t="s">
        <v>139</v>
      </c>
      <c r="I121" s="9" t="s">
        <v>143</v>
      </c>
      <c r="J121" s="9" t="s">
        <v>139</v>
      </c>
      <c r="K121" s="10">
        <v>37104</v>
      </c>
    </row>
    <row r="122" spans="1:11" x14ac:dyDescent="0.25">
      <c r="A122" s="8">
        <v>275</v>
      </c>
      <c r="B122" s="9" t="s">
        <v>8548</v>
      </c>
      <c r="C122" s="9" t="s">
        <v>385</v>
      </c>
      <c r="D122" s="9" t="s">
        <v>139</v>
      </c>
      <c r="E122" s="9" t="s">
        <v>306</v>
      </c>
      <c r="F122" s="9" t="s">
        <v>141</v>
      </c>
      <c r="G122" s="9" t="s">
        <v>142</v>
      </c>
      <c r="H122" s="9" t="s">
        <v>139</v>
      </c>
      <c r="I122" s="9" t="s">
        <v>143</v>
      </c>
      <c r="J122" s="9" t="s">
        <v>139</v>
      </c>
      <c r="K122" s="10">
        <v>37104</v>
      </c>
    </row>
    <row r="123" spans="1:11" x14ac:dyDescent="0.25">
      <c r="A123" s="8">
        <v>276</v>
      </c>
      <c r="B123" s="9" t="s">
        <v>8549</v>
      </c>
      <c r="C123" s="9" t="s">
        <v>386</v>
      </c>
      <c r="D123" s="9" t="s">
        <v>139</v>
      </c>
      <c r="E123" s="9" t="s">
        <v>387</v>
      </c>
      <c r="F123" s="9" t="s">
        <v>388</v>
      </c>
      <c r="G123" s="9" t="s">
        <v>142</v>
      </c>
      <c r="H123" s="9" t="s">
        <v>139</v>
      </c>
      <c r="I123" s="9" t="s">
        <v>143</v>
      </c>
      <c r="J123" s="9" t="s">
        <v>139</v>
      </c>
      <c r="K123" s="10">
        <v>37104</v>
      </c>
    </row>
    <row r="124" spans="1:11" x14ac:dyDescent="0.25">
      <c r="A124" s="8">
        <v>277</v>
      </c>
      <c r="B124" s="9" t="s">
        <v>8550</v>
      </c>
      <c r="C124" s="9" t="s">
        <v>389</v>
      </c>
      <c r="D124" s="9" t="s">
        <v>139</v>
      </c>
      <c r="E124" s="9" t="s">
        <v>140</v>
      </c>
      <c r="F124" s="9" t="s">
        <v>141</v>
      </c>
      <c r="G124" s="9" t="s">
        <v>142</v>
      </c>
      <c r="H124" s="9" t="s">
        <v>139</v>
      </c>
      <c r="I124" s="9" t="s">
        <v>143</v>
      </c>
      <c r="J124" s="9" t="s">
        <v>139</v>
      </c>
      <c r="K124" s="10">
        <v>37104</v>
      </c>
    </row>
    <row r="125" spans="1:11" x14ac:dyDescent="0.25">
      <c r="A125" s="8">
        <v>278</v>
      </c>
      <c r="B125" s="9" t="s">
        <v>8551</v>
      </c>
      <c r="C125" s="9" t="s">
        <v>390</v>
      </c>
      <c r="D125" s="9" t="s">
        <v>139</v>
      </c>
      <c r="E125" s="9" t="s">
        <v>391</v>
      </c>
      <c r="F125" s="9" t="s">
        <v>392</v>
      </c>
      <c r="G125" s="9" t="s">
        <v>142</v>
      </c>
      <c r="H125" s="9" t="s">
        <v>241</v>
      </c>
      <c r="I125" s="9" t="s">
        <v>143</v>
      </c>
      <c r="J125" s="9" t="s">
        <v>139</v>
      </c>
      <c r="K125" s="10">
        <v>37104</v>
      </c>
    </row>
    <row r="126" spans="1:11" x14ac:dyDescent="0.25">
      <c r="A126" s="8">
        <v>279</v>
      </c>
      <c r="B126" s="9" t="s">
        <v>8552</v>
      </c>
      <c r="C126" s="9" t="s">
        <v>393</v>
      </c>
      <c r="D126" s="9" t="s">
        <v>139</v>
      </c>
      <c r="E126" s="9" t="s">
        <v>140</v>
      </c>
      <c r="F126" s="9" t="s">
        <v>141</v>
      </c>
      <c r="G126" s="9" t="s">
        <v>142</v>
      </c>
      <c r="H126" s="9" t="s">
        <v>166</v>
      </c>
      <c r="I126" s="9" t="s">
        <v>143</v>
      </c>
      <c r="J126" s="9" t="s">
        <v>139</v>
      </c>
      <c r="K126" s="10">
        <v>37104</v>
      </c>
    </row>
    <row r="127" spans="1:11" x14ac:dyDescent="0.25">
      <c r="A127" s="8">
        <v>286</v>
      </c>
      <c r="B127" s="9" t="s">
        <v>8553</v>
      </c>
      <c r="C127" s="9" t="s">
        <v>394</v>
      </c>
      <c r="D127" s="9" t="s">
        <v>139</v>
      </c>
      <c r="E127" s="9" t="s">
        <v>140</v>
      </c>
      <c r="F127" s="9" t="s">
        <v>141</v>
      </c>
      <c r="G127" s="9" t="s">
        <v>142</v>
      </c>
      <c r="H127" s="9" t="s">
        <v>139</v>
      </c>
      <c r="I127" s="9" t="s">
        <v>143</v>
      </c>
      <c r="J127" s="9" t="s">
        <v>139</v>
      </c>
      <c r="K127" s="10">
        <v>37104</v>
      </c>
    </row>
    <row r="128" spans="1:11" x14ac:dyDescent="0.25">
      <c r="A128" s="8">
        <v>288</v>
      </c>
      <c r="B128" s="9" t="s">
        <v>8554</v>
      </c>
      <c r="C128" s="9" t="s">
        <v>395</v>
      </c>
      <c r="D128" s="9" t="s">
        <v>139</v>
      </c>
      <c r="E128" s="9" t="s">
        <v>180</v>
      </c>
      <c r="F128" s="9" t="s">
        <v>141</v>
      </c>
      <c r="G128" s="9" t="s">
        <v>142</v>
      </c>
      <c r="H128" s="9" t="s">
        <v>139</v>
      </c>
      <c r="I128" s="9" t="s">
        <v>143</v>
      </c>
      <c r="J128" s="9" t="s">
        <v>139</v>
      </c>
      <c r="K128" s="10">
        <v>37104</v>
      </c>
    </row>
    <row r="129" spans="1:11" x14ac:dyDescent="0.25">
      <c r="A129" s="8">
        <v>289</v>
      </c>
      <c r="B129" s="9" t="s">
        <v>8555</v>
      </c>
      <c r="C129" s="9" t="s">
        <v>396</v>
      </c>
      <c r="D129" s="9" t="s">
        <v>139</v>
      </c>
      <c r="E129" s="9" t="s">
        <v>397</v>
      </c>
      <c r="F129" s="9" t="s">
        <v>398</v>
      </c>
      <c r="G129" s="9" t="s">
        <v>142</v>
      </c>
      <c r="H129" s="9" t="s">
        <v>139</v>
      </c>
      <c r="I129" s="9" t="s">
        <v>143</v>
      </c>
      <c r="J129" s="9" t="s">
        <v>139</v>
      </c>
      <c r="K129" s="10">
        <v>37104</v>
      </c>
    </row>
    <row r="130" spans="1:11" x14ac:dyDescent="0.25">
      <c r="A130" s="8">
        <v>290</v>
      </c>
      <c r="B130" s="9" t="s">
        <v>8556</v>
      </c>
      <c r="C130" s="9" t="s">
        <v>399</v>
      </c>
      <c r="D130" s="9" t="s">
        <v>139</v>
      </c>
      <c r="E130" s="9" t="s">
        <v>140</v>
      </c>
      <c r="F130" s="9" t="s">
        <v>141</v>
      </c>
      <c r="G130" s="9" t="s">
        <v>142</v>
      </c>
      <c r="H130" s="9" t="s">
        <v>258</v>
      </c>
      <c r="I130" s="9" t="s">
        <v>143</v>
      </c>
      <c r="J130" s="9" t="s">
        <v>139</v>
      </c>
      <c r="K130" s="10">
        <v>37104</v>
      </c>
    </row>
    <row r="131" spans="1:11" x14ac:dyDescent="0.25">
      <c r="A131" s="8">
        <v>293</v>
      </c>
      <c r="B131" s="9" t="s">
        <v>8557</v>
      </c>
      <c r="C131" s="9" t="s">
        <v>400</v>
      </c>
      <c r="D131" s="9" t="s">
        <v>139</v>
      </c>
      <c r="E131" s="9" t="s">
        <v>140</v>
      </c>
      <c r="F131" s="9" t="s">
        <v>141</v>
      </c>
      <c r="G131" s="9" t="s">
        <v>142</v>
      </c>
      <c r="H131" s="9" t="s">
        <v>139</v>
      </c>
      <c r="I131" s="9" t="s">
        <v>143</v>
      </c>
      <c r="J131" s="9" t="s">
        <v>139</v>
      </c>
      <c r="K131" s="10">
        <v>37104</v>
      </c>
    </row>
    <row r="132" spans="1:11" x14ac:dyDescent="0.25">
      <c r="A132" s="8">
        <v>294</v>
      </c>
      <c r="B132" s="9" t="s">
        <v>8558</v>
      </c>
      <c r="C132" s="9" t="s">
        <v>401</v>
      </c>
      <c r="D132" s="9" t="s">
        <v>139</v>
      </c>
      <c r="E132" s="9" t="s">
        <v>236</v>
      </c>
      <c r="F132" s="9" t="s">
        <v>237</v>
      </c>
      <c r="G132" s="9" t="s">
        <v>142</v>
      </c>
      <c r="H132" s="9" t="s">
        <v>139</v>
      </c>
      <c r="I132" s="9" t="s">
        <v>143</v>
      </c>
      <c r="J132" s="9" t="s">
        <v>139</v>
      </c>
      <c r="K132" s="10">
        <v>37104</v>
      </c>
    </row>
    <row r="133" spans="1:11" x14ac:dyDescent="0.25">
      <c r="A133" s="8">
        <v>296</v>
      </c>
      <c r="B133" s="9" t="s">
        <v>8559</v>
      </c>
      <c r="C133" s="9" t="s">
        <v>402</v>
      </c>
      <c r="D133" s="9" t="s">
        <v>139</v>
      </c>
      <c r="E133" s="9" t="s">
        <v>403</v>
      </c>
      <c r="F133" s="9" t="s">
        <v>404</v>
      </c>
      <c r="G133" s="9" t="s">
        <v>142</v>
      </c>
      <c r="H133" s="9" t="s">
        <v>139</v>
      </c>
      <c r="I133" s="9" t="s">
        <v>143</v>
      </c>
      <c r="J133" s="9" t="s">
        <v>139</v>
      </c>
      <c r="K133" s="10">
        <v>37104</v>
      </c>
    </row>
    <row r="134" spans="1:11" x14ac:dyDescent="0.25">
      <c r="A134" s="8">
        <v>297</v>
      </c>
      <c r="B134" s="9" t="s">
        <v>8560</v>
      </c>
      <c r="C134" s="9" t="s">
        <v>405</v>
      </c>
      <c r="D134" s="9" t="s">
        <v>139</v>
      </c>
      <c r="E134" s="9" t="s">
        <v>161</v>
      </c>
      <c r="F134" s="9" t="s">
        <v>9304</v>
      </c>
      <c r="G134" s="9" t="s">
        <v>142</v>
      </c>
      <c r="H134" s="9" t="s">
        <v>139</v>
      </c>
      <c r="I134" s="9" t="s">
        <v>143</v>
      </c>
      <c r="J134" s="9" t="s">
        <v>139</v>
      </c>
      <c r="K134" s="10">
        <v>37104</v>
      </c>
    </row>
    <row r="135" spans="1:11" x14ac:dyDescent="0.25">
      <c r="A135" s="8">
        <v>299</v>
      </c>
      <c r="B135" s="9" t="s">
        <v>8561</v>
      </c>
      <c r="C135" s="9" t="s">
        <v>406</v>
      </c>
      <c r="D135" s="9" t="s">
        <v>139</v>
      </c>
      <c r="E135" s="9" t="s">
        <v>306</v>
      </c>
      <c r="F135" s="9" t="s">
        <v>141</v>
      </c>
      <c r="G135" s="9" t="s">
        <v>142</v>
      </c>
      <c r="H135" s="9" t="s">
        <v>139</v>
      </c>
      <c r="I135" s="9" t="s">
        <v>143</v>
      </c>
      <c r="J135" s="9" t="s">
        <v>139</v>
      </c>
      <c r="K135" s="10">
        <v>37104</v>
      </c>
    </row>
    <row r="136" spans="1:11" x14ac:dyDescent="0.25">
      <c r="A136" s="8">
        <v>300</v>
      </c>
      <c r="B136" s="9" t="s">
        <v>8562</v>
      </c>
      <c r="C136" s="9" t="s">
        <v>407</v>
      </c>
      <c r="D136" s="9" t="s">
        <v>139</v>
      </c>
      <c r="E136" s="9" t="s">
        <v>408</v>
      </c>
      <c r="F136" s="9" t="s">
        <v>409</v>
      </c>
      <c r="G136" s="9" t="s">
        <v>142</v>
      </c>
      <c r="H136" s="9" t="s">
        <v>241</v>
      </c>
      <c r="I136" s="9" t="s">
        <v>143</v>
      </c>
      <c r="J136" s="9" t="s">
        <v>139</v>
      </c>
      <c r="K136" s="10">
        <v>37104</v>
      </c>
    </row>
    <row r="137" spans="1:11" x14ac:dyDescent="0.25">
      <c r="A137" s="8">
        <v>301</v>
      </c>
      <c r="B137" s="9" t="s">
        <v>5235</v>
      </c>
      <c r="C137" s="9" t="s">
        <v>410</v>
      </c>
      <c r="D137" s="9" t="s">
        <v>139</v>
      </c>
      <c r="E137" s="9" t="s">
        <v>161</v>
      </c>
      <c r="F137" s="9" t="s">
        <v>9304</v>
      </c>
      <c r="G137" s="9" t="s">
        <v>142</v>
      </c>
      <c r="H137" s="9" t="s">
        <v>139</v>
      </c>
      <c r="I137" s="9" t="s">
        <v>411</v>
      </c>
      <c r="J137" s="9" t="s">
        <v>139</v>
      </c>
      <c r="K137" s="10">
        <v>37104</v>
      </c>
    </row>
    <row r="138" spans="1:11" x14ac:dyDescent="0.25">
      <c r="A138" s="8">
        <v>304</v>
      </c>
      <c r="B138" s="9" t="s">
        <v>5236</v>
      </c>
      <c r="C138" s="9" t="s">
        <v>412</v>
      </c>
      <c r="D138" s="9" t="s">
        <v>139</v>
      </c>
      <c r="E138" s="9" t="s">
        <v>197</v>
      </c>
      <c r="F138" s="9" t="s">
        <v>141</v>
      </c>
      <c r="G138" s="9" t="s">
        <v>142</v>
      </c>
      <c r="H138" s="9" t="s">
        <v>166</v>
      </c>
      <c r="I138" s="9" t="s">
        <v>411</v>
      </c>
      <c r="J138" s="9" t="s">
        <v>414</v>
      </c>
      <c r="K138" s="10">
        <v>37104</v>
      </c>
    </row>
    <row r="139" spans="1:11" x14ac:dyDescent="0.25">
      <c r="A139" s="8">
        <v>306</v>
      </c>
      <c r="B139" s="9" t="s">
        <v>5237</v>
      </c>
      <c r="C139" s="9" t="s">
        <v>415</v>
      </c>
      <c r="D139" s="9" t="s">
        <v>139</v>
      </c>
      <c r="E139" s="9" t="s">
        <v>416</v>
      </c>
      <c r="F139" s="9" t="s">
        <v>417</v>
      </c>
      <c r="G139" s="9" t="s">
        <v>142</v>
      </c>
      <c r="H139" s="9" t="s">
        <v>139</v>
      </c>
      <c r="I139" s="9" t="s">
        <v>411</v>
      </c>
      <c r="J139" s="9" t="s">
        <v>139</v>
      </c>
      <c r="K139" s="10">
        <v>37104</v>
      </c>
    </row>
    <row r="140" spans="1:11" x14ac:dyDescent="0.25">
      <c r="A140" s="8">
        <v>313</v>
      </c>
      <c r="B140" s="9" t="s">
        <v>5238</v>
      </c>
      <c r="C140" s="9" t="s">
        <v>418</v>
      </c>
      <c r="D140" s="9" t="s">
        <v>139</v>
      </c>
      <c r="E140" s="9" t="s">
        <v>419</v>
      </c>
      <c r="F140" s="9" t="s">
        <v>420</v>
      </c>
      <c r="G140" s="9" t="s">
        <v>142</v>
      </c>
      <c r="H140" s="9" t="s">
        <v>139</v>
      </c>
      <c r="I140" s="9" t="s">
        <v>411</v>
      </c>
      <c r="J140" s="9" t="s">
        <v>421</v>
      </c>
      <c r="K140" s="10">
        <v>37104</v>
      </c>
    </row>
    <row r="141" spans="1:11" x14ac:dyDescent="0.25">
      <c r="A141" s="8">
        <v>317</v>
      </c>
      <c r="B141" s="9" t="s">
        <v>5239</v>
      </c>
      <c r="C141" s="9" t="s">
        <v>422</v>
      </c>
      <c r="D141" s="9" t="s">
        <v>139</v>
      </c>
      <c r="E141" s="9" t="s">
        <v>139</v>
      </c>
      <c r="F141" s="9" t="s">
        <v>423</v>
      </c>
      <c r="G141" s="9" t="s">
        <v>424</v>
      </c>
      <c r="H141" s="9" t="s">
        <v>139</v>
      </c>
      <c r="I141" s="9" t="s">
        <v>411</v>
      </c>
      <c r="J141" s="9" t="s">
        <v>139</v>
      </c>
      <c r="K141" s="10">
        <v>37104</v>
      </c>
    </row>
    <row r="142" spans="1:11" x14ac:dyDescent="0.25">
      <c r="A142" s="8">
        <v>319</v>
      </c>
      <c r="B142" s="9" t="s">
        <v>8563</v>
      </c>
      <c r="C142" s="9" t="s">
        <v>139</v>
      </c>
      <c r="D142" s="9" t="s">
        <v>139</v>
      </c>
      <c r="E142" s="9">
        <v>74000</v>
      </c>
      <c r="F142" s="9" t="s">
        <v>425</v>
      </c>
      <c r="G142" s="9" t="s">
        <v>142</v>
      </c>
      <c r="H142" s="9" t="s">
        <v>166</v>
      </c>
      <c r="I142" s="9" t="s">
        <v>143</v>
      </c>
      <c r="J142" s="9" t="s">
        <v>139</v>
      </c>
      <c r="K142" s="10">
        <v>37104</v>
      </c>
    </row>
    <row r="143" spans="1:11" x14ac:dyDescent="0.25">
      <c r="A143" s="8">
        <v>320</v>
      </c>
      <c r="B143" s="9" t="s">
        <v>5240</v>
      </c>
      <c r="C143" s="9" t="s">
        <v>139</v>
      </c>
      <c r="D143" s="9" t="s">
        <v>139</v>
      </c>
      <c r="E143" s="9">
        <v>75</v>
      </c>
      <c r="F143" s="9" t="s">
        <v>413</v>
      </c>
      <c r="G143" s="9" t="s">
        <v>142</v>
      </c>
      <c r="H143" s="9" t="s">
        <v>139</v>
      </c>
      <c r="I143" s="9" t="s">
        <v>411</v>
      </c>
      <c r="J143" s="9" t="s">
        <v>139</v>
      </c>
      <c r="K143" s="10">
        <v>37104</v>
      </c>
    </row>
    <row r="144" spans="1:11" x14ac:dyDescent="0.25">
      <c r="A144" s="8">
        <v>323</v>
      </c>
      <c r="B144" s="9" t="s">
        <v>8564</v>
      </c>
      <c r="C144" s="9" t="s">
        <v>426</v>
      </c>
      <c r="D144" s="9" t="s">
        <v>139</v>
      </c>
      <c r="E144" s="9" t="s">
        <v>267</v>
      </c>
      <c r="F144" s="9" t="s">
        <v>141</v>
      </c>
      <c r="G144" s="9" t="s">
        <v>142</v>
      </c>
      <c r="H144" s="9" t="s">
        <v>139</v>
      </c>
      <c r="I144" s="9" t="s">
        <v>143</v>
      </c>
      <c r="J144" s="9" t="s">
        <v>139</v>
      </c>
      <c r="K144" s="10">
        <v>37104</v>
      </c>
    </row>
    <row r="145" spans="1:11" x14ac:dyDescent="0.25">
      <c r="A145" s="8">
        <v>326</v>
      </c>
      <c r="B145" s="9" t="s">
        <v>5241</v>
      </c>
      <c r="C145" s="9" t="s">
        <v>427</v>
      </c>
      <c r="D145" s="9" t="s">
        <v>139</v>
      </c>
      <c r="E145" s="9" t="s">
        <v>140</v>
      </c>
      <c r="F145" s="9" t="s">
        <v>141</v>
      </c>
      <c r="G145" s="9" t="s">
        <v>142</v>
      </c>
      <c r="H145" s="9" t="s">
        <v>139</v>
      </c>
      <c r="I145" s="9" t="s">
        <v>411</v>
      </c>
      <c r="J145" s="9" t="s">
        <v>139</v>
      </c>
      <c r="K145" s="10">
        <v>37104</v>
      </c>
    </row>
    <row r="146" spans="1:11" x14ac:dyDescent="0.25">
      <c r="A146" s="8">
        <v>328</v>
      </c>
      <c r="B146" s="9" t="s">
        <v>5242</v>
      </c>
      <c r="C146" s="9" t="s">
        <v>428</v>
      </c>
      <c r="D146" s="9" t="s">
        <v>139</v>
      </c>
      <c r="E146" s="9" t="s">
        <v>429</v>
      </c>
      <c r="F146" s="9" t="s">
        <v>430</v>
      </c>
      <c r="G146" s="9" t="s">
        <v>142</v>
      </c>
      <c r="H146" s="9" t="s">
        <v>139</v>
      </c>
      <c r="I146" s="9" t="s">
        <v>411</v>
      </c>
      <c r="J146" s="9" t="s">
        <v>431</v>
      </c>
      <c r="K146" s="10">
        <v>37104</v>
      </c>
    </row>
    <row r="147" spans="1:11" x14ac:dyDescent="0.25">
      <c r="A147" s="8">
        <v>329</v>
      </c>
      <c r="B147" s="9" t="s">
        <v>5243</v>
      </c>
      <c r="C147" s="9" t="s">
        <v>139</v>
      </c>
      <c r="D147" s="9" t="s">
        <v>139</v>
      </c>
      <c r="E147" s="9">
        <v>75</v>
      </c>
      <c r="F147" s="9" t="s">
        <v>413</v>
      </c>
      <c r="G147" s="9" t="s">
        <v>142</v>
      </c>
      <c r="H147" s="9" t="s">
        <v>139</v>
      </c>
      <c r="I147" s="9" t="s">
        <v>411</v>
      </c>
      <c r="J147" s="9" t="s">
        <v>139</v>
      </c>
      <c r="K147" s="10">
        <v>37104</v>
      </c>
    </row>
    <row r="148" spans="1:11" x14ac:dyDescent="0.25">
      <c r="A148" s="8">
        <v>332</v>
      </c>
      <c r="B148" s="9" t="s">
        <v>8565</v>
      </c>
      <c r="C148" s="9" t="s">
        <v>432</v>
      </c>
      <c r="D148" s="9" t="s">
        <v>139</v>
      </c>
      <c r="E148" s="9" t="s">
        <v>140</v>
      </c>
      <c r="F148" s="9" t="s">
        <v>141</v>
      </c>
      <c r="G148" s="9" t="s">
        <v>142</v>
      </c>
      <c r="H148" s="9" t="s">
        <v>139</v>
      </c>
      <c r="I148" s="9" t="s">
        <v>143</v>
      </c>
      <c r="J148" s="9" t="s">
        <v>139</v>
      </c>
      <c r="K148" s="10">
        <v>37104</v>
      </c>
    </row>
    <row r="149" spans="1:11" x14ac:dyDescent="0.25">
      <c r="A149" s="8">
        <v>334</v>
      </c>
      <c r="B149" s="9" t="s">
        <v>8566</v>
      </c>
      <c r="C149" s="9" t="s">
        <v>433</v>
      </c>
      <c r="D149" s="9" t="s">
        <v>139</v>
      </c>
      <c r="E149" s="9" t="s">
        <v>434</v>
      </c>
      <c r="F149" s="9" t="s">
        <v>435</v>
      </c>
      <c r="G149" s="9" t="s">
        <v>142</v>
      </c>
      <c r="H149" s="9" t="s">
        <v>139</v>
      </c>
      <c r="I149" s="9" t="s">
        <v>143</v>
      </c>
      <c r="J149" s="9" t="s">
        <v>139</v>
      </c>
      <c r="K149" s="10">
        <v>37104</v>
      </c>
    </row>
    <row r="150" spans="1:11" x14ac:dyDescent="0.25">
      <c r="A150" s="8">
        <v>335</v>
      </c>
      <c r="B150" s="9" t="s">
        <v>8567</v>
      </c>
      <c r="C150" s="9" t="s">
        <v>436</v>
      </c>
      <c r="D150" s="9" t="s">
        <v>139</v>
      </c>
      <c r="E150" s="9" t="s">
        <v>180</v>
      </c>
      <c r="F150" s="9" t="s">
        <v>141</v>
      </c>
      <c r="G150" s="9" t="s">
        <v>142</v>
      </c>
      <c r="H150" s="9" t="s">
        <v>139</v>
      </c>
      <c r="I150" s="9" t="s">
        <v>143</v>
      </c>
      <c r="J150" s="9" t="s">
        <v>139</v>
      </c>
      <c r="K150" s="10">
        <v>37104</v>
      </c>
    </row>
    <row r="151" spans="1:11" x14ac:dyDescent="0.25">
      <c r="A151" s="8">
        <v>340</v>
      </c>
      <c r="B151" s="9" t="s">
        <v>8568</v>
      </c>
      <c r="C151" s="9" t="s">
        <v>437</v>
      </c>
      <c r="D151" s="9" t="s">
        <v>139</v>
      </c>
      <c r="E151" s="9" t="s">
        <v>270</v>
      </c>
      <c r="F151" s="9" t="s">
        <v>271</v>
      </c>
      <c r="G151" s="9" t="s">
        <v>142</v>
      </c>
      <c r="H151" s="9" t="s">
        <v>139</v>
      </c>
      <c r="I151" s="9" t="s">
        <v>143</v>
      </c>
      <c r="J151" s="9" t="s">
        <v>139</v>
      </c>
      <c r="K151" s="10">
        <v>37104</v>
      </c>
    </row>
    <row r="152" spans="1:11" x14ac:dyDescent="0.25">
      <c r="A152" s="8">
        <v>342</v>
      </c>
      <c r="B152" s="9" t="s">
        <v>8569</v>
      </c>
      <c r="C152" s="9" t="s">
        <v>438</v>
      </c>
      <c r="D152" s="9" t="s">
        <v>139</v>
      </c>
      <c r="E152" s="9" t="s">
        <v>280</v>
      </c>
      <c r="F152" s="9" t="s">
        <v>141</v>
      </c>
      <c r="G152" s="9" t="s">
        <v>142</v>
      </c>
      <c r="H152" s="9" t="s">
        <v>139</v>
      </c>
      <c r="I152" s="9" t="s">
        <v>143</v>
      </c>
      <c r="J152" s="9" t="s">
        <v>139</v>
      </c>
      <c r="K152" s="10">
        <v>37104</v>
      </c>
    </row>
    <row r="153" spans="1:11" x14ac:dyDescent="0.25">
      <c r="A153" s="8">
        <v>344</v>
      </c>
      <c r="B153" s="9" t="s">
        <v>8570</v>
      </c>
      <c r="C153" s="9" t="s">
        <v>439</v>
      </c>
      <c r="D153" s="9" t="s">
        <v>139</v>
      </c>
      <c r="E153" s="9" t="s">
        <v>306</v>
      </c>
      <c r="F153" s="9" t="s">
        <v>141</v>
      </c>
      <c r="G153" s="9" t="s">
        <v>142</v>
      </c>
      <c r="H153" s="9" t="s">
        <v>139</v>
      </c>
      <c r="I153" s="9" t="s">
        <v>143</v>
      </c>
      <c r="J153" s="9" t="s">
        <v>139</v>
      </c>
      <c r="K153" s="10">
        <v>37104</v>
      </c>
    </row>
    <row r="154" spans="1:11" x14ac:dyDescent="0.25">
      <c r="A154" s="8">
        <v>349</v>
      </c>
      <c r="B154" s="9" t="s">
        <v>8571</v>
      </c>
      <c r="C154" s="9" t="s">
        <v>440</v>
      </c>
      <c r="D154" s="9" t="s">
        <v>139</v>
      </c>
      <c r="E154" s="9" t="s">
        <v>140</v>
      </c>
      <c r="F154" s="9" t="s">
        <v>141</v>
      </c>
      <c r="G154" s="9" t="s">
        <v>142</v>
      </c>
      <c r="H154" s="9" t="s">
        <v>139</v>
      </c>
      <c r="I154" s="9" t="s">
        <v>143</v>
      </c>
      <c r="J154" s="9" t="s">
        <v>139</v>
      </c>
      <c r="K154" s="10">
        <v>37104</v>
      </c>
    </row>
    <row r="155" spans="1:11" x14ac:dyDescent="0.25">
      <c r="A155" s="8">
        <v>350</v>
      </c>
      <c r="B155" s="9" t="s">
        <v>5244</v>
      </c>
      <c r="C155" s="9" t="s">
        <v>441</v>
      </c>
      <c r="D155" s="9" t="s">
        <v>139</v>
      </c>
      <c r="E155" s="9" t="s">
        <v>442</v>
      </c>
      <c r="F155" s="9" t="s">
        <v>443</v>
      </c>
      <c r="G155" s="9" t="s">
        <v>444</v>
      </c>
      <c r="H155" s="9" t="s">
        <v>139</v>
      </c>
      <c r="I155" s="9" t="s">
        <v>411</v>
      </c>
      <c r="J155" s="9" t="s">
        <v>445</v>
      </c>
      <c r="K155" s="10">
        <v>37104</v>
      </c>
    </row>
    <row r="156" spans="1:11" x14ac:dyDescent="0.25">
      <c r="A156" s="8">
        <v>351</v>
      </c>
      <c r="B156" s="9" t="s">
        <v>8572</v>
      </c>
      <c r="C156" s="9" t="s">
        <v>446</v>
      </c>
      <c r="D156" s="9" t="s">
        <v>447</v>
      </c>
      <c r="E156" s="9" t="s">
        <v>448</v>
      </c>
      <c r="F156" s="9" t="s">
        <v>449</v>
      </c>
      <c r="G156" s="9" t="s">
        <v>142</v>
      </c>
      <c r="H156" s="9" t="s">
        <v>139</v>
      </c>
      <c r="I156" s="9" t="s">
        <v>143</v>
      </c>
      <c r="J156" s="9" t="s">
        <v>139</v>
      </c>
      <c r="K156" s="10">
        <v>37104</v>
      </c>
    </row>
    <row r="157" spans="1:11" x14ac:dyDescent="0.25">
      <c r="A157" s="8">
        <v>352</v>
      </c>
      <c r="B157" s="9" t="s">
        <v>8573</v>
      </c>
      <c r="C157" s="9" t="s">
        <v>450</v>
      </c>
      <c r="D157" s="9" t="s">
        <v>139</v>
      </c>
      <c r="E157" s="9" t="s">
        <v>140</v>
      </c>
      <c r="F157" s="9" t="s">
        <v>141</v>
      </c>
      <c r="G157" s="9" t="s">
        <v>142</v>
      </c>
      <c r="H157" s="9" t="s">
        <v>139</v>
      </c>
      <c r="I157" s="9" t="s">
        <v>143</v>
      </c>
      <c r="J157" s="9" t="s">
        <v>139</v>
      </c>
      <c r="K157" s="10">
        <v>37104</v>
      </c>
    </row>
    <row r="158" spans="1:11" x14ac:dyDescent="0.25">
      <c r="A158" s="8">
        <v>353</v>
      </c>
      <c r="B158" s="9" t="s">
        <v>5245</v>
      </c>
      <c r="C158" s="9" t="s">
        <v>139</v>
      </c>
      <c r="D158" s="9" t="s">
        <v>139</v>
      </c>
      <c r="E158" s="9">
        <v>75</v>
      </c>
      <c r="F158" s="9" t="s">
        <v>413</v>
      </c>
      <c r="G158" s="9" t="s">
        <v>142</v>
      </c>
      <c r="H158" s="9" t="s">
        <v>139</v>
      </c>
      <c r="I158" s="9" t="s">
        <v>411</v>
      </c>
      <c r="J158" s="9" t="s">
        <v>139</v>
      </c>
      <c r="K158" s="10">
        <v>37104</v>
      </c>
    </row>
    <row r="159" spans="1:11" x14ac:dyDescent="0.25">
      <c r="A159" s="8">
        <v>354</v>
      </c>
      <c r="B159" s="9" t="s">
        <v>5246</v>
      </c>
      <c r="C159" s="9" t="s">
        <v>139</v>
      </c>
      <c r="D159" s="9" t="s">
        <v>139</v>
      </c>
      <c r="E159" s="9">
        <v>75</v>
      </c>
      <c r="F159" s="9" t="s">
        <v>413</v>
      </c>
      <c r="G159" s="9" t="s">
        <v>142</v>
      </c>
      <c r="H159" s="9" t="s">
        <v>139</v>
      </c>
      <c r="I159" s="9" t="s">
        <v>411</v>
      </c>
      <c r="J159" s="9" t="s">
        <v>139</v>
      </c>
      <c r="K159" s="10">
        <v>37104</v>
      </c>
    </row>
    <row r="160" spans="1:11" x14ac:dyDescent="0.25">
      <c r="A160" s="8">
        <v>356</v>
      </c>
      <c r="B160" s="9" t="s">
        <v>8574</v>
      </c>
      <c r="C160" s="9" t="s">
        <v>451</v>
      </c>
      <c r="D160" s="9" t="s">
        <v>139</v>
      </c>
      <c r="E160" s="9" t="s">
        <v>286</v>
      </c>
      <c r="F160" s="9" t="s">
        <v>141</v>
      </c>
      <c r="G160" s="9" t="s">
        <v>142</v>
      </c>
      <c r="H160" s="9" t="s">
        <v>166</v>
      </c>
      <c r="I160" s="9" t="s">
        <v>143</v>
      </c>
      <c r="J160" s="9" t="s">
        <v>139</v>
      </c>
      <c r="K160" s="10">
        <v>37104</v>
      </c>
    </row>
    <row r="161" spans="1:11" x14ac:dyDescent="0.25">
      <c r="A161" s="8">
        <v>360</v>
      </c>
      <c r="B161" s="9" t="s">
        <v>8575</v>
      </c>
      <c r="C161" s="9" t="s">
        <v>452</v>
      </c>
      <c r="D161" s="9" t="s">
        <v>139</v>
      </c>
      <c r="E161" s="9" t="s">
        <v>453</v>
      </c>
      <c r="F161" s="9" t="s">
        <v>454</v>
      </c>
      <c r="G161" s="9" t="s">
        <v>142</v>
      </c>
      <c r="H161" s="9" t="s">
        <v>139</v>
      </c>
      <c r="I161" s="9" t="s">
        <v>143</v>
      </c>
      <c r="J161" s="9" t="s">
        <v>139</v>
      </c>
      <c r="K161" s="10">
        <v>37104</v>
      </c>
    </row>
    <row r="162" spans="1:11" x14ac:dyDescent="0.25">
      <c r="A162" s="8">
        <v>365</v>
      </c>
      <c r="B162" s="9" t="s">
        <v>8576</v>
      </c>
      <c r="C162" s="9" t="s">
        <v>139</v>
      </c>
      <c r="D162" s="9" t="s">
        <v>139</v>
      </c>
      <c r="E162" s="9">
        <v>75</v>
      </c>
      <c r="F162" s="9" t="s">
        <v>413</v>
      </c>
      <c r="G162" s="9" t="s">
        <v>142</v>
      </c>
      <c r="H162" s="9" t="s">
        <v>139</v>
      </c>
      <c r="I162" s="9" t="s">
        <v>143</v>
      </c>
      <c r="J162" s="9" t="s">
        <v>139</v>
      </c>
      <c r="K162" s="10">
        <v>37104</v>
      </c>
    </row>
    <row r="163" spans="1:11" x14ac:dyDescent="0.25">
      <c r="A163" s="8">
        <v>366</v>
      </c>
      <c r="B163" s="9" t="s">
        <v>8577</v>
      </c>
      <c r="C163" s="9" t="s">
        <v>455</v>
      </c>
      <c r="D163" s="9" t="s">
        <v>139</v>
      </c>
      <c r="E163" s="9" t="s">
        <v>161</v>
      </c>
      <c r="F163" s="9" t="s">
        <v>9304</v>
      </c>
      <c r="G163" s="9" t="s">
        <v>142</v>
      </c>
      <c r="H163" s="9" t="s">
        <v>139</v>
      </c>
      <c r="I163" s="9" t="s">
        <v>143</v>
      </c>
      <c r="J163" s="9" t="s">
        <v>139</v>
      </c>
      <c r="K163" s="10">
        <v>37104</v>
      </c>
    </row>
    <row r="164" spans="1:11" x14ac:dyDescent="0.25">
      <c r="A164" s="8">
        <v>368</v>
      </c>
      <c r="B164" s="9" t="s">
        <v>8578</v>
      </c>
      <c r="C164" s="9" t="s">
        <v>456</v>
      </c>
      <c r="D164" s="9" t="s">
        <v>139</v>
      </c>
      <c r="E164" s="9" t="s">
        <v>282</v>
      </c>
      <c r="F164" s="9" t="s">
        <v>283</v>
      </c>
      <c r="G164" s="9" t="s">
        <v>142</v>
      </c>
      <c r="H164" s="9" t="s">
        <v>139</v>
      </c>
      <c r="I164" s="9" t="s">
        <v>143</v>
      </c>
      <c r="J164" s="9" t="s">
        <v>139</v>
      </c>
      <c r="K164" s="10">
        <v>37104</v>
      </c>
    </row>
    <row r="165" spans="1:11" x14ac:dyDescent="0.25">
      <c r="A165" s="8">
        <v>369</v>
      </c>
      <c r="B165" s="9" t="s">
        <v>8579</v>
      </c>
      <c r="C165" s="9" t="s">
        <v>457</v>
      </c>
      <c r="D165" s="9" t="s">
        <v>139</v>
      </c>
      <c r="E165" s="9" t="s">
        <v>408</v>
      </c>
      <c r="F165" s="9" t="s">
        <v>458</v>
      </c>
      <c r="G165" s="9" t="s">
        <v>142</v>
      </c>
      <c r="H165" s="9" t="s">
        <v>139</v>
      </c>
      <c r="I165" s="9" t="s">
        <v>143</v>
      </c>
      <c r="J165" s="9" t="s">
        <v>139</v>
      </c>
      <c r="K165" s="10">
        <v>37104</v>
      </c>
    </row>
    <row r="166" spans="1:11" x14ac:dyDescent="0.25">
      <c r="A166" s="8">
        <v>370</v>
      </c>
      <c r="B166" s="9" t="s">
        <v>8580</v>
      </c>
      <c r="C166" s="9" t="s">
        <v>459</v>
      </c>
      <c r="D166" s="9" t="s">
        <v>139</v>
      </c>
      <c r="E166" s="9" t="s">
        <v>460</v>
      </c>
      <c r="F166" s="9" t="s">
        <v>461</v>
      </c>
      <c r="G166" s="9" t="s">
        <v>142</v>
      </c>
      <c r="H166" s="9" t="s">
        <v>258</v>
      </c>
      <c r="I166" s="9" t="s">
        <v>143</v>
      </c>
      <c r="J166" s="9" t="s">
        <v>139</v>
      </c>
      <c r="K166" s="10">
        <v>37104</v>
      </c>
    </row>
    <row r="167" spans="1:11" x14ac:dyDescent="0.25">
      <c r="A167" s="8">
        <v>373</v>
      </c>
      <c r="B167" s="9" t="s">
        <v>8581</v>
      </c>
      <c r="C167" s="9" t="s">
        <v>462</v>
      </c>
      <c r="D167" s="9" t="s">
        <v>463</v>
      </c>
      <c r="E167" s="9" t="s">
        <v>464</v>
      </c>
      <c r="F167" s="9" t="s">
        <v>465</v>
      </c>
      <c r="G167" s="9" t="s">
        <v>142</v>
      </c>
      <c r="H167" s="9" t="s">
        <v>139</v>
      </c>
      <c r="I167" s="9" t="s">
        <v>143</v>
      </c>
      <c r="J167" s="9" t="s">
        <v>139</v>
      </c>
      <c r="K167" s="10">
        <v>37104</v>
      </c>
    </row>
    <row r="168" spans="1:11" x14ac:dyDescent="0.25">
      <c r="A168" s="8">
        <v>374</v>
      </c>
      <c r="B168" s="9" t="s">
        <v>8582</v>
      </c>
      <c r="C168" s="9" t="s">
        <v>466</v>
      </c>
      <c r="D168" s="9" t="s">
        <v>139</v>
      </c>
      <c r="E168" s="9" t="s">
        <v>306</v>
      </c>
      <c r="F168" s="9" t="s">
        <v>141</v>
      </c>
      <c r="G168" s="9" t="s">
        <v>142</v>
      </c>
      <c r="H168" s="9" t="s">
        <v>139</v>
      </c>
      <c r="I168" s="9" t="s">
        <v>143</v>
      </c>
      <c r="J168" s="9" t="s">
        <v>139</v>
      </c>
      <c r="K168" s="10">
        <v>37104</v>
      </c>
    </row>
    <row r="169" spans="1:11" x14ac:dyDescent="0.25">
      <c r="A169" s="8">
        <v>375</v>
      </c>
      <c r="B169" s="9" t="s">
        <v>8583</v>
      </c>
      <c r="C169" s="9" t="s">
        <v>467</v>
      </c>
      <c r="D169" s="9" t="s">
        <v>139</v>
      </c>
      <c r="E169" s="9" t="s">
        <v>306</v>
      </c>
      <c r="F169" s="9" t="s">
        <v>141</v>
      </c>
      <c r="G169" s="9" t="s">
        <v>142</v>
      </c>
      <c r="H169" s="9" t="s">
        <v>139</v>
      </c>
      <c r="I169" s="9" t="s">
        <v>143</v>
      </c>
      <c r="J169" s="9" t="s">
        <v>139</v>
      </c>
      <c r="K169" s="10">
        <v>37104</v>
      </c>
    </row>
    <row r="170" spans="1:11" x14ac:dyDescent="0.25">
      <c r="A170" s="8">
        <v>378</v>
      </c>
      <c r="B170" s="9" t="s">
        <v>8584</v>
      </c>
      <c r="C170" s="9" t="s">
        <v>438</v>
      </c>
      <c r="D170" s="9" t="s">
        <v>139</v>
      </c>
      <c r="E170" s="9" t="s">
        <v>280</v>
      </c>
      <c r="F170" s="9" t="s">
        <v>141</v>
      </c>
      <c r="G170" s="9" t="s">
        <v>142</v>
      </c>
      <c r="H170" s="9" t="s">
        <v>258</v>
      </c>
      <c r="I170" s="9" t="s">
        <v>143</v>
      </c>
      <c r="J170" s="9" t="s">
        <v>139</v>
      </c>
      <c r="K170" s="10">
        <v>37104</v>
      </c>
    </row>
    <row r="171" spans="1:11" x14ac:dyDescent="0.25">
      <c r="A171" s="8">
        <v>379</v>
      </c>
      <c r="B171" s="9" t="s">
        <v>8585</v>
      </c>
      <c r="C171" s="9" t="s">
        <v>468</v>
      </c>
      <c r="D171" s="9" t="s">
        <v>139</v>
      </c>
      <c r="E171" s="9" t="s">
        <v>180</v>
      </c>
      <c r="F171" s="9" t="s">
        <v>141</v>
      </c>
      <c r="G171" s="9" t="s">
        <v>142</v>
      </c>
      <c r="H171" s="9" t="s">
        <v>139</v>
      </c>
      <c r="I171" s="9" t="s">
        <v>143</v>
      </c>
      <c r="J171" s="9" t="s">
        <v>139</v>
      </c>
      <c r="K171" s="10">
        <v>37104</v>
      </c>
    </row>
    <row r="172" spans="1:11" x14ac:dyDescent="0.25">
      <c r="A172" s="8">
        <v>380</v>
      </c>
      <c r="B172" s="9" t="s">
        <v>8586</v>
      </c>
      <c r="C172" s="9" t="s">
        <v>469</v>
      </c>
      <c r="D172" s="9" t="s">
        <v>139</v>
      </c>
      <c r="E172" s="9" t="s">
        <v>470</v>
      </c>
      <c r="F172" s="9" t="s">
        <v>471</v>
      </c>
      <c r="G172" s="9" t="s">
        <v>142</v>
      </c>
      <c r="H172" s="9" t="s">
        <v>139</v>
      </c>
      <c r="I172" s="9" t="s">
        <v>143</v>
      </c>
      <c r="J172" s="9" t="s">
        <v>139</v>
      </c>
      <c r="K172" s="10">
        <v>37104</v>
      </c>
    </row>
    <row r="173" spans="1:11" x14ac:dyDescent="0.25">
      <c r="A173" s="8">
        <v>381</v>
      </c>
      <c r="B173" s="9" t="s">
        <v>8587</v>
      </c>
      <c r="C173" s="9" t="s">
        <v>472</v>
      </c>
      <c r="D173" s="9" t="s">
        <v>139</v>
      </c>
      <c r="E173" s="9" t="s">
        <v>161</v>
      </c>
      <c r="F173" s="9" t="s">
        <v>9304</v>
      </c>
      <c r="G173" s="9" t="s">
        <v>142</v>
      </c>
      <c r="H173" s="9" t="s">
        <v>258</v>
      </c>
      <c r="I173" s="9" t="s">
        <v>143</v>
      </c>
      <c r="J173" s="9" t="s">
        <v>139</v>
      </c>
      <c r="K173" s="10">
        <v>37104</v>
      </c>
    </row>
    <row r="174" spans="1:11" x14ac:dyDescent="0.25">
      <c r="A174" s="8">
        <v>382</v>
      </c>
      <c r="B174" s="9" t="s">
        <v>8588</v>
      </c>
      <c r="C174" s="9" t="s">
        <v>473</v>
      </c>
      <c r="D174" s="9" t="s">
        <v>139</v>
      </c>
      <c r="E174" s="9" t="s">
        <v>308</v>
      </c>
      <c r="F174" s="9" t="s">
        <v>141</v>
      </c>
      <c r="G174" s="9" t="s">
        <v>142</v>
      </c>
      <c r="H174" s="9" t="s">
        <v>139</v>
      </c>
      <c r="I174" s="9" t="s">
        <v>143</v>
      </c>
      <c r="J174" s="9" t="s">
        <v>139</v>
      </c>
      <c r="K174" s="10">
        <v>37104</v>
      </c>
    </row>
    <row r="175" spans="1:11" x14ac:dyDescent="0.25">
      <c r="A175" s="8">
        <v>383</v>
      </c>
      <c r="B175" s="9" t="s">
        <v>8589</v>
      </c>
      <c r="C175" s="9" t="s">
        <v>474</v>
      </c>
      <c r="D175" s="9" t="s">
        <v>139</v>
      </c>
      <c r="E175" s="9" t="s">
        <v>308</v>
      </c>
      <c r="F175" s="9" t="s">
        <v>141</v>
      </c>
      <c r="G175" s="9" t="s">
        <v>142</v>
      </c>
      <c r="H175" s="9" t="s">
        <v>258</v>
      </c>
      <c r="I175" s="9" t="s">
        <v>143</v>
      </c>
      <c r="J175" s="9" t="s">
        <v>139</v>
      </c>
      <c r="K175" s="10">
        <v>37104</v>
      </c>
    </row>
    <row r="176" spans="1:11" x14ac:dyDescent="0.25">
      <c r="A176" s="8">
        <v>384</v>
      </c>
      <c r="B176" s="9" t="s">
        <v>8590</v>
      </c>
      <c r="C176" s="9" t="s">
        <v>475</v>
      </c>
      <c r="D176" s="9" t="s">
        <v>139</v>
      </c>
      <c r="E176" s="9" t="s">
        <v>147</v>
      </c>
      <c r="F176" s="9" t="s">
        <v>141</v>
      </c>
      <c r="G176" s="9" t="s">
        <v>142</v>
      </c>
      <c r="H176" s="9" t="s">
        <v>258</v>
      </c>
      <c r="I176" s="9" t="s">
        <v>143</v>
      </c>
      <c r="J176" s="9" t="s">
        <v>139</v>
      </c>
      <c r="K176" s="10">
        <v>37104</v>
      </c>
    </row>
    <row r="177" spans="1:11" x14ac:dyDescent="0.25">
      <c r="A177" s="8">
        <v>389</v>
      </c>
      <c r="B177" s="9" t="s">
        <v>8591</v>
      </c>
      <c r="C177" s="9" t="s">
        <v>476</v>
      </c>
      <c r="D177" s="9" t="s">
        <v>139</v>
      </c>
      <c r="E177" s="9" t="s">
        <v>477</v>
      </c>
      <c r="F177" s="9" t="s">
        <v>478</v>
      </c>
      <c r="G177" s="9" t="s">
        <v>142</v>
      </c>
      <c r="H177" s="9" t="s">
        <v>258</v>
      </c>
      <c r="I177" s="9" t="s">
        <v>143</v>
      </c>
      <c r="J177" s="9" t="s">
        <v>139</v>
      </c>
      <c r="K177" s="10">
        <v>37104</v>
      </c>
    </row>
    <row r="178" spans="1:11" x14ac:dyDescent="0.25">
      <c r="A178" s="8">
        <v>390</v>
      </c>
      <c r="B178" s="9" t="s">
        <v>8592</v>
      </c>
      <c r="C178" s="9" t="s">
        <v>479</v>
      </c>
      <c r="D178" s="9" t="s">
        <v>139</v>
      </c>
      <c r="E178" s="9" t="s">
        <v>161</v>
      </c>
      <c r="F178" s="9" t="s">
        <v>9304</v>
      </c>
      <c r="G178" s="9" t="s">
        <v>142</v>
      </c>
      <c r="H178" s="9" t="s">
        <v>139</v>
      </c>
      <c r="I178" s="9" t="s">
        <v>143</v>
      </c>
      <c r="J178" s="9" t="s">
        <v>139</v>
      </c>
      <c r="K178" s="10">
        <v>37104</v>
      </c>
    </row>
    <row r="179" spans="1:11" x14ac:dyDescent="0.25">
      <c r="A179" s="8">
        <v>393</v>
      </c>
      <c r="B179" s="9" t="s">
        <v>8593</v>
      </c>
      <c r="C179" s="9" t="s">
        <v>480</v>
      </c>
      <c r="D179" s="9" t="s">
        <v>139</v>
      </c>
      <c r="E179" s="9" t="s">
        <v>161</v>
      </c>
      <c r="F179" s="9" t="s">
        <v>9304</v>
      </c>
      <c r="G179" s="9" t="s">
        <v>142</v>
      </c>
      <c r="H179" s="9" t="s">
        <v>139</v>
      </c>
      <c r="I179" s="9" t="s">
        <v>143</v>
      </c>
      <c r="J179" s="9" t="s">
        <v>139</v>
      </c>
      <c r="K179" s="10">
        <v>37104</v>
      </c>
    </row>
    <row r="180" spans="1:11" x14ac:dyDescent="0.25">
      <c r="A180" s="8">
        <v>396</v>
      </c>
      <c r="B180" s="9" t="s">
        <v>8594</v>
      </c>
      <c r="C180" s="9" t="s">
        <v>481</v>
      </c>
      <c r="D180" s="9" t="s">
        <v>139</v>
      </c>
      <c r="E180" s="9" t="s">
        <v>161</v>
      </c>
      <c r="F180" s="9" t="s">
        <v>9304</v>
      </c>
      <c r="G180" s="9" t="s">
        <v>142</v>
      </c>
      <c r="H180" s="9" t="s">
        <v>139</v>
      </c>
      <c r="I180" s="9" t="s">
        <v>143</v>
      </c>
      <c r="J180" s="9" t="s">
        <v>139</v>
      </c>
      <c r="K180" s="10">
        <v>37104</v>
      </c>
    </row>
    <row r="181" spans="1:11" x14ac:dyDescent="0.25">
      <c r="A181" s="8">
        <v>398</v>
      </c>
      <c r="B181" s="9" t="s">
        <v>8595</v>
      </c>
      <c r="C181" s="9" t="s">
        <v>482</v>
      </c>
      <c r="D181" s="9" t="s">
        <v>139</v>
      </c>
      <c r="E181" s="9" t="s">
        <v>270</v>
      </c>
      <c r="F181" s="9" t="s">
        <v>271</v>
      </c>
      <c r="G181" s="9" t="s">
        <v>142</v>
      </c>
      <c r="H181" s="9" t="s">
        <v>139</v>
      </c>
      <c r="I181" s="9" t="s">
        <v>143</v>
      </c>
      <c r="J181" s="9" t="s">
        <v>139</v>
      </c>
      <c r="K181" s="10">
        <v>37104</v>
      </c>
    </row>
    <row r="182" spans="1:11" x14ac:dyDescent="0.25">
      <c r="A182" s="8">
        <v>400</v>
      </c>
      <c r="B182" s="9" t="s">
        <v>8596</v>
      </c>
      <c r="C182" s="9" t="s">
        <v>481</v>
      </c>
      <c r="D182" s="9" t="s">
        <v>139</v>
      </c>
      <c r="E182" s="9" t="s">
        <v>161</v>
      </c>
      <c r="F182" s="9" t="s">
        <v>9304</v>
      </c>
      <c r="G182" s="9" t="s">
        <v>142</v>
      </c>
      <c r="H182" s="9" t="s">
        <v>139</v>
      </c>
      <c r="I182" s="9" t="s">
        <v>143</v>
      </c>
      <c r="J182" s="9" t="s">
        <v>139</v>
      </c>
      <c r="K182" s="10">
        <v>37104</v>
      </c>
    </row>
    <row r="183" spans="1:11" x14ac:dyDescent="0.25">
      <c r="A183" s="8">
        <v>401</v>
      </c>
      <c r="B183" s="9" t="s">
        <v>8597</v>
      </c>
      <c r="C183" s="9" t="s">
        <v>483</v>
      </c>
      <c r="D183" s="9" t="s">
        <v>139</v>
      </c>
      <c r="E183" s="9" t="s">
        <v>357</v>
      </c>
      <c r="F183" s="9" t="s">
        <v>358</v>
      </c>
      <c r="G183" s="9" t="s">
        <v>142</v>
      </c>
      <c r="H183" s="9" t="s">
        <v>139</v>
      </c>
      <c r="I183" s="9" t="s">
        <v>143</v>
      </c>
      <c r="J183" s="9" t="s">
        <v>139</v>
      </c>
      <c r="K183" s="10">
        <v>37104</v>
      </c>
    </row>
    <row r="184" spans="1:11" x14ac:dyDescent="0.25">
      <c r="A184" s="8">
        <v>403</v>
      </c>
      <c r="B184" s="9" t="s">
        <v>8598</v>
      </c>
      <c r="C184" s="9" t="s">
        <v>484</v>
      </c>
      <c r="D184" s="9" t="s">
        <v>139</v>
      </c>
      <c r="E184" s="9" t="s">
        <v>161</v>
      </c>
      <c r="F184" s="9" t="s">
        <v>9304</v>
      </c>
      <c r="G184" s="9" t="s">
        <v>142</v>
      </c>
      <c r="H184" s="9" t="s">
        <v>139</v>
      </c>
      <c r="I184" s="9" t="s">
        <v>143</v>
      </c>
      <c r="J184" s="9" t="s">
        <v>139</v>
      </c>
      <c r="K184" s="10">
        <v>37104</v>
      </c>
    </row>
    <row r="185" spans="1:11" x14ac:dyDescent="0.25">
      <c r="A185" s="8">
        <v>404</v>
      </c>
      <c r="B185" s="9" t="s">
        <v>8599</v>
      </c>
      <c r="C185" s="9" t="s">
        <v>485</v>
      </c>
      <c r="D185" s="9" t="s">
        <v>139</v>
      </c>
      <c r="E185" s="9" t="s">
        <v>161</v>
      </c>
      <c r="F185" s="9" t="s">
        <v>9304</v>
      </c>
      <c r="G185" s="9" t="s">
        <v>142</v>
      </c>
      <c r="H185" s="9" t="s">
        <v>139</v>
      </c>
      <c r="I185" s="9" t="s">
        <v>143</v>
      </c>
      <c r="J185" s="9" t="s">
        <v>139</v>
      </c>
      <c r="K185" s="10">
        <v>37104</v>
      </c>
    </row>
    <row r="186" spans="1:11" x14ac:dyDescent="0.25">
      <c r="A186" s="8">
        <v>405</v>
      </c>
      <c r="B186" s="9" t="s">
        <v>8600</v>
      </c>
      <c r="C186" s="9" t="s">
        <v>486</v>
      </c>
      <c r="D186" s="9" t="s">
        <v>139</v>
      </c>
      <c r="E186" s="9" t="s">
        <v>308</v>
      </c>
      <c r="F186" s="9" t="s">
        <v>141</v>
      </c>
      <c r="G186" s="9" t="s">
        <v>142</v>
      </c>
      <c r="H186" s="9" t="s">
        <v>139</v>
      </c>
      <c r="I186" s="9" t="s">
        <v>143</v>
      </c>
      <c r="J186" s="9" t="s">
        <v>139</v>
      </c>
      <c r="K186" s="10">
        <v>37104</v>
      </c>
    </row>
    <row r="187" spans="1:11" x14ac:dyDescent="0.25">
      <c r="A187" s="8">
        <v>407</v>
      </c>
      <c r="B187" s="9" t="s">
        <v>8601</v>
      </c>
      <c r="C187" s="9" t="s">
        <v>487</v>
      </c>
      <c r="D187" s="9" t="s">
        <v>209</v>
      </c>
      <c r="E187" s="9" t="s">
        <v>488</v>
      </c>
      <c r="F187" s="9" t="s">
        <v>489</v>
      </c>
      <c r="G187" s="9" t="s">
        <v>142</v>
      </c>
      <c r="H187" s="9" t="s">
        <v>139</v>
      </c>
      <c r="I187" s="9" t="s">
        <v>143</v>
      </c>
      <c r="J187" s="9" t="s">
        <v>139</v>
      </c>
      <c r="K187" s="10">
        <v>37104</v>
      </c>
    </row>
    <row r="188" spans="1:11" x14ac:dyDescent="0.25">
      <c r="A188" s="8">
        <v>409</v>
      </c>
      <c r="B188" s="9" t="s">
        <v>8602</v>
      </c>
      <c r="C188" s="9" t="s">
        <v>490</v>
      </c>
      <c r="D188" s="9" t="s">
        <v>139</v>
      </c>
      <c r="E188" s="9" t="s">
        <v>161</v>
      </c>
      <c r="F188" s="9" t="s">
        <v>9304</v>
      </c>
      <c r="G188" s="9" t="s">
        <v>142</v>
      </c>
      <c r="H188" s="9" t="s">
        <v>139</v>
      </c>
      <c r="I188" s="9" t="s">
        <v>143</v>
      </c>
      <c r="J188" s="9" t="s">
        <v>139</v>
      </c>
      <c r="K188" s="10">
        <v>37104</v>
      </c>
    </row>
    <row r="189" spans="1:11" x14ac:dyDescent="0.25">
      <c r="A189" s="8">
        <v>412</v>
      </c>
      <c r="B189" s="9" t="s">
        <v>8603</v>
      </c>
      <c r="C189" s="9" t="s">
        <v>491</v>
      </c>
      <c r="D189" s="9" t="s">
        <v>139</v>
      </c>
      <c r="E189" s="9" t="s">
        <v>161</v>
      </c>
      <c r="F189" s="9" t="s">
        <v>9304</v>
      </c>
      <c r="G189" s="9" t="s">
        <v>142</v>
      </c>
      <c r="H189" s="9" t="s">
        <v>139</v>
      </c>
      <c r="I189" s="9" t="s">
        <v>143</v>
      </c>
      <c r="J189" s="9" t="s">
        <v>139</v>
      </c>
      <c r="K189" s="10">
        <v>37104</v>
      </c>
    </row>
    <row r="190" spans="1:11" x14ac:dyDescent="0.25">
      <c r="A190" s="8">
        <v>414</v>
      </c>
      <c r="B190" s="9" t="s">
        <v>8604</v>
      </c>
      <c r="C190" s="9" t="s">
        <v>492</v>
      </c>
      <c r="D190" s="9" t="s">
        <v>139</v>
      </c>
      <c r="E190" s="9" t="s">
        <v>493</v>
      </c>
      <c r="F190" s="9" t="s">
        <v>494</v>
      </c>
      <c r="G190" s="9" t="s">
        <v>142</v>
      </c>
      <c r="H190" s="9" t="s">
        <v>139</v>
      </c>
      <c r="I190" s="9" t="s">
        <v>143</v>
      </c>
      <c r="J190" s="9" t="s">
        <v>139</v>
      </c>
      <c r="K190" s="10">
        <v>37104</v>
      </c>
    </row>
    <row r="191" spans="1:11" x14ac:dyDescent="0.25">
      <c r="A191" s="8">
        <v>415</v>
      </c>
      <c r="B191" s="9" t="s">
        <v>8605</v>
      </c>
      <c r="C191" s="9" t="s">
        <v>495</v>
      </c>
      <c r="D191" s="9" t="s">
        <v>139</v>
      </c>
      <c r="E191" s="9" t="s">
        <v>161</v>
      </c>
      <c r="F191" s="9" t="s">
        <v>9304</v>
      </c>
      <c r="G191" s="9" t="s">
        <v>142</v>
      </c>
      <c r="H191" s="9" t="s">
        <v>139</v>
      </c>
      <c r="I191" s="9" t="s">
        <v>143</v>
      </c>
      <c r="J191" s="9" t="s">
        <v>139</v>
      </c>
      <c r="K191" s="10">
        <v>37104</v>
      </c>
    </row>
    <row r="192" spans="1:11" x14ac:dyDescent="0.25">
      <c r="A192" s="8">
        <v>416</v>
      </c>
      <c r="B192" s="9" t="s">
        <v>8606</v>
      </c>
      <c r="C192" s="9" t="s">
        <v>496</v>
      </c>
      <c r="D192" s="9" t="s">
        <v>139</v>
      </c>
      <c r="E192" s="9" t="s">
        <v>161</v>
      </c>
      <c r="F192" s="9" t="s">
        <v>9304</v>
      </c>
      <c r="G192" s="9" t="s">
        <v>142</v>
      </c>
      <c r="H192" s="9" t="s">
        <v>139</v>
      </c>
      <c r="I192" s="9" t="s">
        <v>143</v>
      </c>
      <c r="J192" s="9" t="s">
        <v>139</v>
      </c>
      <c r="K192" s="10">
        <v>37104</v>
      </c>
    </row>
    <row r="193" spans="1:11" x14ac:dyDescent="0.25">
      <c r="A193" s="8">
        <v>417</v>
      </c>
      <c r="B193" s="9" t="s">
        <v>8607</v>
      </c>
      <c r="C193" s="9" t="s">
        <v>497</v>
      </c>
      <c r="D193" s="9" t="s">
        <v>139</v>
      </c>
      <c r="E193" s="9" t="s">
        <v>308</v>
      </c>
      <c r="F193" s="9" t="s">
        <v>141</v>
      </c>
      <c r="G193" s="9" t="s">
        <v>142</v>
      </c>
      <c r="H193" s="9" t="s">
        <v>139</v>
      </c>
      <c r="I193" s="9" t="s">
        <v>143</v>
      </c>
      <c r="J193" s="9" t="s">
        <v>139</v>
      </c>
      <c r="K193" s="10">
        <v>37104</v>
      </c>
    </row>
    <row r="194" spans="1:11" x14ac:dyDescent="0.25">
      <c r="A194" s="8">
        <v>419</v>
      </c>
      <c r="B194" s="9" t="s">
        <v>8608</v>
      </c>
      <c r="C194" s="9" t="s">
        <v>498</v>
      </c>
      <c r="D194" s="9" t="s">
        <v>139</v>
      </c>
      <c r="E194" s="9" t="s">
        <v>161</v>
      </c>
      <c r="F194" s="9" t="s">
        <v>9304</v>
      </c>
      <c r="G194" s="9" t="s">
        <v>142</v>
      </c>
      <c r="H194" s="9" t="s">
        <v>139</v>
      </c>
      <c r="I194" s="9" t="s">
        <v>143</v>
      </c>
      <c r="J194" s="9" t="s">
        <v>139</v>
      </c>
      <c r="K194" s="10">
        <v>37104</v>
      </c>
    </row>
    <row r="195" spans="1:11" x14ac:dyDescent="0.25">
      <c r="A195" s="8">
        <v>421</v>
      </c>
      <c r="B195" s="9" t="s">
        <v>8609</v>
      </c>
      <c r="C195" s="9" t="s">
        <v>499</v>
      </c>
      <c r="D195" s="9" t="s">
        <v>139</v>
      </c>
      <c r="E195" s="9" t="s">
        <v>500</v>
      </c>
      <c r="F195" s="9" t="s">
        <v>501</v>
      </c>
      <c r="G195" s="9" t="s">
        <v>142</v>
      </c>
      <c r="H195" s="9" t="s">
        <v>139</v>
      </c>
      <c r="I195" s="9" t="s">
        <v>143</v>
      </c>
      <c r="J195" s="9" t="s">
        <v>139</v>
      </c>
      <c r="K195" s="10">
        <v>37104</v>
      </c>
    </row>
    <row r="196" spans="1:11" x14ac:dyDescent="0.25">
      <c r="A196" s="8">
        <v>422</v>
      </c>
      <c r="B196" s="9" t="s">
        <v>8610</v>
      </c>
      <c r="C196" s="9" t="s">
        <v>394</v>
      </c>
      <c r="D196" s="9" t="s">
        <v>139</v>
      </c>
      <c r="E196" s="9" t="s">
        <v>140</v>
      </c>
      <c r="F196" s="9" t="s">
        <v>141</v>
      </c>
      <c r="G196" s="9" t="s">
        <v>142</v>
      </c>
      <c r="H196" s="9" t="s">
        <v>139</v>
      </c>
      <c r="I196" s="9" t="s">
        <v>143</v>
      </c>
      <c r="J196" s="9" t="s">
        <v>139</v>
      </c>
      <c r="K196" s="10">
        <v>37104</v>
      </c>
    </row>
    <row r="197" spans="1:11" x14ac:dyDescent="0.25">
      <c r="A197" s="8">
        <v>423</v>
      </c>
      <c r="B197" s="9" t="s">
        <v>8611</v>
      </c>
      <c r="C197" s="9" t="s">
        <v>502</v>
      </c>
      <c r="D197" s="9" t="s">
        <v>139</v>
      </c>
      <c r="E197" s="9" t="s">
        <v>328</v>
      </c>
      <c r="F197" s="9" t="s">
        <v>141</v>
      </c>
      <c r="G197" s="9" t="s">
        <v>142</v>
      </c>
      <c r="H197" s="9" t="s">
        <v>139</v>
      </c>
      <c r="I197" s="9" t="s">
        <v>143</v>
      </c>
      <c r="J197" s="9" t="s">
        <v>139</v>
      </c>
      <c r="K197" s="10">
        <v>37104</v>
      </c>
    </row>
    <row r="198" spans="1:11" x14ac:dyDescent="0.25">
      <c r="A198" s="8">
        <v>424</v>
      </c>
      <c r="B198" s="9" t="s">
        <v>8612</v>
      </c>
      <c r="C198" s="9" t="s">
        <v>503</v>
      </c>
      <c r="D198" s="9" t="s">
        <v>139</v>
      </c>
      <c r="E198" s="9" t="s">
        <v>504</v>
      </c>
      <c r="F198" s="9" t="s">
        <v>505</v>
      </c>
      <c r="G198" s="9" t="s">
        <v>142</v>
      </c>
      <c r="H198" s="9" t="s">
        <v>139</v>
      </c>
      <c r="I198" s="9" t="s">
        <v>143</v>
      </c>
      <c r="J198" s="9" t="s">
        <v>139</v>
      </c>
      <c r="K198" s="10">
        <v>37104</v>
      </c>
    </row>
    <row r="199" spans="1:11" x14ac:dyDescent="0.25">
      <c r="A199" s="8">
        <v>427</v>
      </c>
      <c r="B199" s="9" t="s">
        <v>8613</v>
      </c>
      <c r="C199" s="9" t="s">
        <v>506</v>
      </c>
      <c r="D199" s="9" t="s">
        <v>139</v>
      </c>
      <c r="E199" s="9" t="s">
        <v>267</v>
      </c>
      <c r="F199" s="9" t="s">
        <v>141</v>
      </c>
      <c r="G199" s="9" t="s">
        <v>142</v>
      </c>
      <c r="H199" s="9" t="s">
        <v>139</v>
      </c>
      <c r="I199" s="9" t="s">
        <v>143</v>
      </c>
      <c r="J199" s="9" t="s">
        <v>139</v>
      </c>
      <c r="K199" s="10">
        <v>37104</v>
      </c>
    </row>
    <row r="200" spans="1:11" x14ac:dyDescent="0.25">
      <c r="A200" s="8">
        <v>429</v>
      </c>
      <c r="B200" s="9" t="s">
        <v>8614</v>
      </c>
      <c r="C200" s="9" t="s">
        <v>394</v>
      </c>
      <c r="D200" s="9" t="s">
        <v>139</v>
      </c>
      <c r="E200" s="9" t="s">
        <v>140</v>
      </c>
      <c r="F200" s="9" t="s">
        <v>141</v>
      </c>
      <c r="G200" s="9" t="s">
        <v>142</v>
      </c>
      <c r="H200" s="9" t="s">
        <v>139</v>
      </c>
      <c r="I200" s="9" t="s">
        <v>143</v>
      </c>
      <c r="J200" s="9" t="s">
        <v>139</v>
      </c>
      <c r="K200" s="10">
        <v>37104</v>
      </c>
    </row>
    <row r="201" spans="1:11" x14ac:dyDescent="0.25">
      <c r="A201" s="8">
        <v>432</v>
      </c>
      <c r="B201" s="9" t="s">
        <v>8615</v>
      </c>
      <c r="C201" s="9" t="s">
        <v>507</v>
      </c>
      <c r="D201" s="9" t="s">
        <v>139</v>
      </c>
      <c r="E201" s="9" t="s">
        <v>306</v>
      </c>
      <c r="F201" s="9" t="s">
        <v>141</v>
      </c>
      <c r="G201" s="9" t="s">
        <v>142</v>
      </c>
      <c r="H201" s="9" t="s">
        <v>139</v>
      </c>
      <c r="I201" s="9" t="s">
        <v>143</v>
      </c>
      <c r="J201" s="9" t="s">
        <v>139</v>
      </c>
      <c r="K201" s="10">
        <v>37104</v>
      </c>
    </row>
    <row r="202" spans="1:11" x14ac:dyDescent="0.25">
      <c r="A202" s="8">
        <v>433</v>
      </c>
      <c r="B202" s="9" t="s">
        <v>8616</v>
      </c>
      <c r="C202" s="9" t="s">
        <v>508</v>
      </c>
      <c r="D202" s="9" t="s">
        <v>139</v>
      </c>
      <c r="E202" s="9" t="s">
        <v>212</v>
      </c>
      <c r="F202" s="9" t="s">
        <v>141</v>
      </c>
      <c r="G202" s="9" t="s">
        <v>142</v>
      </c>
      <c r="H202" s="9" t="s">
        <v>139</v>
      </c>
      <c r="I202" s="9" t="s">
        <v>143</v>
      </c>
      <c r="J202" s="9" t="s">
        <v>139</v>
      </c>
      <c r="K202" s="10">
        <v>37104</v>
      </c>
    </row>
    <row r="203" spans="1:11" x14ac:dyDescent="0.25">
      <c r="A203" s="8">
        <v>435</v>
      </c>
      <c r="B203" s="9" t="s">
        <v>8617</v>
      </c>
      <c r="C203" s="9" t="s">
        <v>509</v>
      </c>
      <c r="D203" s="9" t="s">
        <v>139</v>
      </c>
      <c r="E203" s="9" t="s">
        <v>197</v>
      </c>
      <c r="F203" s="9" t="s">
        <v>141</v>
      </c>
      <c r="G203" s="9" t="s">
        <v>142</v>
      </c>
      <c r="H203" s="9" t="s">
        <v>139</v>
      </c>
      <c r="I203" s="9" t="s">
        <v>143</v>
      </c>
      <c r="J203" s="9" t="s">
        <v>139</v>
      </c>
      <c r="K203" s="10">
        <v>37104</v>
      </c>
    </row>
    <row r="204" spans="1:11" x14ac:dyDescent="0.25">
      <c r="A204" s="8">
        <v>438</v>
      </c>
      <c r="B204" s="9" t="s">
        <v>8618</v>
      </c>
      <c r="C204" s="9" t="s">
        <v>510</v>
      </c>
      <c r="D204" s="9" t="s">
        <v>139</v>
      </c>
      <c r="E204" s="9" t="s">
        <v>511</v>
      </c>
      <c r="F204" s="9" t="s">
        <v>512</v>
      </c>
      <c r="G204" s="9" t="s">
        <v>142</v>
      </c>
      <c r="H204" s="9" t="s">
        <v>139</v>
      </c>
      <c r="I204" s="9" t="s">
        <v>143</v>
      </c>
      <c r="J204" s="9" t="s">
        <v>139</v>
      </c>
      <c r="K204" s="10">
        <v>37104</v>
      </c>
    </row>
    <row r="205" spans="1:11" x14ac:dyDescent="0.25">
      <c r="A205" s="8">
        <v>441</v>
      </c>
      <c r="B205" s="9" t="s">
        <v>8619</v>
      </c>
      <c r="C205" s="9" t="s">
        <v>513</v>
      </c>
      <c r="D205" s="9" t="s">
        <v>139</v>
      </c>
      <c r="E205" s="9" t="s">
        <v>218</v>
      </c>
      <c r="F205" s="9" t="s">
        <v>141</v>
      </c>
      <c r="G205" s="9" t="s">
        <v>142</v>
      </c>
      <c r="H205" s="9" t="s">
        <v>139</v>
      </c>
      <c r="I205" s="9" t="s">
        <v>143</v>
      </c>
      <c r="J205" s="9" t="s">
        <v>139</v>
      </c>
      <c r="K205" s="10">
        <v>37104</v>
      </c>
    </row>
    <row r="206" spans="1:11" x14ac:dyDescent="0.25">
      <c r="A206" s="8">
        <v>442</v>
      </c>
      <c r="B206" s="9" t="s">
        <v>8620</v>
      </c>
      <c r="C206" s="9" t="s">
        <v>389</v>
      </c>
      <c r="D206" s="9" t="s">
        <v>139</v>
      </c>
      <c r="E206" s="9" t="s">
        <v>140</v>
      </c>
      <c r="F206" s="9" t="s">
        <v>141</v>
      </c>
      <c r="G206" s="9" t="s">
        <v>142</v>
      </c>
      <c r="H206" s="9" t="s">
        <v>258</v>
      </c>
      <c r="I206" s="9" t="s">
        <v>143</v>
      </c>
      <c r="J206" s="9" t="s">
        <v>139</v>
      </c>
      <c r="K206" s="10">
        <v>37104</v>
      </c>
    </row>
    <row r="207" spans="1:11" x14ac:dyDescent="0.25">
      <c r="A207" s="8">
        <v>445</v>
      </c>
      <c r="B207" s="9" t="s">
        <v>8621</v>
      </c>
      <c r="C207" s="9" t="s">
        <v>514</v>
      </c>
      <c r="D207" s="9" t="s">
        <v>139</v>
      </c>
      <c r="E207" s="9" t="s">
        <v>328</v>
      </c>
      <c r="F207" s="9" t="s">
        <v>141</v>
      </c>
      <c r="G207" s="9" t="s">
        <v>142</v>
      </c>
      <c r="H207" s="9" t="s">
        <v>139</v>
      </c>
      <c r="I207" s="9" t="s">
        <v>143</v>
      </c>
      <c r="J207" s="9" t="s">
        <v>139</v>
      </c>
      <c r="K207" s="10">
        <v>37104</v>
      </c>
    </row>
    <row r="208" spans="1:11" x14ac:dyDescent="0.25">
      <c r="A208" s="8">
        <v>448</v>
      </c>
      <c r="B208" s="9" t="s">
        <v>8622</v>
      </c>
      <c r="C208" s="9" t="s">
        <v>515</v>
      </c>
      <c r="D208" s="9" t="s">
        <v>139</v>
      </c>
      <c r="E208" s="9" t="s">
        <v>345</v>
      </c>
      <c r="F208" s="9" t="s">
        <v>346</v>
      </c>
      <c r="G208" s="9" t="s">
        <v>142</v>
      </c>
      <c r="H208" s="9" t="s">
        <v>258</v>
      </c>
      <c r="I208" s="9" t="s">
        <v>143</v>
      </c>
      <c r="J208" s="9" t="s">
        <v>139</v>
      </c>
      <c r="K208" s="10">
        <v>37104</v>
      </c>
    </row>
    <row r="209" spans="1:11" x14ac:dyDescent="0.25">
      <c r="A209" s="8">
        <v>455</v>
      </c>
      <c r="B209" s="9" t="s">
        <v>8623</v>
      </c>
      <c r="C209" s="9" t="s">
        <v>516</v>
      </c>
      <c r="D209" s="9" t="s">
        <v>139</v>
      </c>
      <c r="E209" s="9" t="s">
        <v>517</v>
      </c>
      <c r="F209" s="9" t="s">
        <v>518</v>
      </c>
      <c r="G209" s="9" t="s">
        <v>142</v>
      </c>
      <c r="H209" s="9" t="s">
        <v>139</v>
      </c>
      <c r="I209" s="9" t="s">
        <v>143</v>
      </c>
      <c r="J209" s="9" t="s">
        <v>139</v>
      </c>
      <c r="K209" s="10">
        <v>37104</v>
      </c>
    </row>
    <row r="210" spans="1:11" x14ac:dyDescent="0.25">
      <c r="A210" s="8">
        <v>456</v>
      </c>
      <c r="B210" s="9" t="s">
        <v>8624</v>
      </c>
      <c r="C210" s="9" t="s">
        <v>519</v>
      </c>
      <c r="D210" s="9" t="s">
        <v>520</v>
      </c>
      <c r="E210" s="9" t="s">
        <v>521</v>
      </c>
      <c r="F210" s="9" t="s">
        <v>522</v>
      </c>
      <c r="G210" s="9" t="s">
        <v>142</v>
      </c>
      <c r="H210" s="9" t="s">
        <v>166</v>
      </c>
      <c r="I210" s="9" t="s">
        <v>143</v>
      </c>
      <c r="J210" s="9" t="s">
        <v>139</v>
      </c>
      <c r="K210" s="10">
        <v>37104</v>
      </c>
    </row>
    <row r="211" spans="1:11" x14ac:dyDescent="0.25">
      <c r="A211" s="8">
        <v>458</v>
      </c>
      <c r="B211" s="9" t="s">
        <v>8625</v>
      </c>
      <c r="C211" s="9" t="s">
        <v>523</v>
      </c>
      <c r="D211" s="9" t="s">
        <v>139</v>
      </c>
      <c r="E211" s="9" t="s">
        <v>524</v>
      </c>
      <c r="F211" s="9" t="s">
        <v>525</v>
      </c>
      <c r="G211" s="9" t="s">
        <v>142</v>
      </c>
      <c r="H211" s="9" t="s">
        <v>139</v>
      </c>
      <c r="I211" s="9" t="s">
        <v>143</v>
      </c>
      <c r="J211" s="9" t="s">
        <v>139</v>
      </c>
      <c r="K211" s="10">
        <v>37104</v>
      </c>
    </row>
    <row r="212" spans="1:11" x14ac:dyDescent="0.25">
      <c r="A212" s="8">
        <v>459</v>
      </c>
      <c r="B212" s="9" t="s">
        <v>8626</v>
      </c>
      <c r="C212" s="9" t="s">
        <v>526</v>
      </c>
      <c r="D212" s="9" t="s">
        <v>139</v>
      </c>
      <c r="E212" s="9" t="s">
        <v>527</v>
      </c>
      <c r="F212" s="9" t="s">
        <v>528</v>
      </c>
      <c r="G212" s="9" t="s">
        <v>142</v>
      </c>
      <c r="H212" s="9" t="s">
        <v>258</v>
      </c>
      <c r="I212" s="9" t="s">
        <v>143</v>
      </c>
      <c r="J212" s="9" t="s">
        <v>139</v>
      </c>
      <c r="K212" s="10">
        <v>37104</v>
      </c>
    </row>
    <row r="213" spans="1:11" x14ac:dyDescent="0.25">
      <c r="A213" s="8">
        <v>460</v>
      </c>
      <c r="B213" s="9" t="s">
        <v>8627</v>
      </c>
      <c r="C213" s="9" t="s">
        <v>529</v>
      </c>
      <c r="D213" s="9" t="s">
        <v>139</v>
      </c>
      <c r="E213" s="9" t="s">
        <v>387</v>
      </c>
      <c r="F213" s="9" t="s">
        <v>388</v>
      </c>
      <c r="G213" s="9" t="s">
        <v>142</v>
      </c>
      <c r="H213" s="9" t="s">
        <v>139</v>
      </c>
      <c r="I213" s="9" t="s">
        <v>143</v>
      </c>
      <c r="J213" s="9" t="s">
        <v>139</v>
      </c>
      <c r="K213" s="10">
        <v>37104</v>
      </c>
    </row>
    <row r="214" spans="1:11" x14ac:dyDescent="0.25">
      <c r="A214" s="8">
        <v>461</v>
      </c>
      <c r="B214" s="9" t="s">
        <v>8628</v>
      </c>
      <c r="C214" s="9" t="s">
        <v>530</v>
      </c>
      <c r="D214" s="9" t="s">
        <v>139</v>
      </c>
      <c r="E214" s="9" t="s">
        <v>531</v>
      </c>
      <c r="F214" s="9" t="s">
        <v>532</v>
      </c>
      <c r="G214" s="9" t="s">
        <v>142</v>
      </c>
      <c r="H214" s="9" t="s">
        <v>166</v>
      </c>
      <c r="I214" s="9" t="s">
        <v>143</v>
      </c>
      <c r="J214" s="9" t="s">
        <v>139</v>
      </c>
      <c r="K214" s="10">
        <v>37104</v>
      </c>
    </row>
    <row r="215" spans="1:11" x14ac:dyDescent="0.25">
      <c r="A215" s="8">
        <v>462</v>
      </c>
      <c r="B215" s="9" t="s">
        <v>8629</v>
      </c>
      <c r="C215" s="9" t="s">
        <v>533</v>
      </c>
      <c r="D215" s="9" t="s">
        <v>139</v>
      </c>
      <c r="E215" s="9" t="s">
        <v>270</v>
      </c>
      <c r="F215" s="9" t="s">
        <v>271</v>
      </c>
      <c r="G215" s="9" t="s">
        <v>142</v>
      </c>
      <c r="H215" s="9" t="s">
        <v>139</v>
      </c>
      <c r="I215" s="9" t="s">
        <v>143</v>
      </c>
      <c r="J215" s="9" t="s">
        <v>139</v>
      </c>
      <c r="K215" s="10">
        <v>37104</v>
      </c>
    </row>
    <row r="216" spans="1:11" x14ac:dyDescent="0.25">
      <c r="A216" s="8">
        <v>463</v>
      </c>
      <c r="B216" s="9" t="s">
        <v>8630</v>
      </c>
      <c r="C216" s="9" t="s">
        <v>534</v>
      </c>
      <c r="D216" s="9" t="s">
        <v>139</v>
      </c>
      <c r="E216" s="9" t="s">
        <v>535</v>
      </c>
      <c r="F216" s="9" t="s">
        <v>536</v>
      </c>
      <c r="G216" s="9" t="s">
        <v>142</v>
      </c>
      <c r="H216" s="9" t="s">
        <v>139</v>
      </c>
      <c r="I216" s="9" t="s">
        <v>143</v>
      </c>
      <c r="J216" s="9" t="s">
        <v>139</v>
      </c>
      <c r="K216" s="10">
        <v>37104</v>
      </c>
    </row>
    <row r="217" spans="1:11" x14ac:dyDescent="0.25">
      <c r="A217" s="8">
        <v>464</v>
      </c>
      <c r="B217" s="9" t="s">
        <v>8631</v>
      </c>
      <c r="C217" s="9" t="s">
        <v>537</v>
      </c>
      <c r="D217" s="9" t="s">
        <v>139</v>
      </c>
      <c r="E217" s="9" t="s">
        <v>308</v>
      </c>
      <c r="F217" s="9" t="s">
        <v>141</v>
      </c>
      <c r="G217" s="9" t="s">
        <v>142</v>
      </c>
      <c r="H217" s="9" t="s">
        <v>139</v>
      </c>
      <c r="I217" s="9" t="s">
        <v>143</v>
      </c>
      <c r="J217" s="9" t="s">
        <v>139</v>
      </c>
      <c r="K217" s="10">
        <v>37104</v>
      </c>
    </row>
    <row r="218" spans="1:11" x14ac:dyDescent="0.25">
      <c r="A218" s="8">
        <v>467</v>
      </c>
      <c r="B218" s="9" t="s">
        <v>8632</v>
      </c>
      <c r="C218" s="9" t="s">
        <v>538</v>
      </c>
      <c r="D218" s="9" t="s">
        <v>139</v>
      </c>
      <c r="E218" s="9" t="s">
        <v>539</v>
      </c>
      <c r="F218" s="9" t="s">
        <v>540</v>
      </c>
      <c r="G218" s="9" t="s">
        <v>142</v>
      </c>
      <c r="H218" s="9" t="s">
        <v>139</v>
      </c>
      <c r="I218" s="9" t="s">
        <v>143</v>
      </c>
      <c r="J218" s="9" t="s">
        <v>139</v>
      </c>
      <c r="K218" s="10">
        <v>37104</v>
      </c>
    </row>
    <row r="219" spans="1:11" x14ac:dyDescent="0.25">
      <c r="A219" s="8">
        <v>469</v>
      </c>
      <c r="B219" s="9" t="s">
        <v>8633</v>
      </c>
      <c r="C219" s="9" t="s">
        <v>541</v>
      </c>
      <c r="D219" s="9" t="s">
        <v>139</v>
      </c>
      <c r="E219" s="9" t="s">
        <v>286</v>
      </c>
      <c r="F219" s="9" t="s">
        <v>141</v>
      </c>
      <c r="G219" s="9" t="s">
        <v>142</v>
      </c>
      <c r="H219" s="9" t="s">
        <v>139</v>
      </c>
      <c r="I219" s="9" t="s">
        <v>143</v>
      </c>
      <c r="J219" s="9" t="s">
        <v>139</v>
      </c>
      <c r="K219" s="10">
        <v>37104</v>
      </c>
    </row>
    <row r="220" spans="1:11" x14ac:dyDescent="0.25">
      <c r="A220" s="8">
        <v>472</v>
      </c>
      <c r="B220" s="9" t="s">
        <v>8634</v>
      </c>
      <c r="C220" s="9" t="s">
        <v>542</v>
      </c>
      <c r="D220" s="9" t="s">
        <v>139</v>
      </c>
      <c r="E220" s="9" t="s">
        <v>212</v>
      </c>
      <c r="F220" s="9" t="s">
        <v>141</v>
      </c>
      <c r="G220" s="9" t="s">
        <v>142</v>
      </c>
      <c r="H220" s="9" t="s">
        <v>139</v>
      </c>
      <c r="I220" s="9" t="s">
        <v>143</v>
      </c>
      <c r="J220" s="9" t="s">
        <v>139</v>
      </c>
      <c r="K220" s="10">
        <v>37104</v>
      </c>
    </row>
    <row r="221" spans="1:11" x14ac:dyDescent="0.25">
      <c r="A221" s="8">
        <v>473</v>
      </c>
      <c r="B221" s="9" t="s">
        <v>8635</v>
      </c>
      <c r="C221" s="9" t="s">
        <v>543</v>
      </c>
      <c r="D221" s="9" t="s">
        <v>139</v>
      </c>
      <c r="E221" s="9" t="s">
        <v>286</v>
      </c>
      <c r="F221" s="9" t="s">
        <v>141</v>
      </c>
      <c r="G221" s="9" t="s">
        <v>142</v>
      </c>
      <c r="H221" s="9" t="s">
        <v>139</v>
      </c>
      <c r="I221" s="9" t="s">
        <v>143</v>
      </c>
      <c r="J221" s="9" t="s">
        <v>139</v>
      </c>
      <c r="K221" s="10">
        <v>37104</v>
      </c>
    </row>
    <row r="222" spans="1:11" x14ac:dyDescent="0.25">
      <c r="A222" s="8">
        <v>475</v>
      </c>
      <c r="B222" s="9" t="s">
        <v>8636</v>
      </c>
      <c r="C222" s="9" t="s">
        <v>544</v>
      </c>
      <c r="D222" s="9" t="s">
        <v>139</v>
      </c>
      <c r="E222" s="9" t="s">
        <v>197</v>
      </c>
      <c r="F222" s="9" t="s">
        <v>141</v>
      </c>
      <c r="G222" s="9" t="s">
        <v>142</v>
      </c>
      <c r="H222" s="9" t="s">
        <v>139</v>
      </c>
      <c r="I222" s="9" t="s">
        <v>143</v>
      </c>
      <c r="J222" s="9" t="s">
        <v>139</v>
      </c>
      <c r="K222" s="10">
        <v>37104</v>
      </c>
    </row>
    <row r="223" spans="1:11" x14ac:dyDescent="0.25">
      <c r="A223" s="8">
        <v>476</v>
      </c>
      <c r="B223" s="9" t="s">
        <v>8637</v>
      </c>
      <c r="C223" s="9" t="s">
        <v>545</v>
      </c>
      <c r="D223" s="9" t="s">
        <v>139</v>
      </c>
      <c r="E223" s="9" t="s">
        <v>140</v>
      </c>
      <c r="F223" s="9" t="s">
        <v>141</v>
      </c>
      <c r="G223" s="9" t="s">
        <v>142</v>
      </c>
      <c r="H223" s="9" t="s">
        <v>139</v>
      </c>
      <c r="I223" s="9" t="s">
        <v>143</v>
      </c>
      <c r="J223" s="9" t="s">
        <v>139</v>
      </c>
      <c r="K223" s="10">
        <v>37104</v>
      </c>
    </row>
    <row r="224" spans="1:11" x14ac:dyDescent="0.25">
      <c r="A224" s="8">
        <v>477</v>
      </c>
      <c r="B224" s="9" t="s">
        <v>8638</v>
      </c>
      <c r="C224" s="9" t="s">
        <v>546</v>
      </c>
      <c r="D224" s="9" t="s">
        <v>139</v>
      </c>
      <c r="E224" s="9" t="s">
        <v>140</v>
      </c>
      <c r="F224" s="9" t="s">
        <v>141</v>
      </c>
      <c r="G224" s="9" t="s">
        <v>142</v>
      </c>
      <c r="H224" s="9" t="s">
        <v>139</v>
      </c>
      <c r="I224" s="9" t="s">
        <v>143</v>
      </c>
      <c r="J224" s="9" t="s">
        <v>139</v>
      </c>
      <c r="K224" s="10">
        <v>37104</v>
      </c>
    </row>
    <row r="225" spans="1:11" x14ac:dyDescent="0.25">
      <c r="A225" s="8">
        <v>479</v>
      </c>
      <c r="B225" s="9" t="s">
        <v>8639</v>
      </c>
      <c r="C225" s="9" t="s">
        <v>547</v>
      </c>
      <c r="D225" s="9" t="s">
        <v>139</v>
      </c>
      <c r="E225" s="9" t="s">
        <v>286</v>
      </c>
      <c r="F225" s="9" t="s">
        <v>141</v>
      </c>
      <c r="G225" s="9" t="s">
        <v>142</v>
      </c>
      <c r="H225" s="9" t="s">
        <v>139</v>
      </c>
      <c r="I225" s="9" t="s">
        <v>143</v>
      </c>
      <c r="J225" s="9" t="s">
        <v>139</v>
      </c>
      <c r="K225" s="10">
        <v>37104</v>
      </c>
    </row>
    <row r="226" spans="1:11" x14ac:dyDescent="0.25">
      <c r="A226" s="8">
        <v>482</v>
      </c>
      <c r="B226" s="9" t="s">
        <v>8640</v>
      </c>
      <c r="C226" s="9" t="s">
        <v>548</v>
      </c>
      <c r="D226" s="9" t="s">
        <v>139</v>
      </c>
      <c r="E226" s="9" t="s">
        <v>140</v>
      </c>
      <c r="F226" s="9" t="s">
        <v>141</v>
      </c>
      <c r="G226" s="9" t="s">
        <v>142</v>
      </c>
      <c r="H226" s="9" t="s">
        <v>139</v>
      </c>
      <c r="I226" s="9" t="s">
        <v>143</v>
      </c>
      <c r="J226" s="9" t="s">
        <v>139</v>
      </c>
      <c r="K226" s="10">
        <v>37104</v>
      </c>
    </row>
    <row r="227" spans="1:11" x14ac:dyDescent="0.25">
      <c r="A227" s="8">
        <v>484</v>
      </c>
      <c r="B227" s="9" t="s">
        <v>8641</v>
      </c>
      <c r="C227" s="9" t="s">
        <v>549</v>
      </c>
      <c r="D227" s="9" t="s">
        <v>139</v>
      </c>
      <c r="E227" s="9" t="s">
        <v>306</v>
      </c>
      <c r="F227" s="9" t="s">
        <v>141</v>
      </c>
      <c r="G227" s="9" t="s">
        <v>142</v>
      </c>
      <c r="H227" s="9" t="s">
        <v>139</v>
      </c>
      <c r="I227" s="9" t="s">
        <v>143</v>
      </c>
      <c r="J227" s="9" t="s">
        <v>139</v>
      </c>
      <c r="K227" s="10">
        <v>37104</v>
      </c>
    </row>
    <row r="228" spans="1:11" x14ac:dyDescent="0.25">
      <c r="A228" s="8">
        <v>485</v>
      </c>
      <c r="B228" s="9" t="s">
        <v>8642</v>
      </c>
      <c r="C228" s="9" t="s">
        <v>550</v>
      </c>
      <c r="D228" s="9" t="s">
        <v>139</v>
      </c>
      <c r="E228" s="9" t="s">
        <v>263</v>
      </c>
      <c r="F228" s="9" t="s">
        <v>141</v>
      </c>
      <c r="G228" s="9" t="s">
        <v>142</v>
      </c>
      <c r="H228" s="9" t="s">
        <v>139</v>
      </c>
      <c r="I228" s="9" t="s">
        <v>143</v>
      </c>
      <c r="J228" s="9" t="s">
        <v>139</v>
      </c>
      <c r="K228" s="10">
        <v>37104</v>
      </c>
    </row>
    <row r="229" spans="1:11" x14ac:dyDescent="0.25">
      <c r="A229" s="8">
        <v>486</v>
      </c>
      <c r="B229" s="9" t="s">
        <v>8643</v>
      </c>
      <c r="C229" s="9" t="s">
        <v>551</v>
      </c>
      <c r="D229" s="9" t="s">
        <v>139</v>
      </c>
      <c r="E229" s="9" t="s">
        <v>263</v>
      </c>
      <c r="F229" s="9" t="s">
        <v>141</v>
      </c>
      <c r="G229" s="9" t="s">
        <v>142</v>
      </c>
      <c r="H229" s="9" t="s">
        <v>139</v>
      </c>
      <c r="I229" s="9" t="s">
        <v>143</v>
      </c>
      <c r="J229" s="9" t="s">
        <v>139</v>
      </c>
      <c r="K229" s="10">
        <v>37104</v>
      </c>
    </row>
    <row r="230" spans="1:11" x14ac:dyDescent="0.25">
      <c r="A230" s="8">
        <v>489</v>
      </c>
      <c r="B230" s="9" t="s">
        <v>8644</v>
      </c>
      <c r="C230" s="9" t="s">
        <v>552</v>
      </c>
      <c r="D230" s="9" t="s">
        <v>139</v>
      </c>
      <c r="E230" s="9" t="s">
        <v>197</v>
      </c>
      <c r="F230" s="9" t="s">
        <v>141</v>
      </c>
      <c r="G230" s="9" t="s">
        <v>142</v>
      </c>
      <c r="H230" s="9" t="s">
        <v>139</v>
      </c>
      <c r="I230" s="9" t="s">
        <v>143</v>
      </c>
      <c r="J230" s="9" t="s">
        <v>139</v>
      </c>
      <c r="K230" s="10">
        <v>37104</v>
      </c>
    </row>
    <row r="231" spans="1:11" x14ac:dyDescent="0.25">
      <c r="A231" s="8">
        <v>490</v>
      </c>
      <c r="B231" s="9" t="s">
        <v>8645</v>
      </c>
      <c r="C231" s="9" t="s">
        <v>553</v>
      </c>
      <c r="D231" s="9" t="s">
        <v>139</v>
      </c>
      <c r="E231" s="9" t="s">
        <v>554</v>
      </c>
      <c r="F231" s="9" t="s">
        <v>555</v>
      </c>
      <c r="G231" s="9" t="s">
        <v>142</v>
      </c>
      <c r="H231" s="9" t="s">
        <v>139</v>
      </c>
      <c r="I231" s="9" t="s">
        <v>143</v>
      </c>
      <c r="J231" s="9" t="s">
        <v>139</v>
      </c>
      <c r="K231" s="10">
        <v>37104</v>
      </c>
    </row>
    <row r="232" spans="1:11" x14ac:dyDescent="0.25">
      <c r="A232" s="8">
        <v>493</v>
      </c>
      <c r="B232" s="9" t="s">
        <v>8646</v>
      </c>
      <c r="C232" s="9" t="s">
        <v>556</v>
      </c>
      <c r="D232" s="9" t="s">
        <v>139</v>
      </c>
      <c r="E232" s="9" t="s">
        <v>197</v>
      </c>
      <c r="F232" s="9" t="s">
        <v>141</v>
      </c>
      <c r="G232" s="9" t="s">
        <v>142</v>
      </c>
      <c r="H232" s="9" t="s">
        <v>139</v>
      </c>
      <c r="I232" s="9" t="s">
        <v>143</v>
      </c>
      <c r="J232" s="9" t="s">
        <v>139</v>
      </c>
      <c r="K232" s="10">
        <v>37104</v>
      </c>
    </row>
    <row r="233" spans="1:11" x14ac:dyDescent="0.25">
      <c r="A233" s="8">
        <v>494</v>
      </c>
      <c r="B233" s="9" t="s">
        <v>8647</v>
      </c>
      <c r="C233" s="9" t="s">
        <v>557</v>
      </c>
      <c r="D233" s="9" t="s">
        <v>139</v>
      </c>
      <c r="E233" s="9" t="s">
        <v>308</v>
      </c>
      <c r="F233" s="9" t="s">
        <v>141</v>
      </c>
      <c r="G233" s="9" t="s">
        <v>142</v>
      </c>
      <c r="H233" s="9" t="s">
        <v>139</v>
      </c>
      <c r="I233" s="9" t="s">
        <v>143</v>
      </c>
      <c r="J233" s="9" t="s">
        <v>139</v>
      </c>
      <c r="K233" s="10">
        <v>37104</v>
      </c>
    </row>
    <row r="234" spans="1:11" x14ac:dyDescent="0.25">
      <c r="A234" s="8">
        <v>495</v>
      </c>
      <c r="B234" s="9" t="s">
        <v>8648</v>
      </c>
      <c r="C234" s="9" t="s">
        <v>558</v>
      </c>
      <c r="D234" s="9" t="s">
        <v>139</v>
      </c>
      <c r="E234" s="9" t="s">
        <v>267</v>
      </c>
      <c r="F234" s="9" t="s">
        <v>141</v>
      </c>
      <c r="G234" s="9" t="s">
        <v>142</v>
      </c>
      <c r="H234" s="9" t="s">
        <v>139</v>
      </c>
      <c r="I234" s="9" t="s">
        <v>143</v>
      </c>
      <c r="J234" s="9" t="s">
        <v>139</v>
      </c>
      <c r="K234" s="10">
        <v>37104</v>
      </c>
    </row>
    <row r="235" spans="1:11" x14ac:dyDescent="0.25">
      <c r="A235" s="8">
        <v>496</v>
      </c>
      <c r="B235" s="9" t="s">
        <v>8649</v>
      </c>
      <c r="C235" s="9" t="s">
        <v>559</v>
      </c>
      <c r="D235" s="9" t="s">
        <v>139</v>
      </c>
      <c r="E235" s="9" t="s">
        <v>328</v>
      </c>
      <c r="F235" s="9" t="s">
        <v>141</v>
      </c>
      <c r="G235" s="9" t="s">
        <v>142</v>
      </c>
      <c r="H235" s="9" t="s">
        <v>139</v>
      </c>
      <c r="I235" s="9" t="s">
        <v>143</v>
      </c>
      <c r="J235" s="9" t="s">
        <v>139</v>
      </c>
      <c r="K235" s="10">
        <v>37104</v>
      </c>
    </row>
    <row r="236" spans="1:11" x14ac:dyDescent="0.25">
      <c r="A236" s="8">
        <v>497</v>
      </c>
      <c r="B236" s="9" t="s">
        <v>8650</v>
      </c>
      <c r="C236" s="9" t="s">
        <v>560</v>
      </c>
      <c r="D236" s="9" t="s">
        <v>139</v>
      </c>
      <c r="E236" s="9" t="s">
        <v>197</v>
      </c>
      <c r="F236" s="9" t="s">
        <v>141</v>
      </c>
      <c r="G236" s="9" t="s">
        <v>142</v>
      </c>
      <c r="H236" s="9" t="s">
        <v>139</v>
      </c>
      <c r="I236" s="9" t="s">
        <v>143</v>
      </c>
      <c r="J236" s="9" t="s">
        <v>139</v>
      </c>
      <c r="K236" s="10">
        <v>37104</v>
      </c>
    </row>
    <row r="237" spans="1:11" x14ac:dyDescent="0.25">
      <c r="A237" s="8">
        <v>499</v>
      </c>
      <c r="B237" s="9" t="s">
        <v>8651</v>
      </c>
      <c r="C237" s="9" t="s">
        <v>561</v>
      </c>
      <c r="D237" s="9" t="s">
        <v>139</v>
      </c>
      <c r="E237" s="9" t="s">
        <v>308</v>
      </c>
      <c r="F237" s="9" t="s">
        <v>141</v>
      </c>
      <c r="G237" s="9" t="s">
        <v>142</v>
      </c>
      <c r="H237" s="9" t="s">
        <v>139</v>
      </c>
      <c r="I237" s="9" t="s">
        <v>143</v>
      </c>
      <c r="J237" s="9" t="s">
        <v>139</v>
      </c>
      <c r="K237" s="10">
        <v>37104</v>
      </c>
    </row>
    <row r="238" spans="1:11" x14ac:dyDescent="0.25">
      <c r="A238" s="8">
        <v>501</v>
      </c>
      <c r="B238" s="9" t="s">
        <v>8652</v>
      </c>
      <c r="C238" s="9" t="s">
        <v>562</v>
      </c>
      <c r="D238" s="9" t="s">
        <v>139</v>
      </c>
      <c r="E238" s="9" t="s">
        <v>306</v>
      </c>
      <c r="F238" s="9" t="s">
        <v>141</v>
      </c>
      <c r="G238" s="9" t="s">
        <v>142</v>
      </c>
      <c r="H238" s="9" t="s">
        <v>166</v>
      </c>
      <c r="I238" s="9" t="s">
        <v>143</v>
      </c>
      <c r="J238" s="9" t="s">
        <v>139</v>
      </c>
      <c r="K238" s="10">
        <v>37104</v>
      </c>
    </row>
    <row r="239" spans="1:11" x14ac:dyDescent="0.25">
      <c r="A239" s="8">
        <v>502</v>
      </c>
      <c r="B239" s="9" t="s">
        <v>8653</v>
      </c>
      <c r="C239" s="9" t="s">
        <v>563</v>
      </c>
      <c r="D239" s="9" t="s">
        <v>139</v>
      </c>
      <c r="E239" s="9" t="s">
        <v>308</v>
      </c>
      <c r="F239" s="9" t="s">
        <v>141</v>
      </c>
      <c r="G239" s="9" t="s">
        <v>142</v>
      </c>
      <c r="H239" s="9" t="s">
        <v>166</v>
      </c>
      <c r="I239" s="9" t="s">
        <v>143</v>
      </c>
      <c r="J239" s="9" t="s">
        <v>139</v>
      </c>
      <c r="K239" s="10">
        <v>37104</v>
      </c>
    </row>
    <row r="240" spans="1:11" x14ac:dyDescent="0.25">
      <c r="A240" s="8">
        <v>503</v>
      </c>
      <c r="B240" s="9" t="s">
        <v>8654</v>
      </c>
      <c r="C240" s="9" t="s">
        <v>564</v>
      </c>
      <c r="D240" s="9" t="s">
        <v>139</v>
      </c>
      <c r="E240" s="9" t="s">
        <v>263</v>
      </c>
      <c r="F240" s="9" t="s">
        <v>141</v>
      </c>
      <c r="G240" s="9" t="s">
        <v>142</v>
      </c>
      <c r="H240" s="9" t="s">
        <v>166</v>
      </c>
      <c r="I240" s="9" t="s">
        <v>143</v>
      </c>
      <c r="J240" s="9" t="s">
        <v>139</v>
      </c>
      <c r="K240" s="10">
        <v>37104</v>
      </c>
    </row>
    <row r="241" spans="1:11" x14ac:dyDescent="0.25">
      <c r="A241" s="8">
        <v>505</v>
      </c>
      <c r="B241" s="9" t="s">
        <v>8655</v>
      </c>
      <c r="C241" s="9" t="s">
        <v>565</v>
      </c>
      <c r="D241" s="9" t="s">
        <v>139</v>
      </c>
      <c r="E241" s="9" t="s">
        <v>306</v>
      </c>
      <c r="F241" s="9" t="s">
        <v>141</v>
      </c>
      <c r="G241" s="9" t="s">
        <v>142</v>
      </c>
      <c r="H241" s="9" t="s">
        <v>566</v>
      </c>
      <c r="I241" s="9" t="s">
        <v>143</v>
      </c>
      <c r="J241" s="9" t="s">
        <v>139</v>
      </c>
      <c r="K241" s="10">
        <v>37104</v>
      </c>
    </row>
    <row r="242" spans="1:11" x14ac:dyDescent="0.25">
      <c r="A242" s="8">
        <v>507</v>
      </c>
      <c r="B242" s="9" t="s">
        <v>8656</v>
      </c>
      <c r="C242" s="9" t="s">
        <v>567</v>
      </c>
      <c r="D242" s="9" t="s">
        <v>139</v>
      </c>
      <c r="E242" s="9" t="s">
        <v>364</v>
      </c>
      <c r="F242" s="9" t="s">
        <v>365</v>
      </c>
      <c r="G242" s="9" t="s">
        <v>142</v>
      </c>
      <c r="H242" s="9" t="s">
        <v>166</v>
      </c>
      <c r="I242" s="9" t="s">
        <v>143</v>
      </c>
      <c r="J242" s="9" t="s">
        <v>139</v>
      </c>
      <c r="K242" s="10">
        <v>37104</v>
      </c>
    </row>
    <row r="243" spans="1:11" x14ac:dyDescent="0.25">
      <c r="A243" s="8">
        <v>508</v>
      </c>
      <c r="B243" s="9" t="s">
        <v>8657</v>
      </c>
      <c r="C243" s="9" t="s">
        <v>568</v>
      </c>
      <c r="D243" s="9" t="s">
        <v>139</v>
      </c>
      <c r="E243" s="9" t="s">
        <v>387</v>
      </c>
      <c r="F243" s="9" t="s">
        <v>271</v>
      </c>
      <c r="G243" s="9" t="s">
        <v>142</v>
      </c>
      <c r="H243" s="9" t="s">
        <v>166</v>
      </c>
      <c r="I243" s="9" t="s">
        <v>143</v>
      </c>
      <c r="J243" s="9" t="s">
        <v>139</v>
      </c>
      <c r="K243" s="10">
        <v>37104</v>
      </c>
    </row>
    <row r="244" spans="1:11" x14ac:dyDescent="0.25">
      <c r="A244" s="8">
        <v>509</v>
      </c>
      <c r="B244" s="9" t="s">
        <v>8658</v>
      </c>
      <c r="C244" s="9" t="s">
        <v>569</v>
      </c>
      <c r="D244" s="9" t="s">
        <v>139</v>
      </c>
      <c r="E244" s="9" t="s">
        <v>197</v>
      </c>
      <c r="F244" s="9" t="s">
        <v>141</v>
      </c>
      <c r="G244" s="9" t="s">
        <v>142</v>
      </c>
      <c r="H244" s="9" t="s">
        <v>321</v>
      </c>
      <c r="I244" s="9" t="s">
        <v>143</v>
      </c>
      <c r="J244" s="9" t="s">
        <v>139</v>
      </c>
      <c r="K244" s="10">
        <v>37104</v>
      </c>
    </row>
    <row r="245" spans="1:11" x14ac:dyDescent="0.25">
      <c r="A245" s="8">
        <v>510</v>
      </c>
      <c r="B245" s="9" t="s">
        <v>8659</v>
      </c>
      <c r="C245" s="9" t="s">
        <v>570</v>
      </c>
      <c r="D245" s="9" t="s">
        <v>139</v>
      </c>
      <c r="E245" s="9" t="s">
        <v>267</v>
      </c>
      <c r="F245" s="9" t="s">
        <v>141</v>
      </c>
      <c r="G245" s="9" t="s">
        <v>142</v>
      </c>
      <c r="H245" s="9" t="s">
        <v>166</v>
      </c>
      <c r="I245" s="9" t="s">
        <v>143</v>
      </c>
      <c r="J245" s="9" t="s">
        <v>139</v>
      </c>
      <c r="K245" s="10">
        <v>37104</v>
      </c>
    </row>
    <row r="246" spans="1:11" x14ac:dyDescent="0.25">
      <c r="A246" s="8">
        <v>511</v>
      </c>
      <c r="B246" s="9" t="s">
        <v>8660</v>
      </c>
      <c r="C246" s="9" t="s">
        <v>571</v>
      </c>
      <c r="D246" s="9" t="s">
        <v>139</v>
      </c>
      <c r="E246" s="9" t="s">
        <v>145</v>
      </c>
      <c r="F246" s="9" t="s">
        <v>141</v>
      </c>
      <c r="G246" s="9" t="s">
        <v>142</v>
      </c>
      <c r="H246" s="9" t="s">
        <v>139</v>
      </c>
      <c r="I246" s="9" t="s">
        <v>143</v>
      </c>
      <c r="J246" s="9" t="s">
        <v>139</v>
      </c>
      <c r="K246" s="10">
        <v>37104</v>
      </c>
    </row>
    <row r="247" spans="1:11" x14ac:dyDescent="0.25">
      <c r="A247" s="8">
        <v>512</v>
      </c>
      <c r="B247" s="9" t="s">
        <v>8661</v>
      </c>
      <c r="C247" s="9" t="s">
        <v>572</v>
      </c>
      <c r="D247" s="9" t="s">
        <v>139</v>
      </c>
      <c r="E247" s="9" t="s">
        <v>573</v>
      </c>
      <c r="F247" s="9" t="s">
        <v>574</v>
      </c>
      <c r="G247" s="9" t="s">
        <v>142</v>
      </c>
      <c r="H247" s="9" t="s">
        <v>166</v>
      </c>
      <c r="I247" s="9" t="s">
        <v>143</v>
      </c>
      <c r="J247" s="9" t="s">
        <v>139</v>
      </c>
      <c r="K247" s="10">
        <v>37104</v>
      </c>
    </row>
    <row r="248" spans="1:11" x14ac:dyDescent="0.25">
      <c r="A248" s="8">
        <v>513</v>
      </c>
      <c r="B248" s="9" t="s">
        <v>8662</v>
      </c>
      <c r="C248" s="9" t="s">
        <v>575</v>
      </c>
      <c r="D248" s="9" t="s">
        <v>139</v>
      </c>
      <c r="E248" s="9" t="s">
        <v>576</v>
      </c>
      <c r="F248" s="9" t="s">
        <v>577</v>
      </c>
      <c r="G248" s="9" t="s">
        <v>142</v>
      </c>
      <c r="H248" s="9" t="s">
        <v>166</v>
      </c>
      <c r="I248" s="9" t="s">
        <v>143</v>
      </c>
      <c r="J248" s="9" t="s">
        <v>139</v>
      </c>
      <c r="K248" s="10">
        <v>37104</v>
      </c>
    </row>
    <row r="249" spans="1:11" x14ac:dyDescent="0.25">
      <c r="A249" s="8">
        <v>518</v>
      </c>
      <c r="B249" s="9" t="s">
        <v>8663</v>
      </c>
      <c r="C249" s="9" t="s">
        <v>578</v>
      </c>
      <c r="D249" s="9" t="s">
        <v>139</v>
      </c>
      <c r="E249" s="9" t="s">
        <v>408</v>
      </c>
      <c r="F249" s="9" t="s">
        <v>409</v>
      </c>
      <c r="G249" s="9" t="s">
        <v>142</v>
      </c>
      <c r="H249" s="9" t="s">
        <v>258</v>
      </c>
      <c r="I249" s="9" t="s">
        <v>143</v>
      </c>
      <c r="J249" s="9" t="s">
        <v>139</v>
      </c>
      <c r="K249" s="10">
        <v>37104</v>
      </c>
    </row>
    <row r="250" spans="1:11" x14ac:dyDescent="0.25">
      <c r="A250" s="8">
        <v>520</v>
      </c>
      <c r="B250" s="9" t="s">
        <v>8664</v>
      </c>
      <c r="C250" s="9" t="s">
        <v>440</v>
      </c>
      <c r="D250" s="9" t="s">
        <v>139</v>
      </c>
      <c r="E250" s="9" t="s">
        <v>140</v>
      </c>
      <c r="F250" s="9" t="s">
        <v>141</v>
      </c>
      <c r="G250" s="9" t="s">
        <v>142</v>
      </c>
      <c r="H250" s="9" t="s">
        <v>321</v>
      </c>
      <c r="I250" s="9" t="s">
        <v>143</v>
      </c>
      <c r="J250" s="9" t="s">
        <v>139</v>
      </c>
      <c r="K250" s="10">
        <v>37104</v>
      </c>
    </row>
    <row r="251" spans="1:11" x14ac:dyDescent="0.25">
      <c r="A251" s="8">
        <v>521</v>
      </c>
      <c r="B251" s="9" t="s">
        <v>8665</v>
      </c>
      <c r="C251" s="9" t="s">
        <v>579</v>
      </c>
      <c r="D251" s="9" t="s">
        <v>139</v>
      </c>
      <c r="E251" s="9" t="s">
        <v>267</v>
      </c>
      <c r="F251" s="9" t="s">
        <v>141</v>
      </c>
      <c r="G251" s="9" t="s">
        <v>142</v>
      </c>
      <c r="H251" s="9" t="s">
        <v>241</v>
      </c>
      <c r="I251" s="9" t="s">
        <v>143</v>
      </c>
      <c r="J251" s="9" t="s">
        <v>139</v>
      </c>
      <c r="K251" s="10">
        <v>37104</v>
      </c>
    </row>
    <row r="252" spans="1:11" x14ac:dyDescent="0.25">
      <c r="A252" s="8">
        <v>524</v>
      </c>
      <c r="B252" s="9" t="s">
        <v>8666</v>
      </c>
      <c r="C252" s="9" t="s">
        <v>580</v>
      </c>
      <c r="D252" s="9" t="s">
        <v>139</v>
      </c>
      <c r="E252" s="9" t="s">
        <v>581</v>
      </c>
      <c r="F252" s="9" t="s">
        <v>831</v>
      </c>
      <c r="G252" s="9" t="s">
        <v>142</v>
      </c>
      <c r="H252" s="9" t="s">
        <v>258</v>
      </c>
      <c r="I252" s="9" t="s">
        <v>143</v>
      </c>
      <c r="J252" s="9" t="s">
        <v>139</v>
      </c>
      <c r="K252" s="10">
        <v>37104</v>
      </c>
    </row>
    <row r="253" spans="1:11" x14ac:dyDescent="0.25">
      <c r="A253" s="8">
        <v>525</v>
      </c>
      <c r="B253" s="9" t="s">
        <v>8667</v>
      </c>
      <c r="C253" s="9" t="s">
        <v>582</v>
      </c>
      <c r="D253" s="9" t="s">
        <v>139</v>
      </c>
      <c r="E253" s="9" t="s">
        <v>243</v>
      </c>
      <c r="F253" s="9" t="s">
        <v>244</v>
      </c>
      <c r="G253" s="9" t="s">
        <v>142</v>
      </c>
      <c r="H253" s="9" t="s">
        <v>258</v>
      </c>
      <c r="I253" s="9" t="s">
        <v>143</v>
      </c>
      <c r="J253" s="9" t="s">
        <v>139</v>
      </c>
      <c r="K253" s="10">
        <v>37104</v>
      </c>
    </row>
    <row r="254" spans="1:11" x14ac:dyDescent="0.25">
      <c r="A254" s="8">
        <v>526</v>
      </c>
      <c r="B254" s="9" t="s">
        <v>8668</v>
      </c>
      <c r="C254" s="9" t="s">
        <v>583</v>
      </c>
      <c r="D254" s="9" t="s">
        <v>139</v>
      </c>
      <c r="E254" s="9" t="s">
        <v>161</v>
      </c>
      <c r="F254" s="9" t="s">
        <v>9304</v>
      </c>
      <c r="G254" s="9" t="s">
        <v>142</v>
      </c>
      <c r="H254" s="9" t="s">
        <v>258</v>
      </c>
      <c r="I254" s="9" t="s">
        <v>143</v>
      </c>
      <c r="J254" s="9" t="s">
        <v>139</v>
      </c>
      <c r="K254" s="10">
        <v>37104</v>
      </c>
    </row>
    <row r="255" spans="1:11" x14ac:dyDescent="0.25">
      <c r="A255" s="8">
        <v>527</v>
      </c>
      <c r="B255" s="9" t="s">
        <v>8669</v>
      </c>
      <c r="C255" s="9" t="s">
        <v>584</v>
      </c>
      <c r="D255" s="9" t="s">
        <v>139</v>
      </c>
      <c r="E255" s="9" t="s">
        <v>236</v>
      </c>
      <c r="F255" s="9" t="s">
        <v>237</v>
      </c>
      <c r="G255" s="9" t="s">
        <v>142</v>
      </c>
      <c r="H255" s="9" t="s">
        <v>139</v>
      </c>
      <c r="I255" s="9" t="s">
        <v>143</v>
      </c>
      <c r="J255" s="9" t="s">
        <v>139</v>
      </c>
      <c r="K255" s="10">
        <v>37104</v>
      </c>
    </row>
    <row r="256" spans="1:11" x14ac:dyDescent="0.25">
      <c r="A256" s="8">
        <v>531</v>
      </c>
      <c r="B256" s="9" t="s">
        <v>8670</v>
      </c>
      <c r="C256" s="9" t="s">
        <v>585</v>
      </c>
      <c r="D256" s="9" t="s">
        <v>139</v>
      </c>
      <c r="E256" s="9" t="s">
        <v>280</v>
      </c>
      <c r="F256" s="9" t="s">
        <v>141</v>
      </c>
      <c r="G256" s="9" t="s">
        <v>142</v>
      </c>
      <c r="H256" s="9" t="s">
        <v>166</v>
      </c>
      <c r="I256" s="9" t="s">
        <v>143</v>
      </c>
      <c r="J256" s="9" t="s">
        <v>139</v>
      </c>
      <c r="K256" s="10">
        <v>37104</v>
      </c>
    </row>
    <row r="257" spans="1:11" x14ac:dyDescent="0.25">
      <c r="A257" s="8">
        <v>532</v>
      </c>
      <c r="B257" s="9" t="s">
        <v>8671</v>
      </c>
      <c r="C257" s="9" t="s">
        <v>586</v>
      </c>
      <c r="D257" s="9" t="s">
        <v>139</v>
      </c>
      <c r="E257" s="9" t="s">
        <v>308</v>
      </c>
      <c r="F257" s="9" t="s">
        <v>141</v>
      </c>
      <c r="G257" s="9" t="s">
        <v>142</v>
      </c>
      <c r="H257" s="9" t="s">
        <v>258</v>
      </c>
      <c r="I257" s="9" t="s">
        <v>143</v>
      </c>
      <c r="J257" s="9" t="s">
        <v>139</v>
      </c>
      <c r="K257" s="10">
        <v>37104</v>
      </c>
    </row>
    <row r="258" spans="1:11" x14ac:dyDescent="0.25">
      <c r="A258" s="8">
        <v>533</v>
      </c>
      <c r="B258" s="9" t="s">
        <v>8672</v>
      </c>
      <c r="C258" s="9" t="s">
        <v>587</v>
      </c>
      <c r="D258" s="9" t="s">
        <v>139</v>
      </c>
      <c r="E258" s="9" t="s">
        <v>147</v>
      </c>
      <c r="F258" s="9" t="s">
        <v>141</v>
      </c>
      <c r="G258" s="9" t="s">
        <v>142</v>
      </c>
      <c r="H258" s="9" t="s">
        <v>166</v>
      </c>
      <c r="I258" s="9" t="s">
        <v>143</v>
      </c>
      <c r="J258" s="9" t="s">
        <v>139</v>
      </c>
      <c r="K258" s="10">
        <v>37104</v>
      </c>
    </row>
    <row r="259" spans="1:11" x14ac:dyDescent="0.25">
      <c r="A259" s="8">
        <v>537</v>
      </c>
      <c r="B259" s="9" t="s">
        <v>8673</v>
      </c>
      <c r="C259" s="9" t="s">
        <v>588</v>
      </c>
      <c r="D259" s="9" t="s">
        <v>139</v>
      </c>
      <c r="E259" s="9" t="s">
        <v>589</v>
      </c>
      <c r="F259" s="9" t="s">
        <v>590</v>
      </c>
      <c r="G259" s="9" t="s">
        <v>142</v>
      </c>
      <c r="H259" s="9" t="s">
        <v>258</v>
      </c>
      <c r="I259" s="9" t="s">
        <v>143</v>
      </c>
      <c r="J259" s="9" t="s">
        <v>139</v>
      </c>
      <c r="K259" s="10">
        <v>37104</v>
      </c>
    </row>
    <row r="260" spans="1:11" x14ac:dyDescent="0.25">
      <c r="A260" s="8">
        <v>538</v>
      </c>
      <c r="B260" s="9" t="s">
        <v>8674</v>
      </c>
      <c r="C260" s="9" t="s">
        <v>591</v>
      </c>
      <c r="D260" s="9" t="s">
        <v>139</v>
      </c>
      <c r="E260" s="9" t="s">
        <v>592</v>
      </c>
      <c r="F260" s="9" t="s">
        <v>593</v>
      </c>
      <c r="G260" s="9" t="s">
        <v>142</v>
      </c>
      <c r="H260" s="9" t="s">
        <v>258</v>
      </c>
      <c r="I260" s="9" t="s">
        <v>143</v>
      </c>
      <c r="J260" s="9" t="s">
        <v>139</v>
      </c>
      <c r="K260" s="10">
        <v>37104</v>
      </c>
    </row>
    <row r="261" spans="1:11" x14ac:dyDescent="0.25">
      <c r="A261" s="8">
        <v>541</v>
      </c>
      <c r="B261" s="9" t="s">
        <v>8675</v>
      </c>
      <c r="C261" s="9" t="s">
        <v>594</v>
      </c>
      <c r="D261" s="9" t="s">
        <v>139</v>
      </c>
      <c r="E261" s="9" t="s">
        <v>267</v>
      </c>
      <c r="F261" s="9" t="s">
        <v>141</v>
      </c>
      <c r="G261" s="9" t="s">
        <v>142</v>
      </c>
      <c r="H261" s="9" t="s">
        <v>258</v>
      </c>
      <c r="I261" s="9" t="s">
        <v>143</v>
      </c>
      <c r="J261" s="9" t="s">
        <v>139</v>
      </c>
      <c r="K261" s="10">
        <v>37104</v>
      </c>
    </row>
    <row r="262" spans="1:11" x14ac:dyDescent="0.25">
      <c r="A262" s="8">
        <v>542</v>
      </c>
      <c r="B262" s="9" t="s">
        <v>8676</v>
      </c>
      <c r="C262" s="9" t="s">
        <v>595</v>
      </c>
      <c r="D262" s="9" t="s">
        <v>139</v>
      </c>
      <c r="E262" s="9" t="s">
        <v>596</v>
      </c>
      <c r="F262" s="9" t="s">
        <v>597</v>
      </c>
      <c r="G262" s="9" t="s">
        <v>142</v>
      </c>
      <c r="H262" s="9" t="s">
        <v>258</v>
      </c>
      <c r="I262" s="9" t="s">
        <v>143</v>
      </c>
      <c r="J262" s="9" t="s">
        <v>139</v>
      </c>
      <c r="K262" s="10">
        <v>37104</v>
      </c>
    </row>
    <row r="263" spans="1:11" x14ac:dyDescent="0.25">
      <c r="A263" s="8">
        <v>547</v>
      </c>
      <c r="B263" s="9" t="s">
        <v>8677</v>
      </c>
      <c r="C263" s="9" t="s">
        <v>598</v>
      </c>
      <c r="D263" s="9" t="s">
        <v>139</v>
      </c>
      <c r="E263" s="9" t="s">
        <v>260</v>
      </c>
      <c r="F263" s="9" t="s">
        <v>261</v>
      </c>
      <c r="G263" s="9" t="s">
        <v>142</v>
      </c>
      <c r="H263" s="9" t="s">
        <v>166</v>
      </c>
      <c r="I263" s="9" t="s">
        <v>143</v>
      </c>
      <c r="J263" s="9" t="s">
        <v>139</v>
      </c>
      <c r="K263" s="10">
        <v>37104</v>
      </c>
    </row>
    <row r="264" spans="1:11" x14ac:dyDescent="0.25">
      <c r="A264" s="8">
        <v>549</v>
      </c>
      <c r="B264" s="9" t="s">
        <v>8678</v>
      </c>
      <c r="C264" s="9" t="s">
        <v>599</v>
      </c>
      <c r="D264" s="9" t="s">
        <v>139</v>
      </c>
      <c r="E264" s="9" t="s">
        <v>600</v>
      </c>
      <c r="F264" s="9" t="s">
        <v>601</v>
      </c>
      <c r="G264" s="9" t="s">
        <v>602</v>
      </c>
      <c r="H264" s="9" t="s">
        <v>166</v>
      </c>
      <c r="I264" s="9" t="s">
        <v>143</v>
      </c>
      <c r="J264" s="9" t="s">
        <v>139</v>
      </c>
      <c r="K264" s="10">
        <v>37104</v>
      </c>
    </row>
    <row r="265" spans="1:11" x14ac:dyDescent="0.25">
      <c r="A265" s="8">
        <v>550</v>
      </c>
      <c r="B265" s="9" t="s">
        <v>8679</v>
      </c>
      <c r="C265" s="9" t="s">
        <v>603</v>
      </c>
      <c r="D265" s="9" t="s">
        <v>139</v>
      </c>
      <c r="E265" s="9" t="s">
        <v>357</v>
      </c>
      <c r="F265" s="9" t="s">
        <v>358</v>
      </c>
      <c r="G265" s="9" t="s">
        <v>142</v>
      </c>
      <c r="H265" s="9" t="s">
        <v>258</v>
      </c>
      <c r="I265" s="9" t="s">
        <v>143</v>
      </c>
      <c r="J265" s="9" t="s">
        <v>139</v>
      </c>
      <c r="K265" s="10">
        <v>37104</v>
      </c>
    </row>
    <row r="266" spans="1:11" x14ac:dyDescent="0.25">
      <c r="A266" s="8">
        <v>554</v>
      </c>
      <c r="B266" s="9" t="s">
        <v>8680</v>
      </c>
      <c r="C266" s="9" t="s">
        <v>604</v>
      </c>
      <c r="D266" s="9" t="s">
        <v>139</v>
      </c>
      <c r="E266" s="9" t="s">
        <v>361</v>
      </c>
      <c r="F266" s="9" t="s">
        <v>362</v>
      </c>
      <c r="G266" s="9" t="s">
        <v>142</v>
      </c>
      <c r="H266" s="9" t="s">
        <v>139</v>
      </c>
      <c r="I266" s="9" t="s">
        <v>143</v>
      </c>
      <c r="J266" s="9" t="s">
        <v>139</v>
      </c>
      <c r="K266" s="10">
        <v>37104</v>
      </c>
    </row>
    <row r="267" spans="1:11" x14ac:dyDescent="0.25">
      <c r="A267" s="8">
        <v>556</v>
      </c>
      <c r="B267" s="9" t="s">
        <v>8681</v>
      </c>
      <c r="C267" s="9" t="s">
        <v>605</v>
      </c>
      <c r="D267" s="9" t="s">
        <v>139</v>
      </c>
      <c r="E267" s="9" t="s">
        <v>606</v>
      </c>
      <c r="F267" s="9" t="s">
        <v>607</v>
      </c>
      <c r="G267" s="9" t="s">
        <v>142</v>
      </c>
      <c r="H267" s="9" t="s">
        <v>166</v>
      </c>
      <c r="I267" s="9" t="s">
        <v>143</v>
      </c>
      <c r="J267" s="9" t="s">
        <v>139</v>
      </c>
      <c r="K267" s="10">
        <v>37104</v>
      </c>
    </row>
    <row r="268" spans="1:11" x14ac:dyDescent="0.25">
      <c r="A268" s="8">
        <v>559</v>
      </c>
      <c r="B268" s="9" t="s">
        <v>8682</v>
      </c>
      <c r="C268" s="9" t="s">
        <v>608</v>
      </c>
      <c r="D268" s="9" t="s">
        <v>609</v>
      </c>
      <c r="E268" s="9" t="s">
        <v>328</v>
      </c>
      <c r="F268" s="9" t="s">
        <v>141</v>
      </c>
      <c r="G268" s="9" t="s">
        <v>142</v>
      </c>
      <c r="H268" s="9" t="s">
        <v>241</v>
      </c>
      <c r="I268" s="9" t="s">
        <v>143</v>
      </c>
      <c r="J268" s="9" t="s">
        <v>139</v>
      </c>
      <c r="K268" s="10">
        <v>37104</v>
      </c>
    </row>
    <row r="269" spans="1:11" x14ac:dyDescent="0.25">
      <c r="A269" s="8">
        <v>560</v>
      </c>
      <c r="B269" s="9" t="s">
        <v>8683</v>
      </c>
      <c r="C269" s="9" t="s">
        <v>610</v>
      </c>
      <c r="D269" s="9" t="s">
        <v>139</v>
      </c>
      <c r="E269" s="9" t="s">
        <v>163</v>
      </c>
      <c r="F269" s="9" t="s">
        <v>141</v>
      </c>
      <c r="G269" s="9" t="s">
        <v>142</v>
      </c>
      <c r="H269" s="9" t="s">
        <v>139</v>
      </c>
      <c r="I269" s="9" t="s">
        <v>143</v>
      </c>
      <c r="J269" s="9" t="s">
        <v>139</v>
      </c>
      <c r="K269" s="10">
        <v>37104</v>
      </c>
    </row>
    <row r="270" spans="1:11" x14ac:dyDescent="0.25">
      <c r="A270" s="8">
        <v>562</v>
      </c>
      <c r="B270" s="9" t="s">
        <v>8684</v>
      </c>
      <c r="C270" s="9" t="s">
        <v>611</v>
      </c>
      <c r="D270" s="9" t="s">
        <v>139</v>
      </c>
      <c r="E270" s="9" t="s">
        <v>161</v>
      </c>
      <c r="F270" s="9" t="s">
        <v>9304</v>
      </c>
      <c r="G270" s="9" t="s">
        <v>142</v>
      </c>
      <c r="H270" s="9" t="s">
        <v>258</v>
      </c>
      <c r="I270" s="9" t="s">
        <v>143</v>
      </c>
      <c r="J270" s="9" t="s">
        <v>139</v>
      </c>
      <c r="K270" s="10">
        <v>37104</v>
      </c>
    </row>
    <row r="271" spans="1:11" x14ac:dyDescent="0.25">
      <c r="A271" s="8">
        <v>563</v>
      </c>
      <c r="B271" s="9" t="s">
        <v>8685</v>
      </c>
      <c r="C271" s="9" t="s">
        <v>612</v>
      </c>
      <c r="D271" s="9" t="s">
        <v>613</v>
      </c>
      <c r="E271" s="9" t="s">
        <v>280</v>
      </c>
      <c r="F271" s="9" t="s">
        <v>141</v>
      </c>
      <c r="G271" s="9" t="s">
        <v>142</v>
      </c>
      <c r="H271" s="9" t="s">
        <v>139</v>
      </c>
      <c r="I271" s="9" t="s">
        <v>143</v>
      </c>
      <c r="J271" s="9" t="s">
        <v>139</v>
      </c>
      <c r="K271" s="10">
        <v>37104</v>
      </c>
    </row>
    <row r="272" spans="1:11" x14ac:dyDescent="0.25">
      <c r="A272" s="8">
        <v>564</v>
      </c>
      <c r="B272" s="9" t="s">
        <v>8686</v>
      </c>
      <c r="C272" s="9" t="s">
        <v>614</v>
      </c>
      <c r="D272" s="9" t="s">
        <v>613</v>
      </c>
      <c r="E272" s="9" t="s">
        <v>280</v>
      </c>
      <c r="F272" s="9" t="s">
        <v>141</v>
      </c>
      <c r="G272" s="9" t="s">
        <v>142</v>
      </c>
      <c r="H272" s="9" t="s">
        <v>166</v>
      </c>
      <c r="I272" s="9" t="s">
        <v>143</v>
      </c>
      <c r="J272" s="9" t="s">
        <v>139</v>
      </c>
      <c r="K272" s="10">
        <v>37104</v>
      </c>
    </row>
    <row r="273" spans="1:11" x14ac:dyDescent="0.25">
      <c r="A273" s="8">
        <v>567</v>
      </c>
      <c r="B273" s="9" t="s">
        <v>8687</v>
      </c>
      <c r="C273" s="9" t="s">
        <v>615</v>
      </c>
      <c r="D273" s="9" t="s">
        <v>139</v>
      </c>
      <c r="E273" s="9" t="s">
        <v>460</v>
      </c>
      <c r="F273" s="9" t="s">
        <v>461</v>
      </c>
      <c r="G273" s="9" t="s">
        <v>142</v>
      </c>
      <c r="H273" s="9" t="s">
        <v>139</v>
      </c>
      <c r="I273" s="9" t="s">
        <v>143</v>
      </c>
      <c r="J273" s="9" t="s">
        <v>139</v>
      </c>
      <c r="K273" s="10">
        <v>37104</v>
      </c>
    </row>
    <row r="274" spans="1:11" x14ac:dyDescent="0.25">
      <c r="A274" s="8">
        <v>568</v>
      </c>
      <c r="B274" s="9" t="s">
        <v>8410</v>
      </c>
      <c r="C274" s="9" t="s">
        <v>616</v>
      </c>
      <c r="D274" s="9" t="s">
        <v>139</v>
      </c>
      <c r="E274" s="9" t="s">
        <v>299</v>
      </c>
      <c r="F274" s="9" t="s">
        <v>300</v>
      </c>
      <c r="G274" s="9" t="s">
        <v>142</v>
      </c>
      <c r="H274" s="9" t="s">
        <v>166</v>
      </c>
      <c r="I274" s="9" t="s">
        <v>617</v>
      </c>
      <c r="J274" s="9" t="s">
        <v>139</v>
      </c>
      <c r="K274" s="10">
        <v>37104</v>
      </c>
    </row>
    <row r="275" spans="1:11" x14ac:dyDescent="0.25">
      <c r="A275" s="8">
        <v>571</v>
      </c>
      <c r="B275" s="9" t="s">
        <v>8411</v>
      </c>
      <c r="C275" s="9" t="s">
        <v>618</v>
      </c>
      <c r="D275" s="9" t="s">
        <v>139</v>
      </c>
      <c r="E275" s="9" t="s">
        <v>619</v>
      </c>
      <c r="F275" s="9" t="s">
        <v>620</v>
      </c>
      <c r="G275" s="9" t="s">
        <v>621</v>
      </c>
      <c r="H275" s="9" t="s">
        <v>139</v>
      </c>
      <c r="I275" s="9" t="s">
        <v>617</v>
      </c>
      <c r="J275" s="9" t="s">
        <v>139</v>
      </c>
      <c r="K275" s="10">
        <v>37104</v>
      </c>
    </row>
    <row r="276" spans="1:11" x14ac:dyDescent="0.25">
      <c r="A276" s="8">
        <v>572</v>
      </c>
      <c r="B276" s="9" t="s">
        <v>8688</v>
      </c>
      <c r="C276" s="9" t="s">
        <v>622</v>
      </c>
      <c r="D276" s="9" t="s">
        <v>139</v>
      </c>
      <c r="E276" s="9" t="s">
        <v>345</v>
      </c>
      <c r="F276" s="9" t="s">
        <v>346</v>
      </c>
      <c r="G276" s="9" t="s">
        <v>142</v>
      </c>
      <c r="H276" s="9" t="s">
        <v>258</v>
      </c>
      <c r="I276" s="9" t="s">
        <v>143</v>
      </c>
      <c r="J276" s="9" t="s">
        <v>139</v>
      </c>
      <c r="K276" s="10">
        <v>37104</v>
      </c>
    </row>
    <row r="277" spans="1:11" x14ac:dyDescent="0.25">
      <c r="A277" s="8">
        <v>574</v>
      </c>
      <c r="B277" s="9" t="s">
        <v>8689</v>
      </c>
      <c r="C277" s="9" t="s">
        <v>623</v>
      </c>
      <c r="D277" s="9" t="s">
        <v>139</v>
      </c>
      <c r="E277" s="9" t="s">
        <v>374</v>
      </c>
      <c r="F277" s="9" t="s">
        <v>375</v>
      </c>
      <c r="G277" s="9" t="s">
        <v>142</v>
      </c>
      <c r="H277" s="9" t="s">
        <v>321</v>
      </c>
      <c r="I277" s="9" t="s">
        <v>143</v>
      </c>
      <c r="J277" s="9" t="s">
        <v>139</v>
      </c>
      <c r="K277" s="10">
        <v>37104</v>
      </c>
    </row>
    <row r="278" spans="1:11" x14ac:dyDescent="0.25">
      <c r="A278" s="8">
        <v>575</v>
      </c>
      <c r="B278" s="9" t="s">
        <v>8690</v>
      </c>
      <c r="C278" s="9" t="s">
        <v>624</v>
      </c>
      <c r="D278" s="9" t="s">
        <v>625</v>
      </c>
      <c r="E278" s="9" t="s">
        <v>374</v>
      </c>
      <c r="F278" s="9" t="s">
        <v>375</v>
      </c>
      <c r="G278" s="9" t="s">
        <v>142</v>
      </c>
      <c r="H278" s="9" t="s">
        <v>258</v>
      </c>
      <c r="I278" s="9" t="s">
        <v>143</v>
      </c>
      <c r="J278" s="9" t="s">
        <v>139</v>
      </c>
      <c r="K278" s="10">
        <v>37104</v>
      </c>
    </row>
    <row r="279" spans="1:11" x14ac:dyDescent="0.25">
      <c r="A279" s="8">
        <v>578</v>
      </c>
      <c r="B279" s="9" t="s">
        <v>8691</v>
      </c>
      <c r="C279" s="9" t="s">
        <v>626</v>
      </c>
      <c r="D279" s="9" t="s">
        <v>139</v>
      </c>
      <c r="E279" s="9" t="s">
        <v>194</v>
      </c>
      <c r="F279" s="9" t="s">
        <v>195</v>
      </c>
      <c r="G279" s="9" t="s">
        <v>142</v>
      </c>
      <c r="H279" s="9" t="s">
        <v>321</v>
      </c>
      <c r="I279" s="9" t="s">
        <v>143</v>
      </c>
      <c r="J279" s="9" t="s">
        <v>139</v>
      </c>
      <c r="K279" s="10">
        <v>37104</v>
      </c>
    </row>
    <row r="280" spans="1:11" x14ac:dyDescent="0.25">
      <c r="A280" s="8">
        <v>579</v>
      </c>
      <c r="B280" s="9" t="s">
        <v>8692</v>
      </c>
      <c r="C280" s="9" t="s">
        <v>627</v>
      </c>
      <c r="D280" s="9" t="s">
        <v>139</v>
      </c>
      <c r="E280" s="9" t="s">
        <v>197</v>
      </c>
      <c r="F280" s="9" t="s">
        <v>141</v>
      </c>
      <c r="G280" s="9" t="s">
        <v>142</v>
      </c>
      <c r="H280" s="9" t="s">
        <v>321</v>
      </c>
      <c r="I280" s="9" t="s">
        <v>143</v>
      </c>
      <c r="J280" s="9" t="s">
        <v>139</v>
      </c>
      <c r="K280" s="10">
        <v>37104</v>
      </c>
    </row>
    <row r="281" spans="1:11" x14ac:dyDescent="0.25">
      <c r="A281" s="8">
        <v>583</v>
      </c>
      <c r="B281" s="9" t="s">
        <v>8693</v>
      </c>
      <c r="C281" s="9" t="s">
        <v>628</v>
      </c>
      <c r="D281" s="9" t="s">
        <v>139</v>
      </c>
      <c r="E281" s="9" t="s">
        <v>218</v>
      </c>
      <c r="F281" s="9" t="s">
        <v>141</v>
      </c>
      <c r="G281" s="9" t="s">
        <v>142</v>
      </c>
      <c r="H281" s="9" t="s">
        <v>139</v>
      </c>
      <c r="I281" s="9" t="s">
        <v>143</v>
      </c>
      <c r="J281" s="9" t="s">
        <v>139</v>
      </c>
      <c r="K281" s="10">
        <v>37104</v>
      </c>
    </row>
    <row r="282" spans="1:11" x14ac:dyDescent="0.25">
      <c r="A282" s="8">
        <v>584</v>
      </c>
      <c r="B282" s="9" t="s">
        <v>8694</v>
      </c>
      <c r="C282" s="9" t="s">
        <v>629</v>
      </c>
      <c r="D282" s="9" t="s">
        <v>139</v>
      </c>
      <c r="E282" s="9" t="s">
        <v>197</v>
      </c>
      <c r="F282" s="9" t="s">
        <v>141</v>
      </c>
      <c r="G282" s="9" t="s">
        <v>142</v>
      </c>
      <c r="H282" s="9" t="s">
        <v>139</v>
      </c>
      <c r="I282" s="9" t="s">
        <v>143</v>
      </c>
      <c r="J282" s="9" t="s">
        <v>139</v>
      </c>
      <c r="K282" s="10">
        <v>37104</v>
      </c>
    </row>
    <row r="283" spans="1:11" x14ac:dyDescent="0.25">
      <c r="A283" s="8">
        <v>587</v>
      </c>
      <c r="B283" s="9" t="s">
        <v>8695</v>
      </c>
      <c r="C283" s="9" t="s">
        <v>630</v>
      </c>
      <c r="D283" s="9" t="s">
        <v>139</v>
      </c>
      <c r="E283" s="9" t="s">
        <v>306</v>
      </c>
      <c r="F283" s="9" t="s">
        <v>141</v>
      </c>
      <c r="G283" s="9" t="s">
        <v>142</v>
      </c>
      <c r="H283" s="9" t="s">
        <v>321</v>
      </c>
      <c r="I283" s="9" t="s">
        <v>143</v>
      </c>
      <c r="J283" s="9" t="s">
        <v>139</v>
      </c>
      <c r="K283" s="10">
        <v>37104</v>
      </c>
    </row>
    <row r="284" spans="1:11" x14ac:dyDescent="0.25">
      <c r="A284" s="8">
        <v>593</v>
      </c>
      <c r="B284" s="9" t="s">
        <v>5247</v>
      </c>
      <c r="C284" s="9" t="s">
        <v>631</v>
      </c>
      <c r="D284" s="9" t="s">
        <v>632</v>
      </c>
      <c r="E284" s="9" t="s">
        <v>633</v>
      </c>
      <c r="F284" s="9" t="s">
        <v>634</v>
      </c>
      <c r="G284" s="9" t="s">
        <v>142</v>
      </c>
      <c r="H284" s="9" t="s">
        <v>139</v>
      </c>
      <c r="I284" s="9" t="s">
        <v>411</v>
      </c>
      <c r="J284" s="9" t="s">
        <v>139</v>
      </c>
      <c r="K284" s="10">
        <v>37104</v>
      </c>
    </row>
    <row r="285" spans="1:11" x14ac:dyDescent="0.25">
      <c r="A285" s="8">
        <v>594</v>
      </c>
      <c r="B285" s="9" t="s">
        <v>5248</v>
      </c>
      <c r="C285" s="9" t="s">
        <v>635</v>
      </c>
      <c r="D285" s="9" t="s">
        <v>139</v>
      </c>
      <c r="E285" s="9">
        <v>91090</v>
      </c>
      <c r="F285" s="9" t="s">
        <v>8389</v>
      </c>
      <c r="G285" s="9" t="s">
        <v>142</v>
      </c>
      <c r="H285" s="9" t="s">
        <v>241</v>
      </c>
      <c r="I285" s="9" t="s">
        <v>411</v>
      </c>
      <c r="J285" s="9" t="s">
        <v>139</v>
      </c>
      <c r="K285" s="10">
        <v>37104</v>
      </c>
    </row>
    <row r="286" spans="1:11" x14ac:dyDescent="0.25">
      <c r="A286" s="8">
        <v>596</v>
      </c>
      <c r="B286" s="9" t="s">
        <v>8696</v>
      </c>
      <c r="C286" s="9" t="s">
        <v>636</v>
      </c>
      <c r="D286" s="9" t="s">
        <v>139</v>
      </c>
      <c r="E286" s="9" t="s">
        <v>637</v>
      </c>
      <c r="F286" s="9" t="s">
        <v>169</v>
      </c>
      <c r="G286" s="9" t="s">
        <v>142</v>
      </c>
      <c r="H286" s="9" t="s">
        <v>166</v>
      </c>
      <c r="I286" s="9" t="s">
        <v>143</v>
      </c>
      <c r="J286" s="9" t="s">
        <v>139</v>
      </c>
      <c r="K286" s="10">
        <v>37104</v>
      </c>
    </row>
    <row r="287" spans="1:11" x14ac:dyDescent="0.25">
      <c r="A287" s="8">
        <v>597</v>
      </c>
      <c r="B287" s="9" t="s">
        <v>8697</v>
      </c>
      <c r="C287" s="9" t="s">
        <v>638</v>
      </c>
      <c r="D287" s="9" t="s">
        <v>139</v>
      </c>
      <c r="E287" s="9" t="s">
        <v>161</v>
      </c>
      <c r="F287" s="9" t="s">
        <v>9304</v>
      </c>
      <c r="G287" s="9" t="s">
        <v>142</v>
      </c>
      <c r="H287" s="9" t="s">
        <v>258</v>
      </c>
      <c r="I287" s="9" t="s">
        <v>143</v>
      </c>
      <c r="J287" s="9" t="s">
        <v>139</v>
      </c>
      <c r="K287" s="10">
        <v>37104</v>
      </c>
    </row>
    <row r="288" spans="1:11" x14ac:dyDescent="0.25">
      <c r="A288" s="8">
        <v>600</v>
      </c>
      <c r="B288" s="9" t="s">
        <v>8698</v>
      </c>
      <c r="C288" s="9" t="s">
        <v>639</v>
      </c>
      <c r="D288" s="9" t="s">
        <v>139</v>
      </c>
      <c r="E288" s="9" t="s">
        <v>581</v>
      </c>
      <c r="F288" s="9" t="s">
        <v>831</v>
      </c>
      <c r="G288" s="9" t="s">
        <v>142</v>
      </c>
      <c r="H288" s="9" t="s">
        <v>166</v>
      </c>
      <c r="I288" s="9" t="s">
        <v>143</v>
      </c>
      <c r="J288" s="9" t="s">
        <v>139</v>
      </c>
      <c r="K288" s="10">
        <v>37104</v>
      </c>
    </row>
    <row r="289" spans="1:11" x14ac:dyDescent="0.25">
      <c r="A289" s="8">
        <v>601</v>
      </c>
      <c r="B289" s="9" t="s">
        <v>5249</v>
      </c>
      <c r="C289" s="9" t="s">
        <v>640</v>
      </c>
      <c r="D289" s="9" t="s">
        <v>139</v>
      </c>
      <c r="E289" s="9" t="s">
        <v>197</v>
      </c>
      <c r="F289" s="9" t="s">
        <v>141</v>
      </c>
      <c r="G289" s="9" t="s">
        <v>142</v>
      </c>
      <c r="H289" s="9" t="s">
        <v>166</v>
      </c>
      <c r="I289" s="9" t="s">
        <v>411</v>
      </c>
      <c r="J289" s="9" t="s">
        <v>139</v>
      </c>
      <c r="K289" s="10">
        <v>37104</v>
      </c>
    </row>
    <row r="290" spans="1:11" x14ac:dyDescent="0.25">
      <c r="A290" s="8">
        <v>603</v>
      </c>
      <c r="B290" s="9" t="s">
        <v>8699</v>
      </c>
      <c r="C290" s="9" t="s">
        <v>641</v>
      </c>
      <c r="D290" s="9" t="s">
        <v>139</v>
      </c>
      <c r="E290" s="9" t="s">
        <v>306</v>
      </c>
      <c r="F290" s="9" t="s">
        <v>141</v>
      </c>
      <c r="G290" s="9" t="s">
        <v>142</v>
      </c>
      <c r="H290" s="9" t="s">
        <v>139</v>
      </c>
      <c r="I290" s="9" t="s">
        <v>143</v>
      </c>
      <c r="J290" s="9" t="s">
        <v>139</v>
      </c>
      <c r="K290" s="10">
        <v>37104</v>
      </c>
    </row>
    <row r="291" spans="1:11" x14ac:dyDescent="0.25">
      <c r="A291" s="8">
        <v>604</v>
      </c>
      <c r="B291" s="9" t="s">
        <v>8700</v>
      </c>
      <c r="C291" s="9" t="s">
        <v>642</v>
      </c>
      <c r="D291" s="9" t="s">
        <v>139</v>
      </c>
      <c r="E291" s="9" t="s">
        <v>163</v>
      </c>
      <c r="F291" s="9" t="s">
        <v>141</v>
      </c>
      <c r="G291" s="9" t="s">
        <v>142</v>
      </c>
      <c r="H291" s="9" t="s">
        <v>139</v>
      </c>
      <c r="I291" s="9" t="s">
        <v>143</v>
      </c>
      <c r="J291" s="9" t="s">
        <v>139</v>
      </c>
      <c r="K291" s="10">
        <v>37104</v>
      </c>
    </row>
    <row r="292" spans="1:11" x14ac:dyDescent="0.25">
      <c r="A292" s="8">
        <v>605</v>
      </c>
      <c r="B292" s="9" t="s">
        <v>8701</v>
      </c>
      <c r="C292" s="9" t="s">
        <v>643</v>
      </c>
      <c r="D292" s="9" t="s">
        <v>139</v>
      </c>
      <c r="E292" s="9" t="s">
        <v>140</v>
      </c>
      <c r="F292" s="9" t="s">
        <v>141</v>
      </c>
      <c r="G292" s="9" t="s">
        <v>142</v>
      </c>
      <c r="H292" s="9" t="s">
        <v>166</v>
      </c>
      <c r="I292" s="9" t="s">
        <v>143</v>
      </c>
      <c r="J292" s="9" t="s">
        <v>139</v>
      </c>
      <c r="K292" s="10">
        <v>37104</v>
      </c>
    </row>
    <row r="293" spans="1:11" x14ac:dyDescent="0.25">
      <c r="A293" s="8">
        <v>606</v>
      </c>
      <c r="B293" s="9" t="s">
        <v>8702</v>
      </c>
      <c r="C293" s="9" t="s">
        <v>644</v>
      </c>
      <c r="D293" s="9" t="s">
        <v>139</v>
      </c>
      <c r="E293" s="9" t="s">
        <v>197</v>
      </c>
      <c r="F293" s="9" t="s">
        <v>141</v>
      </c>
      <c r="G293" s="9" t="s">
        <v>142</v>
      </c>
      <c r="H293" s="9" t="s">
        <v>258</v>
      </c>
      <c r="I293" s="9" t="s">
        <v>143</v>
      </c>
      <c r="J293" s="9" t="s">
        <v>139</v>
      </c>
      <c r="K293" s="10">
        <v>37104</v>
      </c>
    </row>
    <row r="294" spans="1:11" x14ac:dyDescent="0.25">
      <c r="A294" s="8">
        <v>608</v>
      </c>
      <c r="B294" s="9" t="s">
        <v>8703</v>
      </c>
      <c r="C294" s="9" t="s">
        <v>645</v>
      </c>
      <c r="D294" s="9" t="s">
        <v>139</v>
      </c>
      <c r="E294" s="9" t="s">
        <v>197</v>
      </c>
      <c r="F294" s="9" t="s">
        <v>141</v>
      </c>
      <c r="G294" s="9" t="s">
        <v>142</v>
      </c>
      <c r="H294" s="9" t="s">
        <v>258</v>
      </c>
      <c r="I294" s="9" t="s">
        <v>143</v>
      </c>
      <c r="J294" s="9" t="s">
        <v>139</v>
      </c>
      <c r="K294" s="10">
        <v>37104</v>
      </c>
    </row>
    <row r="295" spans="1:11" x14ac:dyDescent="0.25">
      <c r="A295" s="8">
        <v>610</v>
      </c>
      <c r="B295" s="9" t="s">
        <v>8704</v>
      </c>
      <c r="C295" s="9" t="s">
        <v>646</v>
      </c>
      <c r="D295" s="9" t="s">
        <v>139</v>
      </c>
      <c r="E295" s="9" t="s">
        <v>647</v>
      </c>
      <c r="F295" s="9" t="s">
        <v>648</v>
      </c>
      <c r="G295" s="9" t="s">
        <v>142</v>
      </c>
      <c r="H295" s="9" t="s">
        <v>258</v>
      </c>
      <c r="I295" s="9" t="s">
        <v>143</v>
      </c>
      <c r="J295" s="9" t="s">
        <v>139</v>
      </c>
      <c r="K295" s="10">
        <v>37104</v>
      </c>
    </row>
    <row r="296" spans="1:11" x14ac:dyDescent="0.25">
      <c r="A296" s="8">
        <v>611</v>
      </c>
      <c r="B296" s="9" t="s">
        <v>8705</v>
      </c>
      <c r="C296" s="9" t="s">
        <v>649</v>
      </c>
      <c r="D296" s="9" t="s">
        <v>139</v>
      </c>
      <c r="E296" s="9" t="s">
        <v>180</v>
      </c>
      <c r="F296" s="9" t="s">
        <v>141</v>
      </c>
      <c r="G296" s="9" t="s">
        <v>142</v>
      </c>
      <c r="H296" s="9" t="s">
        <v>166</v>
      </c>
      <c r="I296" s="9" t="s">
        <v>143</v>
      </c>
      <c r="J296" s="9" t="s">
        <v>139</v>
      </c>
      <c r="K296" s="10">
        <v>37104</v>
      </c>
    </row>
    <row r="297" spans="1:11" x14ac:dyDescent="0.25">
      <c r="A297" s="8">
        <v>614</v>
      </c>
      <c r="B297" s="9" t="s">
        <v>8706</v>
      </c>
      <c r="C297" s="9" t="s">
        <v>650</v>
      </c>
      <c r="D297" s="9" t="s">
        <v>139</v>
      </c>
      <c r="E297" s="9" t="s">
        <v>267</v>
      </c>
      <c r="F297" s="9" t="s">
        <v>141</v>
      </c>
      <c r="G297" s="9" t="s">
        <v>142</v>
      </c>
      <c r="H297" s="9" t="s">
        <v>258</v>
      </c>
      <c r="I297" s="9" t="s">
        <v>143</v>
      </c>
      <c r="J297" s="9" t="s">
        <v>139</v>
      </c>
      <c r="K297" s="10">
        <v>37104</v>
      </c>
    </row>
    <row r="298" spans="1:11" x14ac:dyDescent="0.25">
      <c r="A298" s="8">
        <v>616</v>
      </c>
      <c r="B298" s="9" t="s">
        <v>5250</v>
      </c>
      <c r="C298" s="9" t="s">
        <v>651</v>
      </c>
      <c r="D298" s="9" t="s">
        <v>139</v>
      </c>
      <c r="E298" s="9" t="s">
        <v>163</v>
      </c>
      <c r="F298" s="9" t="s">
        <v>141</v>
      </c>
      <c r="G298" s="9" t="s">
        <v>142</v>
      </c>
      <c r="H298" s="9" t="s">
        <v>139</v>
      </c>
      <c r="I298" s="9" t="s">
        <v>411</v>
      </c>
      <c r="J298" s="9" t="s">
        <v>139</v>
      </c>
      <c r="K298" s="10">
        <v>37104</v>
      </c>
    </row>
    <row r="299" spans="1:11" x14ac:dyDescent="0.25">
      <c r="A299" s="8">
        <v>618</v>
      </c>
      <c r="B299" s="9" t="s">
        <v>8707</v>
      </c>
      <c r="C299" s="9" t="s">
        <v>652</v>
      </c>
      <c r="D299" s="9" t="s">
        <v>139</v>
      </c>
      <c r="E299" s="9" t="s">
        <v>267</v>
      </c>
      <c r="F299" s="9" t="s">
        <v>141</v>
      </c>
      <c r="G299" s="9" t="s">
        <v>142</v>
      </c>
      <c r="H299" s="9" t="s">
        <v>258</v>
      </c>
      <c r="I299" s="9" t="s">
        <v>143</v>
      </c>
      <c r="J299" s="9" t="s">
        <v>139</v>
      </c>
      <c r="K299" s="10">
        <v>37104</v>
      </c>
    </row>
    <row r="300" spans="1:11" x14ac:dyDescent="0.25">
      <c r="A300" s="8">
        <v>620</v>
      </c>
      <c r="B300" s="9" t="s">
        <v>8708</v>
      </c>
      <c r="C300" s="9" t="s">
        <v>653</v>
      </c>
      <c r="D300" s="9" t="s">
        <v>139</v>
      </c>
      <c r="E300" s="9" t="s">
        <v>654</v>
      </c>
      <c r="F300" s="9" t="s">
        <v>655</v>
      </c>
      <c r="G300" s="9" t="s">
        <v>142</v>
      </c>
      <c r="H300" s="9" t="s">
        <v>241</v>
      </c>
      <c r="I300" s="9" t="s">
        <v>143</v>
      </c>
      <c r="J300" s="9" t="s">
        <v>139</v>
      </c>
      <c r="K300" s="10">
        <v>37104</v>
      </c>
    </row>
    <row r="301" spans="1:11" x14ac:dyDescent="0.25">
      <c r="A301" s="8">
        <v>621</v>
      </c>
      <c r="B301" s="9" t="s">
        <v>8709</v>
      </c>
      <c r="C301" s="9" t="s">
        <v>656</v>
      </c>
      <c r="D301" s="9" t="s">
        <v>139</v>
      </c>
      <c r="E301" s="9" t="s">
        <v>267</v>
      </c>
      <c r="F301" s="9" t="s">
        <v>141</v>
      </c>
      <c r="G301" s="9" t="s">
        <v>142</v>
      </c>
      <c r="H301" s="9" t="s">
        <v>139</v>
      </c>
      <c r="I301" s="9" t="s">
        <v>143</v>
      </c>
      <c r="J301" s="9" t="s">
        <v>139</v>
      </c>
      <c r="K301" s="10">
        <v>37104</v>
      </c>
    </row>
    <row r="302" spans="1:11" x14ac:dyDescent="0.25">
      <c r="A302" s="8">
        <v>622</v>
      </c>
      <c r="B302" s="9" t="s">
        <v>8710</v>
      </c>
      <c r="C302" s="9" t="s">
        <v>657</v>
      </c>
      <c r="D302" s="9" t="s">
        <v>139</v>
      </c>
      <c r="E302" s="9" t="s">
        <v>140</v>
      </c>
      <c r="F302" s="9" t="s">
        <v>141</v>
      </c>
      <c r="G302" s="9" t="s">
        <v>142</v>
      </c>
      <c r="H302" s="9" t="s">
        <v>166</v>
      </c>
      <c r="I302" s="9" t="s">
        <v>143</v>
      </c>
      <c r="J302" s="9" t="s">
        <v>139</v>
      </c>
      <c r="K302" s="10">
        <v>37104</v>
      </c>
    </row>
    <row r="303" spans="1:11" x14ac:dyDescent="0.25">
      <c r="A303" s="8">
        <v>623</v>
      </c>
      <c r="B303" s="9" t="s">
        <v>8711</v>
      </c>
      <c r="C303" s="9" t="s">
        <v>658</v>
      </c>
      <c r="D303" s="9" t="s">
        <v>139</v>
      </c>
      <c r="E303" s="9" t="s">
        <v>140</v>
      </c>
      <c r="F303" s="9" t="s">
        <v>141</v>
      </c>
      <c r="G303" s="9" t="s">
        <v>142</v>
      </c>
      <c r="H303" s="9" t="s">
        <v>321</v>
      </c>
      <c r="I303" s="9" t="s">
        <v>143</v>
      </c>
      <c r="J303" s="9" t="s">
        <v>139</v>
      </c>
      <c r="K303" s="10">
        <v>37104</v>
      </c>
    </row>
    <row r="304" spans="1:11" x14ac:dyDescent="0.25">
      <c r="A304" s="8">
        <v>624</v>
      </c>
      <c r="B304" s="9" t="s">
        <v>8712</v>
      </c>
      <c r="C304" s="9" t="s">
        <v>659</v>
      </c>
      <c r="D304" s="9" t="s">
        <v>139</v>
      </c>
      <c r="E304" s="9" t="s">
        <v>140</v>
      </c>
      <c r="F304" s="9" t="s">
        <v>141</v>
      </c>
      <c r="G304" s="9" t="s">
        <v>142</v>
      </c>
      <c r="H304" s="9" t="s">
        <v>258</v>
      </c>
      <c r="I304" s="9" t="s">
        <v>143</v>
      </c>
      <c r="J304" s="9" t="s">
        <v>139</v>
      </c>
      <c r="K304" s="10">
        <v>37104</v>
      </c>
    </row>
    <row r="305" spans="1:11" x14ac:dyDescent="0.25">
      <c r="A305" s="8">
        <v>625</v>
      </c>
      <c r="B305" s="9" t="s">
        <v>8713</v>
      </c>
      <c r="C305" s="9" t="s">
        <v>660</v>
      </c>
      <c r="D305" s="9" t="s">
        <v>139</v>
      </c>
      <c r="E305" s="9" t="s">
        <v>263</v>
      </c>
      <c r="F305" s="9" t="s">
        <v>141</v>
      </c>
      <c r="G305" s="9" t="s">
        <v>142</v>
      </c>
      <c r="H305" s="9" t="s">
        <v>241</v>
      </c>
      <c r="I305" s="9" t="s">
        <v>143</v>
      </c>
      <c r="J305" s="9" t="s">
        <v>139</v>
      </c>
      <c r="K305" s="10">
        <v>37104</v>
      </c>
    </row>
    <row r="306" spans="1:11" x14ac:dyDescent="0.25">
      <c r="A306" s="8">
        <v>626</v>
      </c>
      <c r="B306" s="9" t="s">
        <v>8714</v>
      </c>
      <c r="C306" s="9" t="s">
        <v>661</v>
      </c>
      <c r="D306" s="9" t="s">
        <v>139</v>
      </c>
      <c r="E306" s="9" t="s">
        <v>140</v>
      </c>
      <c r="F306" s="9" t="s">
        <v>141</v>
      </c>
      <c r="G306" s="9" t="s">
        <v>142</v>
      </c>
      <c r="H306" s="9" t="s">
        <v>258</v>
      </c>
      <c r="I306" s="9" t="s">
        <v>143</v>
      </c>
      <c r="J306" s="9" t="s">
        <v>139</v>
      </c>
      <c r="K306" s="10">
        <v>37104</v>
      </c>
    </row>
    <row r="307" spans="1:11" x14ac:dyDescent="0.25">
      <c r="A307" s="8">
        <v>627</v>
      </c>
      <c r="B307" s="9" t="s">
        <v>8715</v>
      </c>
      <c r="C307" s="9" t="s">
        <v>662</v>
      </c>
      <c r="D307" s="9" t="s">
        <v>139</v>
      </c>
      <c r="E307" s="9" t="s">
        <v>663</v>
      </c>
      <c r="F307" s="9" t="s">
        <v>664</v>
      </c>
      <c r="G307" s="9" t="s">
        <v>142</v>
      </c>
      <c r="H307" s="9" t="s">
        <v>166</v>
      </c>
      <c r="I307" s="9" t="s">
        <v>143</v>
      </c>
      <c r="J307" s="9" t="s">
        <v>139</v>
      </c>
      <c r="K307" s="10">
        <v>37104</v>
      </c>
    </row>
    <row r="308" spans="1:11" x14ac:dyDescent="0.25">
      <c r="A308" s="8">
        <v>629</v>
      </c>
      <c r="B308" s="9" t="s">
        <v>8716</v>
      </c>
      <c r="C308" s="9" t="s">
        <v>665</v>
      </c>
      <c r="D308" s="9" t="s">
        <v>139</v>
      </c>
      <c r="E308" s="9" t="s">
        <v>147</v>
      </c>
      <c r="F308" s="9" t="s">
        <v>141</v>
      </c>
      <c r="G308" s="9" t="s">
        <v>142</v>
      </c>
      <c r="H308" s="9" t="s">
        <v>321</v>
      </c>
      <c r="I308" s="9" t="s">
        <v>143</v>
      </c>
      <c r="J308" s="9" t="s">
        <v>139</v>
      </c>
      <c r="K308" s="10">
        <v>37104</v>
      </c>
    </row>
    <row r="309" spans="1:11" x14ac:dyDescent="0.25">
      <c r="A309" s="8">
        <v>632</v>
      </c>
      <c r="B309" s="9" t="s">
        <v>8717</v>
      </c>
      <c r="C309" s="9" t="s">
        <v>666</v>
      </c>
      <c r="D309" s="9" t="s">
        <v>139</v>
      </c>
      <c r="E309" s="9" t="s">
        <v>140</v>
      </c>
      <c r="F309" s="9" t="s">
        <v>141</v>
      </c>
      <c r="G309" s="9" t="s">
        <v>142</v>
      </c>
      <c r="H309" s="9" t="s">
        <v>258</v>
      </c>
      <c r="I309" s="9" t="s">
        <v>143</v>
      </c>
      <c r="J309" s="9" t="s">
        <v>139</v>
      </c>
      <c r="K309" s="10">
        <v>37104</v>
      </c>
    </row>
    <row r="310" spans="1:11" x14ac:dyDescent="0.25">
      <c r="A310" s="8">
        <v>633</v>
      </c>
      <c r="B310" s="9" t="s">
        <v>8718</v>
      </c>
      <c r="C310" s="9" t="s">
        <v>667</v>
      </c>
      <c r="D310" s="9" t="s">
        <v>139</v>
      </c>
      <c r="E310" s="9" t="s">
        <v>140</v>
      </c>
      <c r="F310" s="9" t="s">
        <v>141</v>
      </c>
      <c r="G310" s="9" t="s">
        <v>142</v>
      </c>
      <c r="H310" s="9" t="s">
        <v>321</v>
      </c>
      <c r="I310" s="9" t="s">
        <v>143</v>
      </c>
      <c r="J310" s="9" t="s">
        <v>139</v>
      </c>
      <c r="K310" s="10">
        <v>37104</v>
      </c>
    </row>
    <row r="311" spans="1:11" x14ac:dyDescent="0.25">
      <c r="A311" s="8">
        <v>635</v>
      </c>
      <c r="B311" s="9" t="s">
        <v>8719</v>
      </c>
      <c r="C311" s="9" t="s">
        <v>668</v>
      </c>
      <c r="D311" s="9" t="s">
        <v>139</v>
      </c>
      <c r="E311" s="9" t="s">
        <v>140</v>
      </c>
      <c r="F311" s="9" t="s">
        <v>141</v>
      </c>
      <c r="G311" s="9" t="s">
        <v>142</v>
      </c>
      <c r="H311" s="9" t="s">
        <v>258</v>
      </c>
      <c r="I311" s="9" t="s">
        <v>143</v>
      </c>
      <c r="J311" s="9" t="s">
        <v>139</v>
      </c>
      <c r="K311" s="10">
        <v>37104</v>
      </c>
    </row>
    <row r="312" spans="1:11" x14ac:dyDescent="0.25">
      <c r="A312" s="8">
        <v>637</v>
      </c>
      <c r="B312" s="9" t="s">
        <v>8720</v>
      </c>
      <c r="C312" s="9" t="s">
        <v>669</v>
      </c>
      <c r="D312" s="9" t="s">
        <v>139</v>
      </c>
      <c r="E312" s="9" t="s">
        <v>531</v>
      </c>
      <c r="F312" s="9" t="s">
        <v>670</v>
      </c>
      <c r="G312" s="9" t="s">
        <v>142</v>
      </c>
      <c r="H312" s="9" t="s">
        <v>258</v>
      </c>
      <c r="I312" s="9" t="s">
        <v>143</v>
      </c>
      <c r="J312" s="9" t="s">
        <v>139</v>
      </c>
      <c r="K312" s="10">
        <v>37104</v>
      </c>
    </row>
    <row r="313" spans="1:11" x14ac:dyDescent="0.25">
      <c r="A313" s="8">
        <v>638</v>
      </c>
      <c r="B313" s="9" t="s">
        <v>8721</v>
      </c>
      <c r="C313" s="9" t="s">
        <v>671</v>
      </c>
      <c r="D313" s="9" t="s">
        <v>139</v>
      </c>
      <c r="E313" s="9" t="s">
        <v>163</v>
      </c>
      <c r="F313" s="9" t="s">
        <v>141</v>
      </c>
      <c r="G313" s="9" t="s">
        <v>142</v>
      </c>
      <c r="H313" s="9" t="s">
        <v>139</v>
      </c>
      <c r="I313" s="9" t="s">
        <v>143</v>
      </c>
      <c r="J313" s="9" t="s">
        <v>139</v>
      </c>
      <c r="K313" s="10">
        <v>37104</v>
      </c>
    </row>
    <row r="314" spans="1:11" x14ac:dyDescent="0.25">
      <c r="A314" s="8">
        <v>640</v>
      </c>
      <c r="B314" s="9" t="s">
        <v>8722</v>
      </c>
      <c r="C314" s="9" t="s">
        <v>672</v>
      </c>
      <c r="D314" s="9" t="s">
        <v>139</v>
      </c>
      <c r="E314" s="9" t="s">
        <v>673</v>
      </c>
      <c r="F314" s="9" t="s">
        <v>674</v>
      </c>
      <c r="G314" s="9" t="s">
        <v>142</v>
      </c>
      <c r="H314" s="9" t="s">
        <v>139</v>
      </c>
      <c r="I314" s="9" t="s">
        <v>143</v>
      </c>
      <c r="J314" s="9" t="s">
        <v>139</v>
      </c>
      <c r="K314" s="10">
        <v>37104</v>
      </c>
    </row>
    <row r="315" spans="1:11" x14ac:dyDescent="0.25">
      <c r="A315" s="8">
        <v>641</v>
      </c>
      <c r="B315" s="9" t="s">
        <v>8723</v>
      </c>
      <c r="C315" s="9" t="s">
        <v>675</v>
      </c>
      <c r="D315" s="9" t="s">
        <v>139</v>
      </c>
      <c r="E315" s="9" t="s">
        <v>308</v>
      </c>
      <c r="F315" s="9" t="s">
        <v>141</v>
      </c>
      <c r="G315" s="9" t="s">
        <v>142</v>
      </c>
      <c r="H315" s="9" t="s">
        <v>166</v>
      </c>
      <c r="I315" s="9" t="s">
        <v>143</v>
      </c>
      <c r="J315" s="9" t="s">
        <v>139</v>
      </c>
      <c r="K315" s="10">
        <v>37104</v>
      </c>
    </row>
    <row r="316" spans="1:11" x14ac:dyDescent="0.25">
      <c r="A316" s="8">
        <v>643</v>
      </c>
      <c r="B316" s="9" t="s">
        <v>8724</v>
      </c>
      <c r="C316" s="9" t="s">
        <v>386</v>
      </c>
      <c r="D316" s="9" t="s">
        <v>139</v>
      </c>
      <c r="E316" s="9" t="s">
        <v>387</v>
      </c>
      <c r="F316" s="9" t="s">
        <v>388</v>
      </c>
      <c r="G316" s="9" t="s">
        <v>142</v>
      </c>
      <c r="H316" s="9" t="s">
        <v>166</v>
      </c>
      <c r="I316" s="9" t="s">
        <v>143</v>
      </c>
      <c r="J316" s="9" t="s">
        <v>139</v>
      </c>
      <c r="K316" s="10">
        <v>37104</v>
      </c>
    </row>
    <row r="317" spans="1:11" x14ac:dyDescent="0.25">
      <c r="A317" s="8">
        <v>645</v>
      </c>
      <c r="B317" s="9" t="s">
        <v>8725</v>
      </c>
      <c r="C317" s="9" t="s">
        <v>676</v>
      </c>
      <c r="D317" s="9" t="s">
        <v>677</v>
      </c>
      <c r="E317" s="9" t="s">
        <v>140</v>
      </c>
      <c r="F317" s="9" t="s">
        <v>141</v>
      </c>
      <c r="G317" s="9" t="s">
        <v>142</v>
      </c>
      <c r="H317" s="9" t="s">
        <v>258</v>
      </c>
      <c r="I317" s="9" t="s">
        <v>143</v>
      </c>
      <c r="J317" s="9" t="s">
        <v>139</v>
      </c>
      <c r="K317" s="10">
        <v>37104</v>
      </c>
    </row>
    <row r="318" spans="1:11" x14ac:dyDescent="0.25">
      <c r="A318" s="8">
        <v>647</v>
      </c>
      <c r="B318" s="9" t="s">
        <v>8726</v>
      </c>
      <c r="C318" s="9" t="s">
        <v>678</v>
      </c>
      <c r="D318" s="9" t="s">
        <v>139</v>
      </c>
      <c r="E318" s="9" t="s">
        <v>140</v>
      </c>
      <c r="F318" s="9" t="s">
        <v>141</v>
      </c>
      <c r="G318" s="9" t="s">
        <v>142</v>
      </c>
      <c r="H318" s="9" t="s">
        <v>139</v>
      </c>
      <c r="I318" s="9" t="s">
        <v>143</v>
      </c>
      <c r="J318" s="9" t="s">
        <v>139</v>
      </c>
      <c r="K318" s="10">
        <v>37104</v>
      </c>
    </row>
    <row r="319" spans="1:11" x14ac:dyDescent="0.25">
      <c r="A319" s="8">
        <v>650</v>
      </c>
      <c r="B319" s="9" t="s">
        <v>8727</v>
      </c>
      <c r="C319" s="9" t="s">
        <v>679</v>
      </c>
      <c r="D319" s="9" t="s">
        <v>139</v>
      </c>
      <c r="E319" s="9" t="s">
        <v>308</v>
      </c>
      <c r="F319" s="9" t="s">
        <v>141</v>
      </c>
      <c r="G319" s="9" t="s">
        <v>142</v>
      </c>
      <c r="H319" s="9" t="s">
        <v>321</v>
      </c>
      <c r="I319" s="9" t="s">
        <v>143</v>
      </c>
      <c r="J319" s="9" t="s">
        <v>139</v>
      </c>
      <c r="K319" s="10">
        <v>37104</v>
      </c>
    </row>
    <row r="320" spans="1:11" x14ac:dyDescent="0.25">
      <c r="A320" s="8">
        <v>652</v>
      </c>
      <c r="B320" s="9" t="s">
        <v>8728</v>
      </c>
      <c r="C320" s="9" t="s">
        <v>680</v>
      </c>
      <c r="D320" s="9" t="s">
        <v>139</v>
      </c>
      <c r="E320" s="9" t="s">
        <v>140</v>
      </c>
      <c r="F320" s="9" t="s">
        <v>141</v>
      </c>
      <c r="G320" s="9" t="s">
        <v>142</v>
      </c>
      <c r="H320" s="9" t="s">
        <v>166</v>
      </c>
      <c r="I320" s="9" t="s">
        <v>143</v>
      </c>
      <c r="J320" s="9" t="s">
        <v>139</v>
      </c>
      <c r="K320" s="10">
        <v>37104</v>
      </c>
    </row>
    <row r="321" spans="1:11" x14ac:dyDescent="0.25">
      <c r="A321" s="8">
        <v>654</v>
      </c>
      <c r="B321" s="9" t="s">
        <v>8729</v>
      </c>
      <c r="C321" s="9" t="s">
        <v>681</v>
      </c>
      <c r="D321" s="9" t="s">
        <v>139</v>
      </c>
      <c r="E321" s="9" t="s">
        <v>306</v>
      </c>
      <c r="F321" s="9" t="s">
        <v>141</v>
      </c>
      <c r="G321" s="9" t="s">
        <v>142</v>
      </c>
      <c r="H321" s="9" t="s">
        <v>139</v>
      </c>
      <c r="I321" s="9" t="s">
        <v>143</v>
      </c>
      <c r="J321" s="9" t="s">
        <v>139</v>
      </c>
      <c r="K321" s="10">
        <v>37104</v>
      </c>
    </row>
    <row r="322" spans="1:11" x14ac:dyDescent="0.25">
      <c r="A322" s="8">
        <v>655</v>
      </c>
      <c r="B322" s="9" t="s">
        <v>8730</v>
      </c>
      <c r="C322" s="9" t="s">
        <v>681</v>
      </c>
      <c r="D322" s="9" t="s">
        <v>139</v>
      </c>
      <c r="E322" s="9" t="s">
        <v>306</v>
      </c>
      <c r="F322" s="9" t="s">
        <v>141</v>
      </c>
      <c r="G322" s="9" t="s">
        <v>142</v>
      </c>
      <c r="H322" s="9" t="s">
        <v>258</v>
      </c>
      <c r="I322" s="9" t="s">
        <v>143</v>
      </c>
      <c r="J322" s="9" t="s">
        <v>139</v>
      </c>
      <c r="K322" s="10">
        <v>37104</v>
      </c>
    </row>
    <row r="323" spans="1:11" x14ac:dyDescent="0.25">
      <c r="A323" s="8">
        <v>656</v>
      </c>
      <c r="B323" s="9" t="s">
        <v>8731</v>
      </c>
      <c r="C323" s="9" t="s">
        <v>682</v>
      </c>
      <c r="D323" s="9" t="s">
        <v>139</v>
      </c>
      <c r="E323" s="9" t="s">
        <v>140</v>
      </c>
      <c r="F323" s="9" t="s">
        <v>141</v>
      </c>
      <c r="G323" s="9" t="s">
        <v>142</v>
      </c>
      <c r="H323" s="9" t="s">
        <v>258</v>
      </c>
      <c r="I323" s="9" t="s">
        <v>143</v>
      </c>
      <c r="J323" s="9" t="s">
        <v>139</v>
      </c>
      <c r="K323" s="10">
        <v>37104</v>
      </c>
    </row>
    <row r="324" spans="1:11" x14ac:dyDescent="0.25">
      <c r="A324" s="8">
        <v>657</v>
      </c>
      <c r="B324" s="9" t="s">
        <v>8732</v>
      </c>
      <c r="C324" s="9" t="s">
        <v>683</v>
      </c>
      <c r="D324" s="9" t="s">
        <v>684</v>
      </c>
      <c r="E324" s="9" t="s">
        <v>140</v>
      </c>
      <c r="F324" s="9" t="s">
        <v>141</v>
      </c>
      <c r="G324" s="9" t="s">
        <v>142</v>
      </c>
      <c r="H324" s="9" t="s">
        <v>258</v>
      </c>
      <c r="I324" s="9" t="s">
        <v>143</v>
      </c>
      <c r="J324" s="9" t="s">
        <v>139</v>
      </c>
      <c r="K324" s="10">
        <v>37104</v>
      </c>
    </row>
    <row r="325" spans="1:11" x14ac:dyDescent="0.25">
      <c r="A325" s="8">
        <v>658</v>
      </c>
      <c r="B325" s="9" t="s">
        <v>8733</v>
      </c>
      <c r="C325" s="9" t="s">
        <v>685</v>
      </c>
      <c r="D325" s="9" t="s">
        <v>139</v>
      </c>
      <c r="E325" s="9" t="s">
        <v>374</v>
      </c>
      <c r="F325" s="9" t="s">
        <v>375</v>
      </c>
      <c r="G325" s="9" t="s">
        <v>142</v>
      </c>
      <c r="H325" s="9" t="s">
        <v>321</v>
      </c>
      <c r="I325" s="9" t="s">
        <v>143</v>
      </c>
      <c r="J325" s="9" t="s">
        <v>139</v>
      </c>
      <c r="K325" s="10">
        <v>37104</v>
      </c>
    </row>
    <row r="326" spans="1:11" x14ac:dyDescent="0.25">
      <c r="A326" s="8">
        <v>660</v>
      </c>
      <c r="B326" s="9" t="s">
        <v>8734</v>
      </c>
      <c r="C326" s="9" t="s">
        <v>686</v>
      </c>
      <c r="D326" s="9" t="s">
        <v>139</v>
      </c>
      <c r="E326" s="9" t="s">
        <v>140</v>
      </c>
      <c r="F326" s="9" t="s">
        <v>141</v>
      </c>
      <c r="G326" s="9" t="s">
        <v>142</v>
      </c>
      <c r="H326" s="9" t="s">
        <v>166</v>
      </c>
      <c r="I326" s="9" t="s">
        <v>143</v>
      </c>
      <c r="J326" s="9" t="s">
        <v>139</v>
      </c>
      <c r="K326" s="10">
        <v>37104</v>
      </c>
    </row>
    <row r="327" spans="1:11" x14ac:dyDescent="0.25">
      <c r="A327" s="8">
        <v>661</v>
      </c>
      <c r="B327" s="9" t="s">
        <v>8735</v>
      </c>
      <c r="C327" s="9" t="s">
        <v>687</v>
      </c>
      <c r="D327" s="9" t="s">
        <v>139</v>
      </c>
      <c r="E327" s="9" t="s">
        <v>267</v>
      </c>
      <c r="F327" s="9" t="s">
        <v>141</v>
      </c>
      <c r="G327" s="9" t="s">
        <v>142</v>
      </c>
      <c r="H327" s="9" t="s">
        <v>241</v>
      </c>
      <c r="I327" s="9" t="s">
        <v>143</v>
      </c>
      <c r="J327" s="9" t="s">
        <v>139</v>
      </c>
      <c r="K327" s="10">
        <v>37104</v>
      </c>
    </row>
    <row r="328" spans="1:11" x14ac:dyDescent="0.25">
      <c r="A328" s="8">
        <v>663</v>
      </c>
      <c r="B328" s="9" t="s">
        <v>8736</v>
      </c>
      <c r="C328" s="9" t="s">
        <v>688</v>
      </c>
      <c r="D328" s="9" t="s">
        <v>139</v>
      </c>
      <c r="E328" s="9" t="s">
        <v>140</v>
      </c>
      <c r="F328" s="9" t="s">
        <v>141</v>
      </c>
      <c r="G328" s="9" t="s">
        <v>142</v>
      </c>
      <c r="H328" s="9" t="s">
        <v>166</v>
      </c>
      <c r="I328" s="9" t="s">
        <v>143</v>
      </c>
      <c r="J328" s="9" t="s">
        <v>139</v>
      </c>
      <c r="K328" s="10">
        <v>37104</v>
      </c>
    </row>
    <row r="329" spans="1:11" x14ac:dyDescent="0.25">
      <c r="A329" s="8">
        <v>665</v>
      </c>
      <c r="B329" s="9" t="s">
        <v>8737</v>
      </c>
      <c r="C329" s="9" t="s">
        <v>688</v>
      </c>
      <c r="D329" s="9" t="s">
        <v>139</v>
      </c>
      <c r="E329" s="9" t="s">
        <v>140</v>
      </c>
      <c r="F329" s="9" t="s">
        <v>141</v>
      </c>
      <c r="G329" s="9" t="s">
        <v>142</v>
      </c>
      <c r="H329" s="9" t="s">
        <v>166</v>
      </c>
      <c r="I329" s="9" t="s">
        <v>143</v>
      </c>
      <c r="J329" s="9" t="s">
        <v>139</v>
      </c>
      <c r="K329" s="10">
        <v>37104</v>
      </c>
    </row>
    <row r="330" spans="1:11" x14ac:dyDescent="0.25">
      <c r="A330" s="8">
        <v>667</v>
      </c>
      <c r="B330" s="9" t="s">
        <v>8738</v>
      </c>
      <c r="C330" s="9" t="s">
        <v>682</v>
      </c>
      <c r="D330" s="9" t="s">
        <v>139</v>
      </c>
      <c r="E330" s="9" t="s">
        <v>140</v>
      </c>
      <c r="F330" s="9" t="s">
        <v>141</v>
      </c>
      <c r="G330" s="9" t="s">
        <v>142</v>
      </c>
      <c r="H330" s="9" t="s">
        <v>166</v>
      </c>
      <c r="I330" s="9" t="s">
        <v>143</v>
      </c>
      <c r="J330" s="9" t="s">
        <v>139</v>
      </c>
      <c r="K330" s="10">
        <v>37104</v>
      </c>
    </row>
    <row r="331" spans="1:11" x14ac:dyDescent="0.25">
      <c r="A331" s="8">
        <v>669</v>
      </c>
      <c r="B331" s="9" t="s">
        <v>8739</v>
      </c>
      <c r="C331" s="9" t="s">
        <v>689</v>
      </c>
      <c r="D331" s="9" t="s">
        <v>139</v>
      </c>
      <c r="E331" s="9" t="s">
        <v>140</v>
      </c>
      <c r="F331" s="9" t="s">
        <v>141</v>
      </c>
      <c r="G331" s="9" t="s">
        <v>142</v>
      </c>
      <c r="H331" s="9" t="s">
        <v>166</v>
      </c>
      <c r="I331" s="9" t="s">
        <v>143</v>
      </c>
      <c r="J331" s="9" t="s">
        <v>139</v>
      </c>
      <c r="K331" s="10">
        <v>37104</v>
      </c>
    </row>
    <row r="332" spans="1:11" x14ac:dyDescent="0.25">
      <c r="A332" s="8">
        <v>672</v>
      </c>
      <c r="B332" s="9" t="s">
        <v>8740</v>
      </c>
      <c r="C332" s="9" t="s">
        <v>690</v>
      </c>
      <c r="D332" s="9" t="s">
        <v>139</v>
      </c>
      <c r="E332" s="9" t="s">
        <v>267</v>
      </c>
      <c r="F332" s="9" t="s">
        <v>141</v>
      </c>
      <c r="G332" s="9" t="s">
        <v>142</v>
      </c>
      <c r="H332" s="9" t="s">
        <v>166</v>
      </c>
      <c r="I332" s="9" t="s">
        <v>143</v>
      </c>
      <c r="J332" s="9" t="s">
        <v>139</v>
      </c>
      <c r="K332" s="10">
        <v>37104</v>
      </c>
    </row>
    <row r="333" spans="1:11" x14ac:dyDescent="0.25">
      <c r="A333" s="8">
        <v>673</v>
      </c>
      <c r="B333" s="9" t="s">
        <v>8741</v>
      </c>
      <c r="C333" s="9" t="s">
        <v>691</v>
      </c>
      <c r="D333" s="9" t="s">
        <v>139</v>
      </c>
      <c r="E333" s="9" t="s">
        <v>306</v>
      </c>
      <c r="F333" s="9" t="s">
        <v>141</v>
      </c>
      <c r="G333" s="9" t="s">
        <v>142</v>
      </c>
      <c r="H333" s="9" t="s">
        <v>139</v>
      </c>
      <c r="I333" s="9" t="s">
        <v>143</v>
      </c>
      <c r="J333" s="9" t="s">
        <v>139</v>
      </c>
      <c r="K333" s="10">
        <v>37104</v>
      </c>
    </row>
    <row r="334" spans="1:11" x14ac:dyDescent="0.25">
      <c r="A334" s="8">
        <v>675</v>
      </c>
      <c r="B334" s="9" t="s">
        <v>8742</v>
      </c>
      <c r="C334" s="9" t="s">
        <v>692</v>
      </c>
      <c r="D334" s="9" t="s">
        <v>693</v>
      </c>
      <c r="E334" s="9" t="s">
        <v>267</v>
      </c>
      <c r="F334" s="9" t="s">
        <v>141</v>
      </c>
      <c r="G334" s="9" t="s">
        <v>142</v>
      </c>
      <c r="H334" s="9" t="s">
        <v>321</v>
      </c>
      <c r="I334" s="9" t="s">
        <v>143</v>
      </c>
      <c r="J334" s="9" t="s">
        <v>139</v>
      </c>
      <c r="K334" s="10">
        <v>37104</v>
      </c>
    </row>
    <row r="335" spans="1:11" x14ac:dyDescent="0.25">
      <c r="A335" s="8">
        <v>676</v>
      </c>
      <c r="B335" s="9" t="s">
        <v>8743</v>
      </c>
      <c r="C335" s="9" t="s">
        <v>694</v>
      </c>
      <c r="D335" s="9" t="s">
        <v>139</v>
      </c>
      <c r="E335" s="9" t="s">
        <v>328</v>
      </c>
      <c r="F335" s="9" t="s">
        <v>141</v>
      </c>
      <c r="G335" s="9" t="s">
        <v>142</v>
      </c>
      <c r="H335" s="9" t="s">
        <v>321</v>
      </c>
      <c r="I335" s="9" t="s">
        <v>143</v>
      </c>
      <c r="J335" s="9" t="s">
        <v>139</v>
      </c>
      <c r="K335" s="10">
        <v>37104</v>
      </c>
    </row>
    <row r="336" spans="1:11" x14ac:dyDescent="0.25">
      <c r="A336" s="8">
        <v>677</v>
      </c>
      <c r="B336" s="9" t="s">
        <v>8744</v>
      </c>
      <c r="C336" s="9" t="s">
        <v>139</v>
      </c>
      <c r="D336" s="9" t="s">
        <v>139</v>
      </c>
      <c r="E336" s="9">
        <v>75</v>
      </c>
      <c r="F336" s="9" t="s">
        <v>413</v>
      </c>
      <c r="G336" s="9" t="s">
        <v>142</v>
      </c>
      <c r="H336" s="9" t="s">
        <v>139</v>
      </c>
      <c r="I336" s="9" t="s">
        <v>143</v>
      </c>
      <c r="J336" s="9" t="s">
        <v>139</v>
      </c>
      <c r="K336" s="10">
        <v>37104</v>
      </c>
    </row>
    <row r="337" spans="1:11" x14ac:dyDescent="0.25">
      <c r="A337" s="8">
        <v>678</v>
      </c>
      <c r="B337" s="9" t="s">
        <v>5251</v>
      </c>
      <c r="C337" s="9" t="s">
        <v>139</v>
      </c>
      <c r="D337" s="9" t="s">
        <v>139</v>
      </c>
      <c r="E337" s="9">
        <v>75</v>
      </c>
      <c r="F337" s="9" t="s">
        <v>413</v>
      </c>
      <c r="G337" s="9" t="s">
        <v>142</v>
      </c>
      <c r="H337" s="9" t="s">
        <v>139</v>
      </c>
      <c r="I337" s="9" t="s">
        <v>411</v>
      </c>
      <c r="J337" s="9" t="s">
        <v>139</v>
      </c>
      <c r="K337" s="10">
        <v>37104</v>
      </c>
    </row>
    <row r="338" spans="1:11" x14ac:dyDescent="0.25">
      <c r="A338" s="8">
        <v>680</v>
      </c>
      <c r="B338" s="9" t="s">
        <v>8745</v>
      </c>
      <c r="C338" s="9" t="s">
        <v>695</v>
      </c>
      <c r="D338" s="9" t="s">
        <v>139</v>
      </c>
      <c r="E338" s="9" t="s">
        <v>171</v>
      </c>
      <c r="F338" s="9" t="s">
        <v>172</v>
      </c>
      <c r="G338" s="9" t="s">
        <v>142</v>
      </c>
      <c r="H338" s="9" t="s">
        <v>139</v>
      </c>
      <c r="I338" s="9" t="s">
        <v>143</v>
      </c>
      <c r="J338" s="9" t="s">
        <v>139</v>
      </c>
      <c r="K338" s="10">
        <v>37104</v>
      </c>
    </row>
    <row r="339" spans="1:11" x14ac:dyDescent="0.25">
      <c r="A339" s="8">
        <v>681</v>
      </c>
      <c r="B339" s="9" t="s">
        <v>8746</v>
      </c>
      <c r="C339" s="9" t="s">
        <v>696</v>
      </c>
      <c r="D339" s="9" t="s">
        <v>139</v>
      </c>
      <c r="E339" s="9" t="s">
        <v>697</v>
      </c>
      <c r="F339" s="9" t="s">
        <v>698</v>
      </c>
      <c r="G339" s="9" t="s">
        <v>142</v>
      </c>
      <c r="H339" s="9" t="s">
        <v>321</v>
      </c>
      <c r="I339" s="9" t="s">
        <v>143</v>
      </c>
      <c r="J339" s="9" t="s">
        <v>139</v>
      </c>
      <c r="K339" s="10">
        <v>37104</v>
      </c>
    </row>
    <row r="340" spans="1:11" x14ac:dyDescent="0.25">
      <c r="A340" s="8">
        <v>682</v>
      </c>
      <c r="B340" s="9" t="s">
        <v>8747</v>
      </c>
      <c r="C340" s="9" t="s">
        <v>699</v>
      </c>
      <c r="D340" s="9" t="s">
        <v>139</v>
      </c>
      <c r="E340" s="9" t="s">
        <v>140</v>
      </c>
      <c r="F340" s="9" t="s">
        <v>141</v>
      </c>
      <c r="G340" s="9" t="s">
        <v>142</v>
      </c>
      <c r="H340" s="9" t="s">
        <v>166</v>
      </c>
      <c r="I340" s="9" t="s">
        <v>143</v>
      </c>
      <c r="J340" s="9" t="s">
        <v>139</v>
      </c>
      <c r="K340" s="10">
        <v>37104</v>
      </c>
    </row>
    <row r="341" spans="1:11" x14ac:dyDescent="0.25">
      <c r="A341" s="8">
        <v>683</v>
      </c>
      <c r="B341" s="9" t="s">
        <v>8748</v>
      </c>
      <c r="C341" s="9" t="s">
        <v>700</v>
      </c>
      <c r="D341" s="9" t="s">
        <v>139</v>
      </c>
      <c r="E341" s="9" t="s">
        <v>306</v>
      </c>
      <c r="F341" s="9" t="s">
        <v>141</v>
      </c>
      <c r="G341" s="9" t="s">
        <v>142</v>
      </c>
      <c r="H341" s="9" t="s">
        <v>139</v>
      </c>
      <c r="I341" s="9" t="s">
        <v>143</v>
      </c>
      <c r="J341" s="9" t="s">
        <v>139</v>
      </c>
      <c r="K341" s="10">
        <v>37104</v>
      </c>
    </row>
    <row r="342" spans="1:11" x14ac:dyDescent="0.25">
      <c r="A342" s="8">
        <v>684</v>
      </c>
      <c r="B342" s="9" t="s">
        <v>8749</v>
      </c>
      <c r="C342" s="9" t="s">
        <v>701</v>
      </c>
      <c r="D342" s="9" t="s">
        <v>139</v>
      </c>
      <c r="E342" s="9" t="s">
        <v>197</v>
      </c>
      <c r="F342" s="9" t="s">
        <v>141</v>
      </c>
      <c r="G342" s="9" t="s">
        <v>142</v>
      </c>
      <c r="H342" s="9" t="s">
        <v>166</v>
      </c>
      <c r="I342" s="9" t="s">
        <v>143</v>
      </c>
      <c r="J342" s="9" t="s">
        <v>139</v>
      </c>
      <c r="K342" s="10">
        <v>37104</v>
      </c>
    </row>
    <row r="343" spans="1:11" x14ac:dyDescent="0.25">
      <c r="A343" s="8">
        <v>685</v>
      </c>
      <c r="B343" s="9" t="s">
        <v>8750</v>
      </c>
      <c r="C343" s="9" t="s">
        <v>702</v>
      </c>
      <c r="D343" s="9" t="s">
        <v>139</v>
      </c>
      <c r="E343" s="9" t="s">
        <v>703</v>
      </c>
      <c r="F343" s="9" t="s">
        <v>704</v>
      </c>
      <c r="G343" s="9" t="s">
        <v>142</v>
      </c>
      <c r="H343" s="9" t="s">
        <v>321</v>
      </c>
      <c r="I343" s="9" t="s">
        <v>143</v>
      </c>
      <c r="J343" s="9" t="s">
        <v>139</v>
      </c>
      <c r="K343" s="10">
        <v>37104</v>
      </c>
    </row>
    <row r="344" spans="1:11" x14ac:dyDescent="0.25">
      <c r="A344" s="8">
        <v>686</v>
      </c>
      <c r="B344" s="9" t="s">
        <v>8751</v>
      </c>
      <c r="C344" s="9" t="s">
        <v>705</v>
      </c>
      <c r="D344" s="9" t="s">
        <v>139</v>
      </c>
      <c r="E344" s="9" t="s">
        <v>706</v>
      </c>
      <c r="F344" s="9" t="s">
        <v>141</v>
      </c>
      <c r="G344" s="9" t="s">
        <v>142</v>
      </c>
      <c r="H344" s="9" t="s">
        <v>139</v>
      </c>
      <c r="I344" s="9" t="s">
        <v>143</v>
      </c>
      <c r="J344" s="9" t="s">
        <v>139</v>
      </c>
      <c r="K344" s="10">
        <v>37104</v>
      </c>
    </row>
    <row r="345" spans="1:11" x14ac:dyDescent="0.25">
      <c r="A345" s="8">
        <v>687</v>
      </c>
      <c r="B345" s="9" t="s">
        <v>8752</v>
      </c>
      <c r="C345" s="9" t="s">
        <v>707</v>
      </c>
      <c r="D345" s="9" t="s">
        <v>139</v>
      </c>
      <c r="E345" s="9" t="s">
        <v>202</v>
      </c>
      <c r="F345" s="9" t="s">
        <v>141</v>
      </c>
      <c r="G345" s="9" t="s">
        <v>142</v>
      </c>
      <c r="H345" s="9" t="s">
        <v>166</v>
      </c>
      <c r="I345" s="9" t="s">
        <v>143</v>
      </c>
      <c r="J345" s="9" t="s">
        <v>139</v>
      </c>
      <c r="K345" s="10">
        <v>37104</v>
      </c>
    </row>
    <row r="346" spans="1:11" x14ac:dyDescent="0.25">
      <c r="A346" s="8">
        <v>688</v>
      </c>
      <c r="B346" s="9" t="s">
        <v>8753</v>
      </c>
      <c r="C346" s="9" t="s">
        <v>708</v>
      </c>
      <c r="D346" s="9" t="s">
        <v>139</v>
      </c>
      <c r="E346" s="9" t="s">
        <v>147</v>
      </c>
      <c r="F346" s="9" t="s">
        <v>709</v>
      </c>
      <c r="G346" s="9" t="s">
        <v>142</v>
      </c>
      <c r="H346" s="9" t="s">
        <v>258</v>
      </c>
      <c r="I346" s="9" t="s">
        <v>143</v>
      </c>
      <c r="J346" s="9" t="s">
        <v>139</v>
      </c>
      <c r="K346" s="10">
        <v>37104</v>
      </c>
    </row>
    <row r="347" spans="1:11" x14ac:dyDescent="0.25">
      <c r="A347" s="8">
        <v>689</v>
      </c>
      <c r="B347" s="9" t="s">
        <v>8754</v>
      </c>
      <c r="C347" s="9" t="s">
        <v>710</v>
      </c>
      <c r="D347" s="9" t="s">
        <v>139</v>
      </c>
      <c r="E347" s="9" t="s">
        <v>140</v>
      </c>
      <c r="F347" s="9" t="s">
        <v>141</v>
      </c>
      <c r="G347" s="9" t="s">
        <v>142</v>
      </c>
      <c r="H347" s="9" t="s">
        <v>166</v>
      </c>
      <c r="I347" s="9" t="s">
        <v>143</v>
      </c>
      <c r="J347" s="9" t="s">
        <v>139</v>
      </c>
      <c r="K347" s="10">
        <v>37104</v>
      </c>
    </row>
    <row r="348" spans="1:11" x14ac:dyDescent="0.25">
      <c r="A348" s="8">
        <v>691</v>
      </c>
      <c r="B348" s="9" t="s">
        <v>8755</v>
      </c>
      <c r="C348" s="9" t="s">
        <v>686</v>
      </c>
      <c r="D348" s="9" t="s">
        <v>139</v>
      </c>
      <c r="E348" s="9" t="s">
        <v>140</v>
      </c>
      <c r="F348" s="9" t="s">
        <v>141</v>
      </c>
      <c r="G348" s="9" t="s">
        <v>142</v>
      </c>
      <c r="H348" s="9" t="s">
        <v>166</v>
      </c>
      <c r="I348" s="9" t="s">
        <v>143</v>
      </c>
      <c r="J348" s="9" t="s">
        <v>139</v>
      </c>
      <c r="K348" s="10">
        <v>37104</v>
      </c>
    </row>
    <row r="349" spans="1:11" x14ac:dyDescent="0.25">
      <c r="A349" s="8">
        <v>693</v>
      </c>
      <c r="B349" s="9" t="s">
        <v>8756</v>
      </c>
      <c r="C349" s="9" t="s">
        <v>711</v>
      </c>
      <c r="D349" s="9" t="s">
        <v>139</v>
      </c>
      <c r="E349" s="9" t="s">
        <v>140</v>
      </c>
      <c r="F349" s="9" t="s">
        <v>141</v>
      </c>
      <c r="G349" s="9" t="s">
        <v>142</v>
      </c>
      <c r="H349" s="9" t="s">
        <v>139</v>
      </c>
      <c r="I349" s="9" t="s">
        <v>143</v>
      </c>
      <c r="J349" s="9" t="s">
        <v>139</v>
      </c>
      <c r="K349" s="10">
        <v>37104</v>
      </c>
    </row>
    <row r="350" spans="1:11" x14ac:dyDescent="0.25">
      <c r="A350" s="8">
        <v>695</v>
      </c>
      <c r="B350" s="9" t="s">
        <v>8757</v>
      </c>
      <c r="C350" s="9" t="s">
        <v>712</v>
      </c>
      <c r="D350" s="9" t="s">
        <v>139</v>
      </c>
      <c r="E350" s="9" t="s">
        <v>713</v>
      </c>
      <c r="F350" s="9" t="s">
        <v>714</v>
      </c>
      <c r="G350" s="9" t="s">
        <v>142</v>
      </c>
      <c r="H350" s="9" t="s">
        <v>258</v>
      </c>
      <c r="I350" s="9" t="s">
        <v>143</v>
      </c>
      <c r="J350" s="9" t="s">
        <v>139</v>
      </c>
      <c r="K350" s="10">
        <v>37104</v>
      </c>
    </row>
    <row r="351" spans="1:11" x14ac:dyDescent="0.25">
      <c r="A351" s="8">
        <v>697</v>
      </c>
      <c r="B351" s="9" t="s">
        <v>8758</v>
      </c>
      <c r="C351" s="9" t="s">
        <v>686</v>
      </c>
      <c r="D351" s="9" t="s">
        <v>139</v>
      </c>
      <c r="E351" s="9" t="s">
        <v>140</v>
      </c>
      <c r="F351" s="9" t="s">
        <v>141</v>
      </c>
      <c r="G351" s="9" t="s">
        <v>142</v>
      </c>
      <c r="H351" s="9" t="s">
        <v>258</v>
      </c>
      <c r="I351" s="9" t="s">
        <v>143</v>
      </c>
      <c r="J351" s="9" t="s">
        <v>139</v>
      </c>
      <c r="K351" s="10">
        <v>37104</v>
      </c>
    </row>
    <row r="352" spans="1:11" x14ac:dyDescent="0.25">
      <c r="A352" s="8">
        <v>698</v>
      </c>
      <c r="B352" s="9" t="s">
        <v>8759</v>
      </c>
      <c r="C352" s="9" t="s">
        <v>715</v>
      </c>
      <c r="D352" s="9" t="s">
        <v>139</v>
      </c>
      <c r="E352" s="9" t="s">
        <v>270</v>
      </c>
      <c r="F352" s="9" t="s">
        <v>271</v>
      </c>
      <c r="G352" s="9" t="s">
        <v>142</v>
      </c>
      <c r="H352" s="9" t="s">
        <v>258</v>
      </c>
      <c r="I352" s="9" t="s">
        <v>143</v>
      </c>
      <c r="J352" s="9" t="s">
        <v>139</v>
      </c>
      <c r="K352" s="10">
        <v>37104</v>
      </c>
    </row>
    <row r="353" spans="1:11" x14ac:dyDescent="0.25">
      <c r="A353" s="8">
        <v>700</v>
      </c>
      <c r="B353" s="9" t="s">
        <v>8760</v>
      </c>
      <c r="C353" s="9" t="s">
        <v>716</v>
      </c>
      <c r="D353" s="9" t="s">
        <v>139</v>
      </c>
      <c r="E353" s="9" t="s">
        <v>204</v>
      </c>
      <c r="F353" s="9" t="s">
        <v>205</v>
      </c>
      <c r="G353" s="9" t="s">
        <v>142</v>
      </c>
      <c r="H353" s="9" t="s">
        <v>139</v>
      </c>
      <c r="I353" s="9" t="s">
        <v>143</v>
      </c>
      <c r="J353" s="9" t="s">
        <v>139</v>
      </c>
      <c r="K353" s="10">
        <v>37104</v>
      </c>
    </row>
    <row r="354" spans="1:11" x14ac:dyDescent="0.25">
      <c r="A354" s="8">
        <v>703</v>
      </c>
      <c r="B354" s="9" t="s">
        <v>8761</v>
      </c>
      <c r="C354" s="9" t="s">
        <v>717</v>
      </c>
      <c r="D354" s="9" t="s">
        <v>139</v>
      </c>
      <c r="E354" s="9" t="s">
        <v>718</v>
      </c>
      <c r="F354" s="9" t="s">
        <v>719</v>
      </c>
      <c r="G354" s="9" t="s">
        <v>142</v>
      </c>
      <c r="H354" s="9" t="s">
        <v>139</v>
      </c>
      <c r="I354" s="9" t="s">
        <v>143</v>
      </c>
      <c r="J354" s="9" t="s">
        <v>139</v>
      </c>
      <c r="K354" s="10">
        <v>37104</v>
      </c>
    </row>
    <row r="355" spans="1:11" x14ac:dyDescent="0.25">
      <c r="A355" s="8">
        <v>704</v>
      </c>
      <c r="B355" s="9" t="s">
        <v>8762</v>
      </c>
      <c r="C355" s="9" t="s">
        <v>720</v>
      </c>
      <c r="D355" s="9" t="s">
        <v>139</v>
      </c>
      <c r="E355" s="9" t="s">
        <v>140</v>
      </c>
      <c r="F355" s="9" t="s">
        <v>141</v>
      </c>
      <c r="G355" s="9" t="s">
        <v>142</v>
      </c>
      <c r="H355" s="9" t="s">
        <v>258</v>
      </c>
      <c r="I355" s="9" t="s">
        <v>143</v>
      </c>
      <c r="J355" s="9" t="s">
        <v>139</v>
      </c>
      <c r="K355" s="10">
        <v>37104</v>
      </c>
    </row>
    <row r="356" spans="1:11" x14ac:dyDescent="0.25">
      <c r="A356" s="8">
        <v>705</v>
      </c>
      <c r="B356" s="9" t="s">
        <v>8763</v>
      </c>
      <c r="C356" s="9" t="s">
        <v>721</v>
      </c>
      <c r="D356" s="9" t="s">
        <v>139</v>
      </c>
      <c r="E356" s="9" t="s">
        <v>280</v>
      </c>
      <c r="F356" s="9" t="s">
        <v>141</v>
      </c>
      <c r="G356" s="9" t="s">
        <v>142</v>
      </c>
      <c r="H356" s="9" t="s">
        <v>166</v>
      </c>
      <c r="I356" s="9" t="s">
        <v>143</v>
      </c>
      <c r="J356" s="9" t="s">
        <v>139</v>
      </c>
      <c r="K356" s="10">
        <v>37104</v>
      </c>
    </row>
    <row r="357" spans="1:11" x14ac:dyDescent="0.25">
      <c r="A357" s="8">
        <v>707</v>
      </c>
      <c r="B357" s="9" t="s">
        <v>5252</v>
      </c>
      <c r="C357" s="9" t="s">
        <v>722</v>
      </c>
      <c r="D357" s="9" t="s">
        <v>139</v>
      </c>
      <c r="E357" s="9" t="s">
        <v>147</v>
      </c>
      <c r="F357" s="9" t="s">
        <v>141</v>
      </c>
      <c r="G357" s="9" t="s">
        <v>142</v>
      </c>
      <c r="H357" s="9" t="s">
        <v>139</v>
      </c>
      <c r="I357" s="9" t="s">
        <v>411</v>
      </c>
      <c r="J357" s="9" t="s">
        <v>723</v>
      </c>
      <c r="K357" s="10">
        <v>37104</v>
      </c>
    </row>
    <row r="358" spans="1:11" x14ac:dyDescent="0.25">
      <c r="A358" s="8">
        <v>709</v>
      </c>
      <c r="B358" s="9" t="s">
        <v>8764</v>
      </c>
      <c r="C358" s="9" t="s">
        <v>724</v>
      </c>
      <c r="D358" s="9" t="s">
        <v>139</v>
      </c>
      <c r="E358" s="9" t="s">
        <v>270</v>
      </c>
      <c r="F358" s="9" t="s">
        <v>271</v>
      </c>
      <c r="G358" s="9" t="s">
        <v>142</v>
      </c>
      <c r="H358" s="9" t="s">
        <v>139</v>
      </c>
      <c r="I358" s="9" t="s">
        <v>143</v>
      </c>
      <c r="J358" s="9" t="s">
        <v>139</v>
      </c>
      <c r="K358" s="10">
        <v>37104</v>
      </c>
    </row>
    <row r="359" spans="1:11" x14ac:dyDescent="0.25">
      <c r="A359" s="8">
        <v>710</v>
      </c>
      <c r="B359" s="9" t="s">
        <v>8765</v>
      </c>
      <c r="C359" s="9" t="s">
        <v>725</v>
      </c>
      <c r="D359" s="9" t="s">
        <v>139</v>
      </c>
      <c r="E359" s="9" t="s">
        <v>371</v>
      </c>
      <c r="F359" s="9" t="s">
        <v>372</v>
      </c>
      <c r="G359" s="9" t="s">
        <v>142</v>
      </c>
      <c r="H359" s="9" t="s">
        <v>139</v>
      </c>
      <c r="I359" s="9" t="s">
        <v>143</v>
      </c>
      <c r="J359" s="9" t="s">
        <v>139</v>
      </c>
      <c r="K359" s="10">
        <v>37104</v>
      </c>
    </row>
    <row r="360" spans="1:11" x14ac:dyDescent="0.25">
      <c r="A360" s="8">
        <v>711</v>
      </c>
      <c r="B360" s="9" t="s">
        <v>8766</v>
      </c>
      <c r="C360" s="9" t="s">
        <v>726</v>
      </c>
      <c r="D360" s="9" t="s">
        <v>139</v>
      </c>
      <c r="E360" s="9" t="s">
        <v>328</v>
      </c>
      <c r="F360" s="9" t="s">
        <v>141</v>
      </c>
      <c r="G360" s="9" t="s">
        <v>142</v>
      </c>
      <c r="H360" s="9" t="s">
        <v>139</v>
      </c>
      <c r="I360" s="9" t="s">
        <v>143</v>
      </c>
      <c r="J360" s="9" t="s">
        <v>139</v>
      </c>
      <c r="K360" s="10">
        <v>37104</v>
      </c>
    </row>
    <row r="361" spans="1:11" x14ac:dyDescent="0.25">
      <c r="A361" s="8">
        <v>712</v>
      </c>
      <c r="B361" s="9" t="s">
        <v>8767</v>
      </c>
      <c r="C361" s="9" t="s">
        <v>727</v>
      </c>
      <c r="D361" s="9" t="s">
        <v>139</v>
      </c>
      <c r="E361" s="9" t="s">
        <v>728</v>
      </c>
      <c r="F361" s="9" t="s">
        <v>729</v>
      </c>
      <c r="G361" s="9" t="s">
        <v>142</v>
      </c>
      <c r="H361" s="9" t="s">
        <v>139</v>
      </c>
      <c r="I361" s="9" t="s">
        <v>143</v>
      </c>
      <c r="J361" s="9" t="s">
        <v>139</v>
      </c>
      <c r="K361" s="10">
        <v>37104</v>
      </c>
    </row>
    <row r="362" spans="1:11" x14ac:dyDescent="0.25">
      <c r="A362" s="8">
        <v>715</v>
      </c>
      <c r="B362" s="9" t="s">
        <v>8768</v>
      </c>
      <c r="C362" s="9" t="s">
        <v>730</v>
      </c>
      <c r="D362" s="9" t="s">
        <v>139</v>
      </c>
      <c r="E362" s="9" t="s">
        <v>286</v>
      </c>
      <c r="F362" s="9" t="s">
        <v>141</v>
      </c>
      <c r="G362" s="9" t="s">
        <v>142</v>
      </c>
      <c r="H362" s="9" t="s">
        <v>139</v>
      </c>
      <c r="I362" s="9" t="s">
        <v>143</v>
      </c>
      <c r="J362" s="9" t="s">
        <v>139</v>
      </c>
      <c r="K362" s="10">
        <v>37104</v>
      </c>
    </row>
    <row r="363" spans="1:11" x14ac:dyDescent="0.25">
      <c r="A363" s="8">
        <v>716</v>
      </c>
      <c r="B363" s="9" t="s">
        <v>5253</v>
      </c>
      <c r="C363" s="9" t="s">
        <v>731</v>
      </c>
      <c r="D363" s="9" t="s">
        <v>139</v>
      </c>
      <c r="E363" s="9" t="s">
        <v>732</v>
      </c>
      <c r="F363" s="9" t="s">
        <v>733</v>
      </c>
      <c r="G363" s="9" t="s">
        <v>142</v>
      </c>
      <c r="H363" s="9" t="s">
        <v>139</v>
      </c>
      <c r="I363" s="9" t="s">
        <v>411</v>
      </c>
      <c r="J363" s="9" t="s">
        <v>139</v>
      </c>
      <c r="K363" s="10">
        <v>37104</v>
      </c>
    </row>
    <row r="364" spans="1:11" x14ac:dyDescent="0.25">
      <c r="A364" s="8">
        <v>718</v>
      </c>
      <c r="B364" s="9" t="s">
        <v>5254</v>
      </c>
      <c r="C364" s="9" t="s">
        <v>734</v>
      </c>
      <c r="D364" s="9" t="s">
        <v>139</v>
      </c>
      <c r="E364" s="9" t="s">
        <v>145</v>
      </c>
      <c r="F364" s="9" t="s">
        <v>141</v>
      </c>
      <c r="G364" s="9" t="s">
        <v>142</v>
      </c>
      <c r="H364" s="9" t="s">
        <v>139</v>
      </c>
      <c r="I364" s="9" t="s">
        <v>411</v>
      </c>
      <c r="J364" s="9" t="s">
        <v>139</v>
      </c>
      <c r="K364" s="10">
        <v>37104</v>
      </c>
    </row>
    <row r="365" spans="1:11" x14ac:dyDescent="0.25">
      <c r="A365" s="8">
        <v>720</v>
      </c>
      <c r="B365" s="9" t="s">
        <v>5255</v>
      </c>
      <c r="C365" s="9" t="s">
        <v>735</v>
      </c>
      <c r="D365" s="9" t="s">
        <v>139</v>
      </c>
      <c r="E365" s="9" t="s">
        <v>736</v>
      </c>
      <c r="F365" s="9" t="s">
        <v>737</v>
      </c>
      <c r="G365" s="9" t="s">
        <v>142</v>
      </c>
      <c r="H365" s="9" t="s">
        <v>139</v>
      </c>
      <c r="I365" s="9" t="s">
        <v>411</v>
      </c>
      <c r="J365" s="9" t="s">
        <v>738</v>
      </c>
      <c r="K365" s="10">
        <v>37104</v>
      </c>
    </row>
    <row r="366" spans="1:11" x14ac:dyDescent="0.25">
      <c r="A366" s="8">
        <v>722</v>
      </c>
      <c r="B366" s="9" t="s">
        <v>8769</v>
      </c>
      <c r="C366" s="9" t="s">
        <v>739</v>
      </c>
      <c r="D366" s="9" t="s">
        <v>139</v>
      </c>
      <c r="E366" s="9" t="s">
        <v>328</v>
      </c>
      <c r="F366" s="9" t="s">
        <v>141</v>
      </c>
      <c r="G366" s="9" t="s">
        <v>142</v>
      </c>
      <c r="H366" s="9" t="s">
        <v>139</v>
      </c>
      <c r="I366" s="9" t="s">
        <v>143</v>
      </c>
      <c r="J366" s="9" t="s">
        <v>139</v>
      </c>
      <c r="K366" s="10">
        <v>37104</v>
      </c>
    </row>
    <row r="367" spans="1:11" x14ac:dyDescent="0.25">
      <c r="A367" s="8">
        <v>724</v>
      </c>
      <c r="B367" s="9" t="s">
        <v>8770</v>
      </c>
      <c r="C367" s="9" t="s">
        <v>740</v>
      </c>
      <c r="D367" s="9" t="s">
        <v>139</v>
      </c>
      <c r="E367" s="9" t="s">
        <v>741</v>
      </c>
      <c r="F367" s="9" t="s">
        <v>742</v>
      </c>
      <c r="G367" s="9" t="s">
        <v>142</v>
      </c>
      <c r="H367" s="9" t="s">
        <v>139</v>
      </c>
      <c r="I367" s="9" t="s">
        <v>143</v>
      </c>
      <c r="J367" s="9" t="s">
        <v>139</v>
      </c>
      <c r="K367" s="10">
        <v>37104</v>
      </c>
    </row>
    <row r="368" spans="1:11" x14ac:dyDescent="0.25">
      <c r="A368" s="8">
        <v>725</v>
      </c>
      <c r="B368" s="9" t="s">
        <v>8771</v>
      </c>
      <c r="C368" s="9" t="s">
        <v>743</v>
      </c>
      <c r="D368" s="9" t="s">
        <v>139</v>
      </c>
      <c r="E368" s="9" t="s">
        <v>306</v>
      </c>
      <c r="F368" s="9" t="s">
        <v>141</v>
      </c>
      <c r="G368" s="9" t="s">
        <v>142</v>
      </c>
      <c r="H368" s="9" t="s">
        <v>139</v>
      </c>
      <c r="I368" s="9" t="s">
        <v>143</v>
      </c>
      <c r="J368" s="9" t="s">
        <v>139</v>
      </c>
      <c r="K368" s="10">
        <v>37104</v>
      </c>
    </row>
    <row r="369" spans="1:11" x14ac:dyDescent="0.25">
      <c r="A369" s="8">
        <v>726</v>
      </c>
      <c r="B369" s="9" t="s">
        <v>8772</v>
      </c>
      <c r="C369" s="9" t="s">
        <v>744</v>
      </c>
      <c r="D369" s="9" t="s">
        <v>139</v>
      </c>
      <c r="E369" s="9" t="s">
        <v>745</v>
      </c>
      <c r="F369" s="9" t="s">
        <v>746</v>
      </c>
      <c r="G369" s="9" t="s">
        <v>142</v>
      </c>
      <c r="H369" s="9" t="s">
        <v>139</v>
      </c>
      <c r="I369" s="9" t="s">
        <v>143</v>
      </c>
      <c r="J369" s="9" t="s">
        <v>139</v>
      </c>
      <c r="K369" s="10">
        <v>37104</v>
      </c>
    </row>
    <row r="370" spans="1:11" x14ac:dyDescent="0.25">
      <c r="A370" s="8">
        <v>727</v>
      </c>
      <c r="B370" s="9" t="s">
        <v>8773</v>
      </c>
      <c r="C370" s="9" t="s">
        <v>747</v>
      </c>
      <c r="D370" s="9" t="s">
        <v>139</v>
      </c>
      <c r="E370" s="9" t="s">
        <v>199</v>
      </c>
      <c r="F370" s="9" t="s">
        <v>200</v>
      </c>
      <c r="G370" s="9" t="s">
        <v>142</v>
      </c>
      <c r="H370" s="9" t="s">
        <v>139</v>
      </c>
      <c r="I370" s="9" t="s">
        <v>143</v>
      </c>
      <c r="J370" s="9" t="s">
        <v>139</v>
      </c>
      <c r="K370" s="10">
        <v>37104</v>
      </c>
    </row>
    <row r="371" spans="1:11" x14ac:dyDescent="0.25">
      <c r="A371" s="8">
        <v>729</v>
      </c>
      <c r="B371" s="9" t="s">
        <v>8774</v>
      </c>
      <c r="C371" s="9" t="s">
        <v>748</v>
      </c>
      <c r="D371" s="9" t="s">
        <v>139</v>
      </c>
      <c r="E371" s="9" t="s">
        <v>749</v>
      </c>
      <c r="F371" s="9" t="s">
        <v>750</v>
      </c>
      <c r="G371" s="9" t="s">
        <v>142</v>
      </c>
      <c r="H371" s="9" t="s">
        <v>139</v>
      </c>
      <c r="I371" s="9" t="s">
        <v>143</v>
      </c>
      <c r="J371" s="9" t="s">
        <v>139</v>
      </c>
      <c r="K371" s="10">
        <v>37104</v>
      </c>
    </row>
    <row r="372" spans="1:11" x14ac:dyDescent="0.25">
      <c r="A372" s="8">
        <v>730</v>
      </c>
      <c r="B372" s="9" t="s">
        <v>8775</v>
      </c>
      <c r="C372" s="9" t="s">
        <v>751</v>
      </c>
      <c r="D372" s="9" t="s">
        <v>139</v>
      </c>
      <c r="E372" s="9" t="s">
        <v>752</v>
      </c>
      <c r="F372" s="9" t="s">
        <v>753</v>
      </c>
      <c r="G372" s="9" t="s">
        <v>142</v>
      </c>
      <c r="H372" s="9" t="s">
        <v>139</v>
      </c>
      <c r="I372" s="9" t="s">
        <v>143</v>
      </c>
      <c r="J372" s="9" t="s">
        <v>139</v>
      </c>
      <c r="K372" s="10">
        <v>37104</v>
      </c>
    </row>
    <row r="373" spans="1:11" x14ac:dyDescent="0.25">
      <c r="A373" s="8">
        <v>732</v>
      </c>
      <c r="B373" s="9" t="s">
        <v>8776</v>
      </c>
      <c r="C373" s="9" t="s">
        <v>754</v>
      </c>
      <c r="D373" s="9" t="s">
        <v>139</v>
      </c>
      <c r="E373" s="9" t="s">
        <v>752</v>
      </c>
      <c r="F373" s="9" t="s">
        <v>753</v>
      </c>
      <c r="G373" s="9" t="s">
        <v>142</v>
      </c>
      <c r="H373" s="9" t="s">
        <v>139</v>
      </c>
      <c r="I373" s="9" t="s">
        <v>143</v>
      </c>
      <c r="J373" s="9" t="s">
        <v>139</v>
      </c>
      <c r="K373" s="10">
        <v>37104</v>
      </c>
    </row>
    <row r="374" spans="1:11" x14ac:dyDescent="0.25">
      <c r="A374" s="8">
        <v>733</v>
      </c>
      <c r="B374" s="9" t="s">
        <v>8777</v>
      </c>
      <c r="C374" s="9" t="s">
        <v>755</v>
      </c>
      <c r="D374" s="9" t="s">
        <v>139</v>
      </c>
      <c r="E374" s="9" t="s">
        <v>756</v>
      </c>
      <c r="F374" s="9" t="s">
        <v>757</v>
      </c>
      <c r="G374" s="9" t="s">
        <v>142</v>
      </c>
      <c r="H374" s="9" t="s">
        <v>139</v>
      </c>
      <c r="I374" s="9" t="s">
        <v>143</v>
      </c>
      <c r="J374" s="9" t="s">
        <v>139</v>
      </c>
      <c r="K374" s="10">
        <v>37104</v>
      </c>
    </row>
    <row r="375" spans="1:11" x14ac:dyDescent="0.25">
      <c r="A375" s="8">
        <v>734</v>
      </c>
      <c r="B375" s="9" t="s">
        <v>8778</v>
      </c>
      <c r="C375" s="9" t="s">
        <v>758</v>
      </c>
      <c r="D375" s="9" t="s">
        <v>139</v>
      </c>
      <c r="E375" s="9" t="s">
        <v>328</v>
      </c>
      <c r="F375" s="9" t="s">
        <v>141</v>
      </c>
      <c r="G375" s="9" t="s">
        <v>142</v>
      </c>
      <c r="H375" s="9" t="s">
        <v>139</v>
      </c>
      <c r="I375" s="9" t="s">
        <v>143</v>
      </c>
      <c r="J375" s="9" t="s">
        <v>139</v>
      </c>
      <c r="K375" s="10">
        <v>37104</v>
      </c>
    </row>
    <row r="376" spans="1:11" x14ac:dyDescent="0.25">
      <c r="A376" s="8">
        <v>737</v>
      </c>
      <c r="B376" s="9" t="s">
        <v>8779</v>
      </c>
      <c r="C376" s="9" t="s">
        <v>759</v>
      </c>
      <c r="D376" s="9" t="s">
        <v>139</v>
      </c>
      <c r="E376" s="9" t="s">
        <v>760</v>
      </c>
      <c r="F376" s="9" t="s">
        <v>761</v>
      </c>
      <c r="G376" s="9" t="s">
        <v>142</v>
      </c>
      <c r="H376" s="9" t="s">
        <v>139</v>
      </c>
      <c r="I376" s="9" t="s">
        <v>143</v>
      </c>
      <c r="J376" s="9" t="s">
        <v>139</v>
      </c>
      <c r="K376" s="10">
        <v>37104</v>
      </c>
    </row>
    <row r="377" spans="1:11" x14ac:dyDescent="0.25">
      <c r="A377" s="8">
        <v>738</v>
      </c>
      <c r="B377" s="9" t="s">
        <v>8780</v>
      </c>
      <c r="C377" s="9" t="s">
        <v>762</v>
      </c>
      <c r="D377" s="9" t="s">
        <v>139</v>
      </c>
      <c r="E377" s="9" t="s">
        <v>763</v>
      </c>
      <c r="F377" s="9" t="s">
        <v>764</v>
      </c>
      <c r="G377" s="9" t="s">
        <v>142</v>
      </c>
      <c r="H377" s="9" t="s">
        <v>139</v>
      </c>
      <c r="I377" s="9" t="s">
        <v>143</v>
      </c>
      <c r="J377" s="9" t="s">
        <v>139</v>
      </c>
      <c r="K377" s="10">
        <v>37104</v>
      </c>
    </row>
    <row r="378" spans="1:11" x14ac:dyDescent="0.25">
      <c r="A378" s="8">
        <v>739</v>
      </c>
      <c r="B378" s="9" t="s">
        <v>8781</v>
      </c>
      <c r="C378" s="9" t="s">
        <v>765</v>
      </c>
      <c r="D378" s="9" t="s">
        <v>139</v>
      </c>
      <c r="E378" s="9" t="s">
        <v>308</v>
      </c>
      <c r="F378" s="9" t="s">
        <v>141</v>
      </c>
      <c r="G378" s="9" t="s">
        <v>142</v>
      </c>
      <c r="H378" s="9" t="s">
        <v>166</v>
      </c>
      <c r="I378" s="9" t="s">
        <v>143</v>
      </c>
      <c r="J378" s="9" t="s">
        <v>139</v>
      </c>
      <c r="K378" s="10">
        <v>37104</v>
      </c>
    </row>
    <row r="379" spans="1:11" x14ac:dyDescent="0.25">
      <c r="A379" s="8">
        <v>740</v>
      </c>
      <c r="B379" s="9" t="s">
        <v>8782</v>
      </c>
      <c r="C379" s="9" t="s">
        <v>766</v>
      </c>
      <c r="D379" s="9" t="s">
        <v>139</v>
      </c>
      <c r="E379" s="9" t="s">
        <v>154</v>
      </c>
      <c r="F379" s="9" t="s">
        <v>155</v>
      </c>
      <c r="G379" s="9" t="s">
        <v>142</v>
      </c>
      <c r="H379" s="9" t="s">
        <v>139</v>
      </c>
      <c r="I379" s="9" t="s">
        <v>143</v>
      </c>
      <c r="J379" s="9" t="s">
        <v>139</v>
      </c>
      <c r="K379" s="10">
        <v>37104</v>
      </c>
    </row>
    <row r="380" spans="1:11" x14ac:dyDescent="0.25">
      <c r="A380" s="8">
        <v>741</v>
      </c>
      <c r="B380" s="9" t="s">
        <v>8783</v>
      </c>
      <c r="C380" s="9" t="s">
        <v>767</v>
      </c>
      <c r="D380" s="9" t="s">
        <v>139</v>
      </c>
      <c r="E380" s="9" t="s">
        <v>263</v>
      </c>
      <c r="F380" s="9" t="s">
        <v>141</v>
      </c>
      <c r="G380" s="9" t="s">
        <v>142</v>
      </c>
      <c r="H380" s="9" t="s">
        <v>139</v>
      </c>
      <c r="I380" s="9" t="s">
        <v>143</v>
      </c>
      <c r="J380" s="9" t="s">
        <v>139</v>
      </c>
      <c r="K380" s="10">
        <v>37104</v>
      </c>
    </row>
    <row r="381" spans="1:11" x14ac:dyDescent="0.25">
      <c r="A381" s="8">
        <v>745</v>
      </c>
      <c r="B381" s="9" t="s">
        <v>8784</v>
      </c>
      <c r="C381" s="9" t="s">
        <v>768</v>
      </c>
      <c r="D381" s="9" t="s">
        <v>139</v>
      </c>
      <c r="E381" s="9" t="s">
        <v>769</v>
      </c>
      <c r="F381" s="9" t="s">
        <v>141</v>
      </c>
      <c r="G381" s="9" t="s">
        <v>142</v>
      </c>
      <c r="H381" s="9" t="s">
        <v>139</v>
      </c>
      <c r="I381" s="9" t="s">
        <v>143</v>
      </c>
      <c r="J381" s="9" t="s">
        <v>139</v>
      </c>
      <c r="K381" s="10">
        <v>37104</v>
      </c>
    </row>
    <row r="382" spans="1:11" x14ac:dyDescent="0.25">
      <c r="A382" s="8">
        <v>746</v>
      </c>
      <c r="B382" s="9" t="s">
        <v>8785</v>
      </c>
      <c r="C382" s="9" t="s">
        <v>770</v>
      </c>
      <c r="D382" s="9" t="s">
        <v>139</v>
      </c>
      <c r="E382" s="9" t="s">
        <v>771</v>
      </c>
      <c r="F382" s="9" t="s">
        <v>772</v>
      </c>
      <c r="G382" s="9" t="s">
        <v>142</v>
      </c>
      <c r="H382" s="9" t="s">
        <v>139</v>
      </c>
      <c r="I382" s="9" t="s">
        <v>143</v>
      </c>
      <c r="J382" s="9" t="s">
        <v>139</v>
      </c>
      <c r="K382" s="10">
        <v>37104</v>
      </c>
    </row>
    <row r="383" spans="1:11" x14ac:dyDescent="0.25">
      <c r="A383" s="8">
        <v>748</v>
      </c>
      <c r="B383" s="9" t="s">
        <v>8786</v>
      </c>
      <c r="C383" s="9" t="s">
        <v>773</v>
      </c>
      <c r="D383" s="9" t="s">
        <v>139</v>
      </c>
      <c r="E383" s="9" t="s">
        <v>212</v>
      </c>
      <c r="F383" s="9" t="s">
        <v>141</v>
      </c>
      <c r="G383" s="9" t="s">
        <v>142</v>
      </c>
      <c r="H383" s="9" t="s">
        <v>139</v>
      </c>
      <c r="I383" s="9" t="s">
        <v>143</v>
      </c>
      <c r="J383" s="9" t="s">
        <v>139</v>
      </c>
      <c r="K383" s="10">
        <v>37104</v>
      </c>
    </row>
    <row r="384" spans="1:11" x14ac:dyDescent="0.25">
      <c r="A384" s="8">
        <v>749</v>
      </c>
      <c r="B384" s="9" t="s">
        <v>8787</v>
      </c>
      <c r="C384" s="9" t="s">
        <v>774</v>
      </c>
      <c r="D384" s="9" t="s">
        <v>139</v>
      </c>
      <c r="E384" s="9" t="s">
        <v>775</v>
      </c>
      <c r="F384" s="9" t="s">
        <v>776</v>
      </c>
      <c r="G384" s="9" t="s">
        <v>142</v>
      </c>
      <c r="H384" s="9" t="s">
        <v>258</v>
      </c>
      <c r="I384" s="9" t="s">
        <v>143</v>
      </c>
      <c r="J384" s="9" t="s">
        <v>139</v>
      </c>
      <c r="K384" s="10">
        <v>37104</v>
      </c>
    </row>
    <row r="385" spans="1:11" x14ac:dyDescent="0.25">
      <c r="A385" s="8">
        <v>752</v>
      </c>
      <c r="B385" s="9" t="s">
        <v>8788</v>
      </c>
      <c r="C385" s="9" t="s">
        <v>777</v>
      </c>
      <c r="D385" s="9" t="s">
        <v>139</v>
      </c>
      <c r="E385" s="9" t="s">
        <v>197</v>
      </c>
      <c r="F385" s="9" t="s">
        <v>141</v>
      </c>
      <c r="G385" s="9" t="s">
        <v>142</v>
      </c>
      <c r="H385" s="9" t="s">
        <v>258</v>
      </c>
      <c r="I385" s="9" t="s">
        <v>143</v>
      </c>
      <c r="J385" s="9" t="s">
        <v>139</v>
      </c>
      <c r="K385" s="10">
        <v>37104</v>
      </c>
    </row>
    <row r="386" spans="1:11" x14ac:dyDescent="0.25">
      <c r="A386" s="8">
        <v>753</v>
      </c>
      <c r="B386" s="9" t="s">
        <v>8789</v>
      </c>
      <c r="C386" s="9" t="s">
        <v>778</v>
      </c>
      <c r="D386" s="9" t="s">
        <v>139</v>
      </c>
      <c r="E386" s="9" t="s">
        <v>308</v>
      </c>
      <c r="F386" s="9" t="s">
        <v>141</v>
      </c>
      <c r="G386" s="9" t="s">
        <v>142</v>
      </c>
      <c r="H386" s="9" t="s">
        <v>258</v>
      </c>
      <c r="I386" s="9" t="s">
        <v>143</v>
      </c>
      <c r="J386" s="9" t="s">
        <v>139</v>
      </c>
      <c r="K386" s="10">
        <v>37104</v>
      </c>
    </row>
    <row r="387" spans="1:11" x14ac:dyDescent="0.25">
      <c r="A387" s="8">
        <v>754</v>
      </c>
      <c r="B387" s="9" t="s">
        <v>8790</v>
      </c>
      <c r="C387" s="9" t="s">
        <v>779</v>
      </c>
      <c r="D387" s="9" t="s">
        <v>139</v>
      </c>
      <c r="E387" s="9" t="s">
        <v>306</v>
      </c>
      <c r="F387" s="9" t="s">
        <v>141</v>
      </c>
      <c r="G387" s="9" t="s">
        <v>142</v>
      </c>
      <c r="H387" s="9" t="s">
        <v>258</v>
      </c>
      <c r="I387" s="9" t="s">
        <v>143</v>
      </c>
      <c r="J387" s="9" t="s">
        <v>139</v>
      </c>
      <c r="K387" s="10">
        <v>37104</v>
      </c>
    </row>
    <row r="388" spans="1:11" x14ac:dyDescent="0.25">
      <c r="A388" s="8">
        <v>757</v>
      </c>
      <c r="B388" s="9" t="s">
        <v>8791</v>
      </c>
      <c r="C388" s="9" t="s">
        <v>780</v>
      </c>
      <c r="D388" s="9" t="s">
        <v>139</v>
      </c>
      <c r="E388" s="9" t="s">
        <v>194</v>
      </c>
      <c r="F388" s="9" t="s">
        <v>195</v>
      </c>
      <c r="G388" s="9" t="s">
        <v>142</v>
      </c>
      <c r="H388" s="9" t="s">
        <v>139</v>
      </c>
      <c r="I388" s="9" t="s">
        <v>143</v>
      </c>
      <c r="J388" s="9" t="s">
        <v>139</v>
      </c>
      <c r="K388" s="10">
        <v>37104</v>
      </c>
    </row>
    <row r="389" spans="1:11" x14ac:dyDescent="0.25">
      <c r="A389" s="8">
        <v>758</v>
      </c>
      <c r="B389" s="9" t="s">
        <v>8792</v>
      </c>
      <c r="C389" s="9" t="s">
        <v>781</v>
      </c>
      <c r="D389" s="9" t="s">
        <v>139</v>
      </c>
      <c r="E389" s="9" t="s">
        <v>263</v>
      </c>
      <c r="F389" s="9" t="s">
        <v>141</v>
      </c>
      <c r="G389" s="9" t="s">
        <v>142</v>
      </c>
      <c r="H389" s="9" t="s">
        <v>566</v>
      </c>
      <c r="I389" s="9" t="s">
        <v>143</v>
      </c>
      <c r="J389" s="9" t="s">
        <v>139</v>
      </c>
      <c r="K389" s="10">
        <v>37104</v>
      </c>
    </row>
    <row r="390" spans="1:11" x14ac:dyDescent="0.25">
      <c r="A390" s="8">
        <v>761</v>
      </c>
      <c r="B390" s="9" t="s">
        <v>8793</v>
      </c>
      <c r="C390" s="9" t="s">
        <v>782</v>
      </c>
      <c r="D390" s="9" t="s">
        <v>139</v>
      </c>
      <c r="E390" s="9" t="s">
        <v>328</v>
      </c>
      <c r="F390" s="9" t="s">
        <v>141</v>
      </c>
      <c r="G390" s="9" t="s">
        <v>142</v>
      </c>
      <c r="H390" s="9" t="s">
        <v>258</v>
      </c>
      <c r="I390" s="9" t="s">
        <v>143</v>
      </c>
      <c r="J390" s="9" t="s">
        <v>139</v>
      </c>
      <c r="K390" s="10">
        <v>37104</v>
      </c>
    </row>
    <row r="391" spans="1:11" x14ac:dyDescent="0.25">
      <c r="A391" s="8">
        <v>763</v>
      </c>
      <c r="B391" s="9" t="s">
        <v>8794</v>
      </c>
      <c r="C391" s="9" t="s">
        <v>783</v>
      </c>
      <c r="D391" s="9" t="s">
        <v>139</v>
      </c>
      <c r="E391" s="9" t="s">
        <v>784</v>
      </c>
      <c r="F391" s="9" t="s">
        <v>785</v>
      </c>
      <c r="G391" s="9" t="s">
        <v>142</v>
      </c>
      <c r="H391" s="9" t="s">
        <v>258</v>
      </c>
      <c r="I391" s="9" t="s">
        <v>143</v>
      </c>
      <c r="J391" s="9" t="s">
        <v>139</v>
      </c>
      <c r="K391" s="10">
        <v>37104</v>
      </c>
    </row>
    <row r="392" spans="1:11" x14ac:dyDescent="0.25">
      <c r="A392" s="8">
        <v>764</v>
      </c>
      <c r="B392" s="9" t="s">
        <v>8795</v>
      </c>
      <c r="C392" s="9" t="s">
        <v>786</v>
      </c>
      <c r="D392" s="9" t="s">
        <v>139</v>
      </c>
      <c r="E392" s="9" t="s">
        <v>197</v>
      </c>
      <c r="F392" s="9" t="s">
        <v>141</v>
      </c>
      <c r="G392" s="9" t="s">
        <v>142</v>
      </c>
      <c r="H392" s="9" t="s">
        <v>258</v>
      </c>
      <c r="I392" s="9" t="s">
        <v>143</v>
      </c>
      <c r="J392" s="9" t="s">
        <v>139</v>
      </c>
      <c r="K392" s="10">
        <v>37104</v>
      </c>
    </row>
    <row r="393" spans="1:11" x14ac:dyDescent="0.25">
      <c r="A393" s="8">
        <v>765</v>
      </c>
      <c r="B393" s="9" t="s">
        <v>8796</v>
      </c>
      <c r="C393" s="9" t="s">
        <v>787</v>
      </c>
      <c r="D393" s="9" t="s">
        <v>139</v>
      </c>
      <c r="E393" s="9" t="s">
        <v>769</v>
      </c>
      <c r="F393" s="9" t="s">
        <v>141</v>
      </c>
      <c r="G393" s="9" t="s">
        <v>142</v>
      </c>
      <c r="H393" s="9" t="s">
        <v>241</v>
      </c>
      <c r="I393" s="9" t="s">
        <v>143</v>
      </c>
      <c r="J393" s="9" t="s">
        <v>139</v>
      </c>
      <c r="K393" s="10">
        <v>37104</v>
      </c>
    </row>
    <row r="394" spans="1:11" x14ac:dyDescent="0.25">
      <c r="A394" s="8">
        <v>770</v>
      </c>
      <c r="B394" s="9" t="s">
        <v>8797</v>
      </c>
      <c r="C394" s="9" t="s">
        <v>788</v>
      </c>
      <c r="D394" s="9" t="s">
        <v>139</v>
      </c>
      <c r="E394" s="9" t="s">
        <v>789</v>
      </c>
      <c r="F394" s="9" t="s">
        <v>790</v>
      </c>
      <c r="G394" s="9" t="s">
        <v>142</v>
      </c>
      <c r="H394" s="9" t="s">
        <v>166</v>
      </c>
      <c r="I394" s="9" t="s">
        <v>143</v>
      </c>
      <c r="J394" s="9" t="s">
        <v>139</v>
      </c>
      <c r="K394" s="10">
        <v>37104</v>
      </c>
    </row>
    <row r="395" spans="1:11" x14ac:dyDescent="0.25">
      <c r="A395" s="8">
        <v>771</v>
      </c>
      <c r="B395" s="9" t="s">
        <v>8798</v>
      </c>
      <c r="C395" s="9" t="s">
        <v>791</v>
      </c>
      <c r="D395" s="9" t="s">
        <v>139</v>
      </c>
      <c r="E395" s="9" t="s">
        <v>260</v>
      </c>
      <c r="F395" s="9" t="s">
        <v>261</v>
      </c>
      <c r="G395" s="9" t="s">
        <v>142</v>
      </c>
      <c r="H395" s="9" t="s">
        <v>139</v>
      </c>
      <c r="I395" s="9" t="s">
        <v>143</v>
      </c>
      <c r="J395" s="9" t="s">
        <v>139</v>
      </c>
      <c r="K395" s="10">
        <v>37104</v>
      </c>
    </row>
    <row r="396" spans="1:11" x14ac:dyDescent="0.25">
      <c r="A396" s="8">
        <v>773</v>
      </c>
      <c r="B396" s="9" t="s">
        <v>8799</v>
      </c>
      <c r="C396" s="9" t="s">
        <v>792</v>
      </c>
      <c r="D396" s="9" t="s">
        <v>139</v>
      </c>
      <c r="E396" s="9" t="s">
        <v>270</v>
      </c>
      <c r="F396" s="9" t="s">
        <v>271</v>
      </c>
      <c r="G396" s="9" t="s">
        <v>142</v>
      </c>
      <c r="H396" s="9" t="s">
        <v>258</v>
      </c>
      <c r="I396" s="9" t="s">
        <v>143</v>
      </c>
      <c r="J396" s="9" t="s">
        <v>139</v>
      </c>
      <c r="K396" s="10">
        <v>37104</v>
      </c>
    </row>
    <row r="397" spans="1:11" x14ac:dyDescent="0.25">
      <c r="A397" s="8">
        <v>777</v>
      </c>
      <c r="B397" s="9" t="s">
        <v>8800</v>
      </c>
      <c r="C397" s="9" t="s">
        <v>793</v>
      </c>
      <c r="D397" s="9" t="s">
        <v>139</v>
      </c>
      <c r="E397" s="9" t="s">
        <v>794</v>
      </c>
      <c r="F397" s="9" t="s">
        <v>795</v>
      </c>
      <c r="G397" s="9" t="s">
        <v>142</v>
      </c>
      <c r="H397" s="9" t="s">
        <v>166</v>
      </c>
      <c r="I397" s="9" t="s">
        <v>143</v>
      </c>
      <c r="J397" s="9" t="s">
        <v>139</v>
      </c>
      <c r="K397" s="10">
        <v>37104</v>
      </c>
    </row>
    <row r="398" spans="1:11" x14ac:dyDescent="0.25">
      <c r="A398" s="8">
        <v>779</v>
      </c>
      <c r="B398" s="9" t="s">
        <v>8801</v>
      </c>
      <c r="C398" s="9" t="s">
        <v>796</v>
      </c>
      <c r="D398" s="9" t="s">
        <v>139</v>
      </c>
      <c r="E398" s="9" t="s">
        <v>154</v>
      </c>
      <c r="F398" s="9" t="s">
        <v>155</v>
      </c>
      <c r="G398" s="9" t="s">
        <v>142</v>
      </c>
      <c r="H398" s="9" t="s">
        <v>258</v>
      </c>
      <c r="I398" s="9" t="s">
        <v>143</v>
      </c>
      <c r="J398" s="9" t="s">
        <v>139</v>
      </c>
      <c r="K398" s="10">
        <v>37104</v>
      </c>
    </row>
    <row r="399" spans="1:11" x14ac:dyDescent="0.25">
      <c r="A399" s="8">
        <v>780</v>
      </c>
      <c r="B399" s="9" t="s">
        <v>8802</v>
      </c>
      <c r="C399" s="9" t="s">
        <v>797</v>
      </c>
      <c r="D399" s="9" t="s">
        <v>139</v>
      </c>
      <c r="E399" s="9" t="s">
        <v>798</v>
      </c>
      <c r="F399" s="9" t="s">
        <v>799</v>
      </c>
      <c r="G399" s="9" t="s">
        <v>142</v>
      </c>
      <c r="H399" s="9" t="s">
        <v>258</v>
      </c>
      <c r="I399" s="9" t="s">
        <v>143</v>
      </c>
      <c r="J399" s="9" t="s">
        <v>139</v>
      </c>
      <c r="K399" s="10">
        <v>37104</v>
      </c>
    </row>
    <row r="400" spans="1:11" x14ac:dyDescent="0.25">
      <c r="A400" s="8">
        <v>782</v>
      </c>
      <c r="B400" s="9" t="s">
        <v>8803</v>
      </c>
      <c r="C400" s="9" t="s">
        <v>800</v>
      </c>
      <c r="D400" s="9" t="s">
        <v>139</v>
      </c>
      <c r="E400" s="9" t="s">
        <v>801</v>
      </c>
      <c r="F400" s="9" t="s">
        <v>802</v>
      </c>
      <c r="G400" s="9" t="s">
        <v>142</v>
      </c>
      <c r="H400" s="9" t="s">
        <v>139</v>
      </c>
      <c r="I400" s="9" t="s">
        <v>143</v>
      </c>
      <c r="J400" s="9" t="s">
        <v>139</v>
      </c>
      <c r="K400" s="10">
        <v>37104</v>
      </c>
    </row>
    <row r="401" spans="1:11" x14ac:dyDescent="0.25">
      <c r="A401" s="8">
        <v>785</v>
      </c>
      <c r="B401" s="9" t="s">
        <v>8804</v>
      </c>
      <c r="C401" s="9" t="s">
        <v>803</v>
      </c>
      <c r="D401" s="9" t="s">
        <v>139</v>
      </c>
      <c r="E401" s="9" t="s">
        <v>249</v>
      </c>
      <c r="F401" s="9" t="s">
        <v>804</v>
      </c>
      <c r="G401" s="9" t="s">
        <v>142</v>
      </c>
      <c r="H401" s="9" t="s">
        <v>258</v>
      </c>
      <c r="I401" s="9" t="s">
        <v>143</v>
      </c>
      <c r="J401" s="9" t="s">
        <v>139</v>
      </c>
      <c r="K401" s="10">
        <v>37104</v>
      </c>
    </row>
    <row r="402" spans="1:11" x14ac:dyDescent="0.25">
      <c r="A402" s="8">
        <v>789</v>
      </c>
      <c r="B402" s="9" t="s">
        <v>8805</v>
      </c>
      <c r="C402" s="9" t="s">
        <v>805</v>
      </c>
      <c r="D402" s="9" t="s">
        <v>139</v>
      </c>
      <c r="E402" s="9" t="s">
        <v>214</v>
      </c>
      <c r="F402" s="9" t="s">
        <v>215</v>
      </c>
      <c r="G402" s="9" t="s">
        <v>142</v>
      </c>
      <c r="H402" s="9" t="s">
        <v>258</v>
      </c>
      <c r="I402" s="9" t="s">
        <v>143</v>
      </c>
      <c r="J402" s="9" t="s">
        <v>139</v>
      </c>
      <c r="K402" s="10">
        <v>37104</v>
      </c>
    </row>
    <row r="403" spans="1:11" x14ac:dyDescent="0.25">
      <c r="A403" s="8">
        <v>792</v>
      </c>
      <c r="B403" s="9" t="s">
        <v>8806</v>
      </c>
      <c r="C403" s="9" t="s">
        <v>806</v>
      </c>
      <c r="D403" s="9" t="s">
        <v>139</v>
      </c>
      <c r="E403" s="9" t="s">
        <v>154</v>
      </c>
      <c r="F403" s="9" t="s">
        <v>155</v>
      </c>
      <c r="G403" s="9" t="s">
        <v>142</v>
      </c>
      <c r="H403" s="9" t="s">
        <v>166</v>
      </c>
      <c r="I403" s="9" t="s">
        <v>143</v>
      </c>
      <c r="J403" s="9" t="s">
        <v>139</v>
      </c>
      <c r="K403" s="10">
        <v>37104</v>
      </c>
    </row>
    <row r="404" spans="1:11" x14ac:dyDescent="0.25">
      <c r="A404" s="8">
        <v>794</v>
      </c>
      <c r="B404" s="9" t="s">
        <v>8807</v>
      </c>
      <c r="C404" s="9" t="s">
        <v>807</v>
      </c>
      <c r="D404" s="9" t="s">
        <v>139</v>
      </c>
      <c r="E404" s="9" t="s">
        <v>808</v>
      </c>
      <c r="F404" s="9" t="s">
        <v>809</v>
      </c>
      <c r="G404" s="9" t="s">
        <v>142</v>
      </c>
      <c r="H404" s="9" t="s">
        <v>258</v>
      </c>
      <c r="I404" s="9" t="s">
        <v>143</v>
      </c>
      <c r="J404" s="9" t="s">
        <v>139</v>
      </c>
      <c r="K404" s="10">
        <v>37104</v>
      </c>
    </row>
    <row r="405" spans="1:11" x14ac:dyDescent="0.25">
      <c r="A405" s="8">
        <v>798</v>
      </c>
      <c r="B405" s="9" t="s">
        <v>5256</v>
      </c>
      <c r="C405" s="9" t="s">
        <v>810</v>
      </c>
      <c r="D405" s="9" t="s">
        <v>139</v>
      </c>
      <c r="E405" s="9" t="s">
        <v>306</v>
      </c>
      <c r="F405" s="9" t="s">
        <v>141</v>
      </c>
      <c r="G405" s="9" t="s">
        <v>142</v>
      </c>
      <c r="H405" s="9" t="s">
        <v>139</v>
      </c>
      <c r="I405" s="9" t="s">
        <v>411</v>
      </c>
      <c r="J405" s="9" t="s">
        <v>139</v>
      </c>
      <c r="K405" s="10">
        <v>37104</v>
      </c>
    </row>
    <row r="406" spans="1:11" x14ac:dyDescent="0.25">
      <c r="A406" s="8">
        <v>803</v>
      </c>
      <c r="B406" s="9" t="s">
        <v>5257</v>
      </c>
      <c r="C406" s="9" t="s">
        <v>811</v>
      </c>
      <c r="D406" s="9" t="s">
        <v>139</v>
      </c>
      <c r="E406" s="9" t="s">
        <v>308</v>
      </c>
      <c r="F406" s="9" t="s">
        <v>141</v>
      </c>
      <c r="G406" s="9" t="s">
        <v>142</v>
      </c>
      <c r="H406" s="9" t="s">
        <v>139</v>
      </c>
      <c r="I406" s="9" t="s">
        <v>411</v>
      </c>
      <c r="J406" s="9" t="s">
        <v>139</v>
      </c>
      <c r="K406" s="10">
        <v>37104</v>
      </c>
    </row>
    <row r="407" spans="1:11" x14ac:dyDescent="0.25">
      <c r="A407" s="8">
        <v>810</v>
      </c>
      <c r="B407" s="9" t="s">
        <v>8412</v>
      </c>
      <c r="C407" s="9" t="s">
        <v>812</v>
      </c>
      <c r="D407" s="9" t="s">
        <v>139</v>
      </c>
      <c r="E407" s="9" t="s">
        <v>769</v>
      </c>
      <c r="F407" s="9" t="s">
        <v>141</v>
      </c>
      <c r="G407" s="9" t="s">
        <v>142</v>
      </c>
      <c r="H407" s="9" t="s">
        <v>139</v>
      </c>
      <c r="I407" s="9" t="s">
        <v>617</v>
      </c>
      <c r="J407" s="9" t="s">
        <v>139</v>
      </c>
      <c r="K407" s="10">
        <v>37104</v>
      </c>
    </row>
    <row r="408" spans="1:11" x14ac:dyDescent="0.25">
      <c r="A408" s="8">
        <v>811</v>
      </c>
      <c r="B408" s="9" t="s">
        <v>5258</v>
      </c>
      <c r="C408" s="9" t="s">
        <v>813</v>
      </c>
      <c r="D408" s="9" t="s">
        <v>139</v>
      </c>
      <c r="E408" s="9" t="s">
        <v>191</v>
      </c>
      <c r="F408" s="9" t="s">
        <v>141</v>
      </c>
      <c r="G408" s="9" t="s">
        <v>142</v>
      </c>
      <c r="H408" s="9" t="s">
        <v>139</v>
      </c>
      <c r="I408" s="9" t="s">
        <v>411</v>
      </c>
      <c r="J408" s="9" t="s">
        <v>139</v>
      </c>
      <c r="K408" s="10">
        <v>37104</v>
      </c>
    </row>
    <row r="409" spans="1:11" x14ac:dyDescent="0.25">
      <c r="A409" s="8">
        <v>813</v>
      </c>
      <c r="B409" s="9" t="s">
        <v>5259</v>
      </c>
      <c r="C409" s="9" t="s">
        <v>814</v>
      </c>
      <c r="D409" s="9" t="s">
        <v>139</v>
      </c>
      <c r="E409" s="9" t="s">
        <v>815</v>
      </c>
      <c r="F409" s="9" t="s">
        <v>816</v>
      </c>
      <c r="G409" s="9" t="s">
        <v>142</v>
      </c>
      <c r="H409" s="9" t="s">
        <v>241</v>
      </c>
      <c r="I409" s="9" t="s">
        <v>411</v>
      </c>
      <c r="J409" s="9" t="s">
        <v>139</v>
      </c>
      <c r="K409" s="10">
        <v>37104</v>
      </c>
    </row>
    <row r="410" spans="1:11" x14ac:dyDescent="0.25">
      <c r="A410" s="8">
        <v>815</v>
      </c>
      <c r="B410" s="9" t="s">
        <v>8808</v>
      </c>
      <c r="C410" s="9" t="s">
        <v>817</v>
      </c>
      <c r="D410" s="9" t="s">
        <v>139</v>
      </c>
      <c r="E410" s="9" t="s">
        <v>756</v>
      </c>
      <c r="F410" s="9" t="s">
        <v>757</v>
      </c>
      <c r="G410" s="9" t="s">
        <v>142</v>
      </c>
      <c r="H410" s="9" t="s">
        <v>139</v>
      </c>
      <c r="I410" s="9" t="s">
        <v>143</v>
      </c>
      <c r="J410" s="9" t="s">
        <v>139</v>
      </c>
      <c r="K410" s="10">
        <v>37104</v>
      </c>
    </row>
    <row r="411" spans="1:11" x14ac:dyDescent="0.25">
      <c r="A411" s="8">
        <v>817</v>
      </c>
      <c r="B411" s="9" t="s">
        <v>8809</v>
      </c>
      <c r="C411" s="9" t="s">
        <v>818</v>
      </c>
      <c r="D411" s="9" t="s">
        <v>819</v>
      </c>
      <c r="E411" s="9" t="s">
        <v>808</v>
      </c>
      <c r="F411" s="9" t="s">
        <v>809</v>
      </c>
      <c r="G411" s="9" t="s">
        <v>142</v>
      </c>
      <c r="H411" s="9" t="s">
        <v>139</v>
      </c>
      <c r="I411" s="9" t="s">
        <v>143</v>
      </c>
      <c r="J411" s="9" t="s">
        <v>139</v>
      </c>
      <c r="K411" s="10">
        <v>37104</v>
      </c>
    </row>
    <row r="412" spans="1:11" x14ac:dyDescent="0.25">
      <c r="A412" s="8">
        <v>818</v>
      </c>
      <c r="B412" s="9" t="s">
        <v>8810</v>
      </c>
      <c r="C412" s="9" t="s">
        <v>139</v>
      </c>
      <c r="D412" s="9" t="s">
        <v>139</v>
      </c>
      <c r="E412" s="25">
        <v>75000</v>
      </c>
      <c r="F412" s="9" t="s">
        <v>141</v>
      </c>
      <c r="G412" s="9" t="s">
        <v>142</v>
      </c>
      <c r="H412" s="9" t="s">
        <v>139</v>
      </c>
      <c r="I412" s="9" t="s">
        <v>143</v>
      </c>
      <c r="J412" s="9" t="s">
        <v>139</v>
      </c>
      <c r="K412" s="10">
        <v>37104</v>
      </c>
    </row>
    <row r="413" spans="1:11" x14ac:dyDescent="0.25">
      <c r="A413" s="8">
        <v>819</v>
      </c>
      <c r="B413" s="9" t="s">
        <v>8811</v>
      </c>
      <c r="C413" s="9" t="s">
        <v>139</v>
      </c>
      <c r="D413" s="9" t="s">
        <v>139</v>
      </c>
      <c r="E413" s="25">
        <v>75000</v>
      </c>
      <c r="F413" s="9" t="s">
        <v>141</v>
      </c>
      <c r="G413" s="9" t="s">
        <v>142</v>
      </c>
      <c r="H413" s="9" t="s">
        <v>166</v>
      </c>
      <c r="I413" s="9" t="s">
        <v>143</v>
      </c>
      <c r="J413" s="9" t="s">
        <v>139</v>
      </c>
      <c r="K413" s="10">
        <v>37104</v>
      </c>
    </row>
    <row r="414" spans="1:11" x14ac:dyDescent="0.25">
      <c r="A414" s="8">
        <v>820</v>
      </c>
      <c r="B414" s="9" t="s">
        <v>8812</v>
      </c>
      <c r="C414" s="9" t="s">
        <v>820</v>
      </c>
      <c r="D414" s="9" t="s">
        <v>139</v>
      </c>
      <c r="E414" s="9" t="s">
        <v>821</v>
      </c>
      <c r="F414" s="9" t="s">
        <v>822</v>
      </c>
      <c r="G414" s="9" t="s">
        <v>142</v>
      </c>
      <c r="H414" s="9" t="s">
        <v>139</v>
      </c>
      <c r="I414" s="9" t="s">
        <v>143</v>
      </c>
      <c r="J414" s="9" t="s">
        <v>139</v>
      </c>
      <c r="K414" s="10">
        <v>37104</v>
      </c>
    </row>
    <row r="415" spans="1:11" x14ac:dyDescent="0.25">
      <c r="A415" s="8">
        <v>821</v>
      </c>
      <c r="B415" s="9" t="s">
        <v>8813</v>
      </c>
      <c r="C415" s="9" t="s">
        <v>823</v>
      </c>
      <c r="D415" s="9" t="s">
        <v>139</v>
      </c>
      <c r="E415" s="9" t="s">
        <v>306</v>
      </c>
      <c r="F415" s="9" t="s">
        <v>141</v>
      </c>
      <c r="G415" s="9" t="s">
        <v>142</v>
      </c>
      <c r="H415" s="9" t="s">
        <v>139</v>
      </c>
      <c r="I415" s="9" t="s">
        <v>143</v>
      </c>
      <c r="J415" s="9" t="s">
        <v>139</v>
      </c>
      <c r="K415" s="10">
        <v>37104</v>
      </c>
    </row>
    <row r="416" spans="1:11" x14ac:dyDescent="0.25">
      <c r="A416" s="8">
        <v>823</v>
      </c>
      <c r="B416" s="9" t="s">
        <v>8814</v>
      </c>
      <c r="C416" s="9" t="s">
        <v>824</v>
      </c>
      <c r="D416" s="9" t="s">
        <v>139</v>
      </c>
      <c r="E416" s="9" t="s">
        <v>825</v>
      </c>
      <c r="F416" s="9" t="s">
        <v>826</v>
      </c>
      <c r="G416" s="9" t="s">
        <v>142</v>
      </c>
      <c r="H416" s="9" t="s">
        <v>139</v>
      </c>
      <c r="I416" s="9" t="s">
        <v>143</v>
      </c>
      <c r="J416" s="9" t="s">
        <v>139</v>
      </c>
      <c r="K416" s="10">
        <v>37104</v>
      </c>
    </row>
    <row r="417" spans="1:11" x14ac:dyDescent="0.25">
      <c r="A417" s="8">
        <v>824</v>
      </c>
      <c r="B417" s="9" t="s">
        <v>5260</v>
      </c>
      <c r="C417" s="9" t="s">
        <v>827</v>
      </c>
      <c r="D417" s="9" t="s">
        <v>139</v>
      </c>
      <c r="E417" s="9" t="s">
        <v>328</v>
      </c>
      <c r="F417" s="9" t="s">
        <v>141</v>
      </c>
      <c r="G417" s="9" t="s">
        <v>142</v>
      </c>
      <c r="H417" s="9" t="s">
        <v>166</v>
      </c>
      <c r="I417" s="9" t="s">
        <v>411</v>
      </c>
      <c r="J417" s="9" t="s">
        <v>139</v>
      </c>
      <c r="K417" s="10">
        <v>37104</v>
      </c>
    </row>
    <row r="418" spans="1:11" x14ac:dyDescent="0.25">
      <c r="A418" s="8">
        <v>825</v>
      </c>
      <c r="B418" s="9" t="s">
        <v>5261</v>
      </c>
      <c r="C418" s="9" t="s">
        <v>828</v>
      </c>
      <c r="D418" s="9" t="s">
        <v>139</v>
      </c>
      <c r="E418" s="9" t="s">
        <v>328</v>
      </c>
      <c r="F418" s="9" t="s">
        <v>141</v>
      </c>
      <c r="G418" s="9" t="s">
        <v>142</v>
      </c>
      <c r="H418" s="9" t="s">
        <v>166</v>
      </c>
      <c r="I418" s="9" t="s">
        <v>411</v>
      </c>
      <c r="J418" s="9" t="s">
        <v>139</v>
      </c>
      <c r="K418" s="10">
        <v>37104</v>
      </c>
    </row>
    <row r="419" spans="1:11" x14ac:dyDescent="0.25">
      <c r="A419" s="8">
        <v>827</v>
      </c>
      <c r="B419" s="9" t="s">
        <v>8815</v>
      </c>
      <c r="C419" s="9" t="s">
        <v>829</v>
      </c>
      <c r="D419" s="9" t="s">
        <v>139</v>
      </c>
      <c r="E419" s="9" t="s">
        <v>229</v>
      </c>
      <c r="F419" s="9" t="s">
        <v>141</v>
      </c>
      <c r="G419" s="9" t="s">
        <v>142</v>
      </c>
      <c r="H419" s="9" t="s">
        <v>139</v>
      </c>
      <c r="I419" s="9" t="s">
        <v>143</v>
      </c>
      <c r="J419" s="9" t="s">
        <v>139</v>
      </c>
      <c r="K419" s="10">
        <v>37104</v>
      </c>
    </row>
    <row r="420" spans="1:11" x14ac:dyDescent="0.25">
      <c r="A420" s="8">
        <v>828</v>
      </c>
      <c r="B420" s="9" t="s">
        <v>5262</v>
      </c>
      <c r="C420" s="9" t="s">
        <v>830</v>
      </c>
      <c r="D420" s="9" t="s">
        <v>139</v>
      </c>
      <c r="E420" s="9" t="s">
        <v>581</v>
      </c>
      <c r="F420" s="9" t="s">
        <v>831</v>
      </c>
      <c r="G420" s="9" t="s">
        <v>142</v>
      </c>
      <c r="H420" s="9" t="s">
        <v>139</v>
      </c>
      <c r="I420" s="9" t="s">
        <v>411</v>
      </c>
      <c r="J420" s="9" t="s">
        <v>139</v>
      </c>
      <c r="K420" s="10">
        <v>37104</v>
      </c>
    </row>
    <row r="421" spans="1:11" x14ac:dyDescent="0.25">
      <c r="A421" s="8">
        <v>829</v>
      </c>
      <c r="B421" s="9" t="s">
        <v>8816</v>
      </c>
      <c r="C421" s="9" t="s">
        <v>832</v>
      </c>
      <c r="D421" s="9" t="s">
        <v>139</v>
      </c>
      <c r="E421" s="9" t="s">
        <v>306</v>
      </c>
      <c r="F421" s="9" t="s">
        <v>141</v>
      </c>
      <c r="G421" s="9" t="s">
        <v>142</v>
      </c>
      <c r="H421" s="9" t="s">
        <v>139</v>
      </c>
      <c r="I421" s="9" t="s">
        <v>143</v>
      </c>
      <c r="J421" s="9" t="s">
        <v>139</v>
      </c>
      <c r="K421" s="10">
        <v>37104</v>
      </c>
    </row>
    <row r="422" spans="1:11" x14ac:dyDescent="0.25">
      <c r="A422" s="8">
        <v>830</v>
      </c>
      <c r="B422" s="9" t="s">
        <v>8817</v>
      </c>
      <c r="C422" s="9" t="s">
        <v>833</v>
      </c>
      <c r="D422" s="9" t="s">
        <v>139</v>
      </c>
      <c r="E422" s="9" t="s">
        <v>286</v>
      </c>
      <c r="F422" s="9" t="s">
        <v>141</v>
      </c>
      <c r="G422" s="9" t="s">
        <v>142</v>
      </c>
      <c r="H422" s="9" t="s">
        <v>139</v>
      </c>
      <c r="I422" s="9" t="s">
        <v>143</v>
      </c>
      <c r="J422" s="9" t="s">
        <v>139</v>
      </c>
      <c r="K422" s="10">
        <v>37104</v>
      </c>
    </row>
    <row r="423" spans="1:11" x14ac:dyDescent="0.25">
      <c r="A423" s="8">
        <v>831</v>
      </c>
      <c r="B423" s="9" t="s">
        <v>8818</v>
      </c>
      <c r="C423" s="9" t="s">
        <v>834</v>
      </c>
      <c r="D423" s="9" t="s">
        <v>5234</v>
      </c>
      <c r="E423" s="9" t="s">
        <v>835</v>
      </c>
      <c r="F423" s="9" t="s">
        <v>836</v>
      </c>
      <c r="G423" s="9" t="s">
        <v>142</v>
      </c>
      <c r="H423" s="9" t="s">
        <v>139</v>
      </c>
      <c r="I423" s="9" t="s">
        <v>143</v>
      </c>
      <c r="J423" s="9" t="s">
        <v>139</v>
      </c>
      <c r="K423" s="10">
        <v>37104</v>
      </c>
    </row>
    <row r="424" spans="1:11" x14ac:dyDescent="0.25">
      <c r="A424" s="8">
        <v>832</v>
      </c>
      <c r="B424" s="9" t="s">
        <v>8819</v>
      </c>
      <c r="C424" s="9" t="s">
        <v>837</v>
      </c>
      <c r="D424" s="9" t="s">
        <v>139</v>
      </c>
      <c r="E424" s="9" t="s">
        <v>229</v>
      </c>
      <c r="F424" s="9" t="s">
        <v>141</v>
      </c>
      <c r="G424" s="9" t="s">
        <v>142</v>
      </c>
      <c r="H424" s="9" t="s">
        <v>139</v>
      </c>
      <c r="I424" s="9" t="s">
        <v>143</v>
      </c>
      <c r="J424" s="9" t="s">
        <v>139</v>
      </c>
      <c r="K424" s="10">
        <v>37104</v>
      </c>
    </row>
    <row r="425" spans="1:11" x14ac:dyDescent="0.25">
      <c r="A425" s="8">
        <v>833</v>
      </c>
      <c r="B425" s="9" t="s">
        <v>8820</v>
      </c>
      <c r="C425" s="9" t="s">
        <v>838</v>
      </c>
      <c r="D425" s="9" t="s">
        <v>139</v>
      </c>
      <c r="E425" s="9" t="s">
        <v>328</v>
      </c>
      <c r="F425" s="9" t="s">
        <v>141</v>
      </c>
      <c r="G425" s="9" t="s">
        <v>142</v>
      </c>
      <c r="H425" s="9" t="s">
        <v>139</v>
      </c>
      <c r="I425" s="9" t="s">
        <v>143</v>
      </c>
      <c r="J425" s="9" t="s">
        <v>139</v>
      </c>
      <c r="K425" s="10">
        <v>37104</v>
      </c>
    </row>
    <row r="426" spans="1:11" x14ac:dyDescent="0.25">
      <c r="A426" s="8">
        <v>834</v>
      </c>
      <c r="B426" s="9" t="s">
        <v>8821</v>
      </c>
      <c r="C426" s="9" t="s">
        <v>839</v>
      </c>
      <c r="D426" s="9" t="s">
        <v>139</v>
      </c>
      <c r="E426" s="9" t="s">
        <v>328</v>
      </c>
      <c r="F426" s="9" t="s">
        <v>141</v>
      </c>
      <c r="G426" s="9" t="s">
        <v>142</v>
      </c>
      <c r="H426" s="9" t="s">
        <v>139</v>
      </c>
      <c r="I426" s="9" t="s">
        <v>143</v>
      </c>
      <c r="J426" s="9" t="s">
        <v>139</v>
      </c>
      <c r="K426" s="10">
        <v>37104</v>
      </c>
    </row>
    <row r="427" spans="1:11" x14ac:dyDescent="0.25">
      <c r="A427" s="8">
        <v>837</v>
      </c>
      <c r="B427" s="9" t="s">
        <v>8822</v>
      </c>
      <c r="C427" s="9" t="s">
        <v>840</v>
      </c>
      <c r="D427" s="9" t="s">
        <v>139</v>
      </c>
      <c r="E427" s="9" t="s">
        <v>163</v>
      </c>
      <c r="F427" s="9" t="s">
        <v>141</v>
      </c>
      <c r="G427" s="9" t="s">
        <v>142</v>
      </c>
      <c r="H427" s="9" t="s">
        <v>139</v>
      </c>
      <c r="I427" s="9" t="s">
        <v>143</v>
      </c>
      <c r="J427" s="9" t="s">
        <v>139</v>
      </c>
      <c r="K427" s="10">
        <v>37104</v>
      </c>
    </row>
    <row r="428" spans="1:11" x14ac:dyDescent="0.25">
      <c r="A428" s="8">
        <v>838</v>
      </c>
      <c r="B428" s="9" t="s">
        <v>8823</v>
      </c>
      <c r="C428" s="9" t="s">
        <v>842</v>
      </c>
      <c r="D428" s="9" t="s">
        <v>139</v>
      </c>
      <c r="E428" s="9" t="s">
        <v>197</v>
      </c>
      <c r="F428" s="9" t="s">
        <v>141</v>
      </c>
      <c r="G428" s="9" t="s">
        <v>142</v>
      </c>
      <c r="H428" s="9" t="s">
        <v>139</v>
      </c>
      <c r="I428" s="9" t="s">
        <v>143</v>
      </c>
      <c r="J428" s="9" t="s">
        <v>139</v>
      </c>
      <c r="K428" s="10">
        <v>37104</v>
      </c>
    </row>
    <row r="429" spans="1:11" x14ac:dyDescent="0.25">
      <c r="A429" s="8">
        <v>839</v>
      </c>
      <c r="B429" s="9" t="s">
        <v>8824</v>
      </c>
      <c r="C429" s="9" t="s">
        <v>843</v>
      </c>
      <c r="D429" s="9" t="s">
        <v>139</v>
      </c>
      <c r="E429" s="9" t="s">
        <v>328</v>
      </c>
      <c r="F429" s="9" t="s">
        <v>141</v>
      </c>
      <c r="G429" s="9" t="s">
        <v>142</v>
      </c>
      <c r="H429" s="9" t="s">
        <v>139</v>
      </c>
      <c r="I429" s="9" t="s">
        <v>143</v>
      </c>
      <c r="J429" s="9" t="s">
        <v>139</v>
      </c>
      <c r="K429" s="10">
        <v>37104</v>
      </c>
    </row>
    <row r="430" spans="1:11" x14ac:dyDescent="0.25">
      <c r="A430" s="8">
        <v>840</v>
      </c>
      <c r="B430" s="9" t="s">
        <v>5263</v>
      </c>
      <c r="C430" s="9" t="s">
        <v>844</v>
      </c>
      <c r="D430" s="9" t="s">
        <v>139</v>
      </c>
      <c r="E430" s="9" t="s">
        <v>140</v>
      </c>
      <c r="F430" s="9" t="s">
        <v>141</v>
      </c>
      <c r="G430" s="9" t="s">
        <v>142</v>
      </c>
      <c r="H430" s="9" t="s">
        <v>166</v>
      </c>
      <c r="I430" s="9" t="s">
        <v>411</v>
      </c>
      <c r="J430" s="9" t="s">
        <v>139</v>
      </c>
      <c r="K430" s="10">
        <v>37104</v>
      </c>
    </row>
    <row r="431" spans="1:11" x14ac:dyDescent="0.25">
      <c r="A431" s="8">
        <v>841</v>
      </c>
      <c r="B431" s="9" t="s">
        <v>8825</v>
      </c>
      <c r="C431" s="9" t="s">
        <v>845</v>
      </c>
      <c r="D431" s="9" t="s">
        <v>139</v>
      </c>
      <c r="E431" s="9" t="s">
        <v>229</v>
      </c>
      <c r="F431" s="9" t="s">
        <v>141</v>
      </c>
      <c r="G431" s="9" t="s">
        <v>142</v>
      </c>
      <c r="H431" s="9" t="s">
        <v>166</v>
      </c>
      <c r="I431" s="9" t="s">
        <v>143</v>
      </c>
      <c r="J431" s="9" t="s">
        <v>139</v>
      </c>
      <c r="K431" s="10">
        <v>37104</v>
      </c>
    </row>
    <row r="432" spans="1:11" x14ac:dyDescent="0.25">
      <c r="A432" s="8">
        <v>842</v>
      </c>
      <c r="B432" s="9" t="s">
        <v>8826</v>
      </c>
      <c r="C432" s="9" t="s">
        <v>846</v>
      </c>
      <c r="D432" s="9" t="s">
        <v>139</v>
      </c>
      <c r="E432" s="9" t="s">
        <v>218</v>
      </c>
      <c r="F432" s="9" t="s">
        <v>141</v>
      </c>
      <c r="G432" s="9" t="s">
        <v>142</v>
      </c>
      <c r="H432" s="9" t="s">
        <v>139</v>
      </c>
      <c r="I432" s="9" t="s">
        <v>143</v>
      </c>
      <c r="J432" s="9" t="s">
        <v>139</v>
      </c>
      <c r="K432" s="10">
        <v>37104</v>
      </c>
    </row>
    <row r="433" spans="1:11" x14ac:dyDescent="0.25">
      <c r="A433" s="8">
        <v>843</v>
      </c>
      <c r="B433" s="9" t="s">
        <v>8827</v>
      </c>
      <c r="C433" s="9" t="s">
        <v>847</v>
      </c>
      <c r="D433" s="9" t="s">
        <v>139</v>
      </c>
      <c r="E433" s="9" t="s">
        <v>848</v>
      </c>
      <c r="F433" s="9" t="s">
        <v>849</v>
      </c>
      <c r="G433" s="9" t="s">
        <v>142</v>
      </c>
      <c r="H433" s="9" t="s">
        <v>139</v>
      </c>
      <c r="I433" s="9" t="s">
        <v>143</v>
      </c>
      <c r="J433" s="9" t="s">
        <v>139</v>
      </c>
      <c r="K433" s="10">
        <v>37104</v>
      </c>
    </row>
    <row r="434" spans="1:11" x14ac:dyDescent="0.25">
      <c r="A434" s="8">
        <v>844</v>
      </c>
      <c r="B434" s="9" t="s">
        <v>8828</v>
      </c>
      <c r="C434" s="9" t="s">
        <v>850</v>
      </c>
      <c r="D434" s="9" t="s">
        <v>139</v>
      </c>
      <c r="E434" s="9" t="s">
        <v>180</v>
      </c>
      <c r="F434" s="9" t="s">
        <v>141</v>
      </c>
      <c r="G434" s="9" t="s">
        <v>142</v>
      </c>
      <c r="H434" s="9" t="s">
        <v>139</v>
      </c>
      <c r="I434" s="9" t="s">
        <v>143</v>
      </c>
      <c r="J434" s="9" t="s">
        <v>139</v>
      </c>
      <c r="K434" s="10">
        <v>37104</v>
      </c>
    </row>
    <row r="435" spans="1:11" x14ac:dyDescent="0.25">
      <c r="A435" s="8">
        <v>845</v>
      </c>
      <c r="B435" s="9" t="s">
        <v>8829</v>
      </c>
      <c r="C435" s="9" t="s">
        <v>851</v>
      </c>
      <c r="D435" s="9" t="s">
        <v>139</v>
      </c>
      <c r="E435" s="9" t="s">
        <v>249</v>
      </c>
      <c r="F435" s="9" t="s">
        <v>250</v>
      </c>
      <c r="G435" s="9" t="s">
        <v>142</v>
      </c>
      <c r="H435" s="9" t="s">
        <v>139</v>
      </c>
      <c r="I435" s="9" t="s">
        <v>143</v>
      </c>
      <c r="J435" s="9" t="s">
        <v>139</v>
      </c>
      <c r="K435" s="10">
        <v>37104</v>
      </c>
    </row>
    <row r="436" spans="1:11" x14ac:dyDescent="0.25">
      <c r="A436" s="8">
        <v>846</v>
      </c>
      <c r="B436" s="9" t="s">
        <v>8830</v>
      </c>
      <c r="C436" s="9" t="s">
        <v>852</v>
      </c>
      <c r="D436" s="9" t="s">
        <v>139</v>
      </c>
      <c r="E436" s="9" t="s">
        <v>180</v>
      </c>
      <c r="F436" s="9" t="s">
        <v>141</v>
      </c>
      <c r="G436" s="9" t="s">
        <v>142</v>
      </c>
      <c r="H436" s="9" t="s">
        <v>139</v>
      </c>
      <c r="I436" s="9" t="s">
        <v>143</v>
      </c>
      <c r="J436" s="9" t="s">
        <v>139</v>
      </c>
      <c r="K436" s="10">
        <v>37104</v>
      </c>
    </row>
    <row r="437" spans="1:11" x14ac:dyDescent="0.25">
      <c r="A437" s="8">
        <v>847</v>
      </c>
      <c r="B437" s="9" t="s">
        <v>8831</v>
      </c>
      <c r="C437" s="9" t="s">
        <v>853</v>
      </c>
      <c r="D437" s="9" t="s">
        <v>139</v>
      </c>
      <c r="E437" s="9" t="s">
        <v>229</v>
      </c>
      <c r="F437" s="9" t="s">
        <v>141</v>
      </c>
      <c r="G437" s="9" t="s">
        <v>142</v>
      </c>
      <c r="H437" s="9" t="s">
        <v>139</v>
      </c>
      <c r="I437" s="9" t="s">
        <v>143</v>
      </c>
      <c r="J437" s="9" t="s">
        <v>139</v>
      </c>
      <c r="K437" s="10">
        <v>37104</v>
      </c>
    </row>
    <row r="438" spans="1:11" x14ac:dyDescent="0.25">
      <c r="A438" s="8">
        <v>848</v>
      </c>
      <c r="B438" s="9" t="s">
        <v>8832</v>
      </c>
      <c r="C438" s="9" t="s">
        <v>854</v>
      </c>
      <c r="D438" s="9" t="s">
        <v>139</v>
      </c>
      <c r="E438" s="9" t="s">
        <v>855</v>
      </c>
      <c r="F438" s="9" t="s">
        <v>856</v>
      </c>
      <c r="G438" s="9" t="s">
        <v>142</v>
      </c>
      <c r="H438" s="9" t="s">
        <v>166</v>
      </c>
      <c r="I438" s="9" t="s">
        <v>143</v>
      </c>
      <c r="J438" s="9" t="s">
        <v>139</v>
      </c>
      <c r="K438" s="10">
        <v>37104</v>
      </c>
    </row>
    <row r="439" spans="1:11" x14ac:dyDescent="0.25">
      <c r="A439" s="8">
        <v>853</v>
      </c>
      <c r="B439" s="9" t="s">
        <v>5264</v>
      </c>
      <c r="C439" s="9" t="s">
        <v>139</v>
      </c>
      <c r="D439" s="9" t="s">
        <v>139</v>
      </c>
      <c r="E439" s="25">
        <v>75000</v>
      </c>
      <c r="F439" s="9" t="s">
        <v>141</v>
      </c>
      <c r="G439" s="9" t="s">
        <v>142</v>
      </c>
      <c r="H439" s="9" t="s">
        <v>139</v>
      </c>
      <c r="I439" s="9" t="s">
        <v>411</v>
      </c>
      <c r="J439" s="9" t="s">
        <v>139</v>
      </c>
      <c r="K439" s="10">
        <v>37104</v>
      </c>
    </row>
    <row r="440" spans="1:11" x14ac:dyDescent="0.25">
      <c r="A440" s="8">
        <v>854</v>
      </c>
      <c r="B440" s="9" t="s">
        <v>8833</v>
      </c>
      <c r="C440" s="9" t="s">
        <v>139</v>
      </c>
      <c r="D440" s="9" t="s">
        <v>139</v>
      </c>
      <c r="E440" s="25">
        <v>75000</v>
      </c>
      <c r="F440" s="9" t="s">
        <v>141</v>
      </c>
      <c r="G440" s="9" t="s">
        <v>142</v>
      </c>
      <c r="H440" s="9" t="s">
        <v>321</v>
      </c>
      <c r="I440" s="9" t="s">
        <v>143</v>
      </c>
      <c r="J440" s="9" t="s">
        <v>139</v>
      </c>
      <c r="K440" s="10">
        <v>37104</v>
      </c>
    </row>
    <row r="441" spans="1:11" x14ac:dyDescent="0.25">
      <c r="A441" s="8">
        <v>855</v>
      </c>
      <c r="B441" s="9" t="s">
        <v>5265</v>
      </c>
      <c r="C441" s="9" t="s">
        <v>139</v>
      </c>
      <c r="D441" s="9" t="s">
        <v>139</v>
      </c>
      <c r="E441" s="25">
        <v>75000</v>
      </c>
      <c r="F441" s="9" t="s">
        <v>141</v>
      </c>
      <c r="G441" s="9" t="s">
        <v>142</v>
      </c>
      <c r="H441" s="9" t="s">
        <v>139</v>
      </c>
      <c r="I441" s="9" t="s">
        <v>411</v>
      </c>
      <c r="J441" s="9" t="s">
        <v>139</v>
      </c>
      <c r="K441" s="10">
        <v>37104</v>
      </c>
    </row>
    <row r="442" spans="1:11" x14ac:dyDescent="0.25">
      <c r="A442" s="8">
        <v>856</v>
      </c>
      <c r="B442" s="9" t="s">
        <v>5266</v>
      </c>
      <c r="C442" s="9" t="s">
        <v>139</v>
      </c>
      <c r="D442" s="9" t="s">
        <v>139</v>
      </c>
      <c r="E442" s="25">
        <v>75000</v>
      </c>
      <c r="F442" s="9" t="s">
        <v>141</v>
      </c>
      <c r="G442" s="9" t="s">
        <v>142</v>
      </c>
      <c r="H442" s="9" t="s">
        <v>139</v>
      </c>
      <c r="I442" s="9" t="s">
        <v>411</v>
      </c>
      <c r="J442" s="9" t="s">
        <v>139</v>
      </c>
      <c r="K442" s="10">
        <v>37104</v>
      </c>
    </row>
    <row r="443" spans="1:11" x14ac:dyDescent="0.25">
      <c r="A443" s="8">
        <v>857</v>
      </c>
      <c r="B443" s="9" t="s">
        <v>5267</v>
      </c>
      <c r="C443" s="9" t="s">
        <v>139</v>
      </c>
      <c r="D443" s="9" t="s">
        <v>139</v>
      </c>
      <c r="E443" s="25">
        <v>75000</v>
      </c>
      <c r="F443" s="9" t="s">
        <v>141</v>
      </c>
      <c r="G443" s="9" t="s">
        <v>142</v>
      </c>
      <c r="H443" s="9" t="s">
        <v>139</v>
      </c>
      <c r="I443" s="9" t="s">
        <v>411</v>
      </c>
      <c r="J443" s="9" t="s">
        <v>139</v>
      </c>
      <c r="K443" s="10">
        <v>37104</v>
      </c>
    </row>
    <row r="444" spans="1:11" x14ac:dyDescent="0.25">
      <c r="A444" s="8">
        <v>858</v>
      </c>
      <c r="B444" s="9" t="s">
        <v>5268</v>
      </c>
      <c r="C444" s="9" t="s">
        <v>139</v>
      </c>
      <c r="D444" s="9" t="s">
        <v>139</v>
      </c>
      <c r="E444" s="25">
        <v>75000</v>
      </c>
      <c r="F444" s="9" t="s">
        <v>141</v>
      </c>
      <c r="G444" s="9" t="s">
        <v>142</v>
      </c>
      <c r="H444" s="9" t="s">
        <v>139</v>
      </c>
      <c r="I444" s="9" t="s">
        <v>411</v>
      </c>
      <c r="J444" s="9" t="s">
        <v>139</v>
      </c>
      <c r="K444" s="10">
        <v>37104</v>
      </c>
    </row>
    <row r="445" spans="1:11" x14ac:dyDescent="0.25">
      <c r="A445" s="8">
        <v>859</v>
      </c>
      <c r="B445" s="9" t="s">
        <v>5269</v>
      </c>
      <c r="C445" s="9" t="s">
        <v>139</v>
      </c>
      <c r="D445" s="9" t="s">
        <v>139</v>
      </c>
      <c r="E445" s="25">
        <v>75000</v>
      </c>
      <c r="F445" s="9" t="s">
        <v>141</v>
      </c>
      <c r="G445" s="9" t="s">
        <v>142</v>
      </c>
      <c r="H445" s="9" t="s">
        <v>139</v>
      </c>
      <c r="I445" s="9" t="s">
        <v>411</v>
      </c>
      <c r="J445" s="9" t="s">
        <v>139</v>
      </c>
      <c r="K445" s="10">
        <v>37104</v>
      </c>
    </row>
    <row r="446" spans="1:11" x14ac:dyDescent="0.25">
      <c r="A446" s="8">
        <v>861</v>
      </c>
      <c r="B446" s="9" t="s">
        <v>5270</v>
      </c>
      <c r="C446" s="9" t="s">
        <v>139</v>
      </c>
      <c r="D446" s="9" t="s">
        <v>139</v>
      </c>
      <c r="E446" s="25">
        <v>75000</v>
      </c>
      <c r="F446" s="9" t="s">
        <v>141</v>
      </c>
      <c r="G446" s="9" t="s">
        <v>142</v>
      </c>
      <c r="H446" s="9" t="s">
        <v>139</v>
      </c>
      <c r="I446" s="9" t="s">
        <v>411</v>
      </c>
      <c r="J446" s="9" t="s">
        <v>139</v>
      </c>
      <c r="K446" s="10">
        <v>37104</v>
      </c>
    </row>
    <row r="447" spans="1:11" x14ac:dyDescent="0.25">
      <c r="A447" s="8">
        <v>863</v>
      </c>
      <c r="B447" s="9" t="s">
        <v>5271</v>
      </c>
      <c r="C447" s="9" t="s">
        <v>857</v>
      </c>
      <c r="D447" s="9" t="s">
        <v>139</v>
      </c>
      <c r="E447" s="9" t="s">
        <v>858</v>
      </c>
      <c r="F447" s="9" t="s">
        <v>859</v>
      </c>
      <c r="G447" s="9" t="s">
        <v>142</v>
      </c>
      <c r="H447" s="9" t="s">
        <v>139</v>
      </c>
      <c r="I447" s="9" t="s">
        <v>411</v>
      </c>
      <c r="J447" s="9" t="s">
        <v>139</v>
      </c>
      <c r="K447" s="10">
        <v>37104</v>
      </c>
    </row>
    <row r="448" spans="1:11" x14ac:dyDescent="0.25">
      <c r="A448" s="8">
        <v>864</v>
      </c>
      <c r="B448" s="9" t="s">
        <v>5272</v>
      </c>
      <c r="C448" s="9" t="s">
        <v>860</v>
      </c>
      <c r="D448" s="9" t="s">
        <v>139</v>
      </c>
      <c r="E448" s="9" t="s">
        <v>861</v>
      </c>
      <c r="F448" s="9" t="s">
        <v>862</v>
      </c>
      <c r="G448" s="9" t="s">
        <v>863</v>
      </c>
      <c r="H448" s="9" t="s">
        <v>139</v>
      </c>
      <c r="I448" s="9" t="s">
        <v>411</v>
      </c>
      <c r="J448" s="9" t="s">
        <v>139</v>
      </c>
      <c r="K448" s="10">
        <v>37104</v>
      </c>
    </row>
    <row r="449" spans="1:11" x14ac:dyDescent="0.25">
      <c r="A449" s="8">
        <v>868</v>
      </c>
      <c r="B449" s="9" t="s">
        <v>5273</v>
      </c>
      <c r="C449" s="9" t="s">
        <v>864</v>
      </c>
      <c r="D449" s="9" t="s">
        <v>139</v>
      </c>
      <c r="E449" s="9" t="s">
        <v>865</v>
      </c>
      <c r="F449" s="9" t="s">
        <v>866</v>
      </c>
      <c r="G449" s="9" t="s">
        <v>142</v>
      </c>
      <c r="H449" s="9" t="s">
        <v>241</v>
      </c>
      <c r="I449" s="9" t="s">
        <v>411</v>
      </c>
      <c r="J449" s="9" t="s">
        <v>139</v>
      </c>
      <c r="K449" s="10">
        <v>37104</v>
      </c>
    </row>
    <row r="450" spans="1:11" x14ac:dyDescent="0.25">
      <c r="A450" s="8">
        <v>870</v>
      </c>
      <c r="B450" s="9" t="s">
        <v>5274</v>
      </c>
      <c r="C450" s="9" t="s">
        <v>867</v>
      </c>
      <c r="D450" s="9" t="s">
        <v>139</v>
      </c>
      <c r="E450" s="9" t="s">
        <v>868</v>
      </c>
      <c r="F450" s="9" t="s">
        <v>869</v>
      </c>
      <c r="G450" s="9" t="s">
        <v>142</v>
      </c>
      <c r="H450" s="9" t="s">
        <v>139</v>
      </c>
      <c r="I450" s="9" t="s">
        <v>411</v>
      </c>
      <c r="J450" s="9" t="s">
        <v>139</v>
      </c>
      <c r="K450" s="10">
        <v>37104</v>
      </c>
    </row>
    <row r="451" spans="1:11" x14ac:dyDescent="0.25">
      <c r="A451" s="8">
        <v>872</v>
      </c>
      <c r="B451" s="9" t="s">
        <v>5275</v>
      </c>
      <c r="C451" s="9" t="s">
        <v>870</v>
      </c>
      <c r="D451" s="9" t="s">
        <v>139</v>
      </c>
      <c r="E451" s="9" t="s">
        <v>871</v>
      </c>
      <c r="F451" s="9" t="s">
        <v>872</v>
      </c>
      <c r="G451" s="9" t="s">
        <v>873</v>
      </c>
      <c r="H451" s="9" t="s">
        <v>139</v>
      </c>
      <c r="I451" s="9" t="s">
        <v>411</v>
      </c>
      <c r="J451" s="9" t="s">
        <v>139</v>
      </c>
      <c r="K451" s="10">
        <v>37104</v>
      </c>
    </row>
    <row r="452" spans="1:11" x14ac:dyDescent="0.25">
      <c r="A452" s="8">
        <v>873</v>
      </c>
      <c r="B452" s="9" t="s">
        <v>5276</v>
      </c>
      <c r="C452" s="9" t="s">
        <v>874</v>
      </c>
      <c r="D452" s="9" t="s">
        <v>139</v>
      </c>
      <c r="E452" s="9" t="s">
        <v>306</v>
      </c>
      <c r="F452" s="9" t="s">
        <v>141</v>
      </c>
      <c r="G452" s="9" t="s">
        <v>142</v>
      </c>
      <c r="H452" s="9" t="s">
        <v>139</v>
      </c>
      <c r="I452" s="9" t="s">
        <v>411</v>
      </c>
      <c r="J452" s="9" t="s">
        <v>139</v>
      </c>
      <c r="K452" s="10">
        <v>37104</v>
      </c>
    </row>
    <row r="453" spans="1:11" x14ac:dyDescent="0.25">
      <c r="A453" s="8">
        <v>874</v>
      </c>
      <c r="B453" s="9" t="s">
        <v>5277</v>
      </c>
      <c r="C453" s="9" t="s">
        <v>875</v>
      </c>
      <c r="D453" s="9" t="s">
        <v>139</v>
      </c>
      <c r="E453" s="9" t="s">
        <v>876</v>
      </c>
      <c r="F453" s="9" t="s">
        <v>877</v>
      </c>
      <c r="G453" s="9" t="s">
        <v>142</v>
      </c>
      <c r="H453" s="9" t="s">
        <v>139</v>
      </c>
      <c r="I453" s="9" t="s">
        <v>411</v>
      </c>
      <c r="J453" s="9" t="s">
        <v>878</v>
      </c>
      <c r="K453" s="10">
        <v>37104</v>
      </c>
    </row>
    <row r="454" spans="1:11" x14ac:dyDescent="0.25">
      <c r="A454" s="8">
        <v>875</v>
      </c>
      <c r="B454" s="9" t="s">
        <v>5278</v>
      </c>
      <c r="C454" s="9" t="s">
        <v>879</v>
      </c>
      <c r="D454" s="9" t="s">
        <v>139</v>
      </c>
      <c r="E454" s="9" t="s">
        <v>880</v>
      </c>
      <c r="F454" s="9" t="s">
        <v>881</v>
      </c>
      <c r="G454" s="9" t="s">
        <v>882</v>
      </c>
      <c r="H454" s="9" t="s">
        <v>139</v>
      </c>
      <c r="I454" s="9" t="s">
        <v>411</v>
      </c>
      <c r="J454" s="9" t="s">
        <v>883</v>
      </c>
      <c r="K454" s="10">
        <v>37104</v>
      </c>
    </row>
    <row r="455" spans="1:11" x14ac:dyDescent="0.25">
      <c r="A455" s="8">
        <v>879</v>
      </c>
      <c r="B455" s="9" t="s">
        <v>5279</v>
      </c>
      <c r="C455" s="9" t="s">
        <v>884</v>
      </c>
      <c r="D455" s="9" t="s">
        <v>139</v>
      </c>
      <c r="E455" s="9" t="s">
        <v>885</v>
      </c>
      <c r="F455" s="9" t="s">
        <v>886</v>
      </c>
      <c r="G455" s="9" t="s">
        <v>142</v>
      </c>
      <c r="H455" s="9" t="s">
        <v>166</v>
      </c>
      <c r="I455" s="9" t="s">
        <v>411</v>
      </c>
      <c r="J455" s="9" t="s">
        <v>887</v>
      </c>
      <c r="K455" s="10">
        <v>37104</v>
      </c>
    </row>
    <row r="456" spans="1:11" x14ac:dyDescent="0.25">
      <c r="A456" s="8">
        <v>880</v>
      </c>
      <c r="B456" s="9" t="s">
        <v>5280</v>
      </c>
      <c r="C456" s="9" t="s">
        <v>888</v>
      </c>
      <c r="D456" s="9" t="s">
        <v>139</v>
      </c>
      <c r="E456" s="9" t="s">
        <v>889</v>
      </c>
      <c r="F456" s="9" t="s">
        <v>890</v>
      </c>
      <c r="G456" s="9" t="s">
        <v>142</v>
      </c>
      <c r="H456" s="9" t="s">
        <v>139</v>
      </c>
      <c r="I456" s="9" t="s">
        <v>411</v>
      </c>
      <c r="J456" s="9" t="s">
        <v>139</v>
      </c>
      <c r="K456" s="10">
        <v>37104</v>
      </c>
    </row>
    <row r="457" spans="1:11" x14ac:dyDescent="0.25">
      <c r="A457" s="8">
        <v>882</v>
      </c>
      <c r="B457" s="9" t="s">
        <v>5281</v>
      </c>
      <c r="C457" s="9" t="s">
        <v>891</v>
      </c>
      <c r="D457" s="9" t="s">
        <v>139</v>
      </c>
      <c r="E457" s="9" t="s">
        <v>892</v>
      </c>
      <c r="F457" s="9" t="s">
        <v>893</v>
      </c>
      <c r="G457" s="9" t="s">
        <v>142</v>
      </c>
      <c r="H457" s="9" t="s">
        <v>139</v>
      </c>
      <c r="I457" s="9" t="s">
        <v>411</v>
      </c>
      <c r="J457" s="9" t="s">
        <v>139</v>
      </c>
      <c r="K457" s="10">
        <v>37104</v>
      </c>
    </row>
    <row r="458" spans="1:11" x14ac:dyDescent="0.25">
      <c r="A458" s="8">
        <v>885</v>
      </c>
      <c r="B458" s="9" t="s">
        <v>5282</v>
      </c>
      <c r="C458" s="9" t="s">
        <v>894</v>
      </c>
      <c r="D458" s="9" t="s">
        <v>139</v>
      </c>
      <c r="E458" s="9" t="s">
        <v>895</v>
      </c>
      <c r="F458" s="9" t="s">
        <v>896</v>
      </c>
      <c r="G458" s="9" t="s">
        <v>897</v>
      </c>
      <c r="H458" s="9" t="s">
        <v>139</v>
      </c>
      <c r="I458" s="9" t="s">
        <v>411</v>
      </c>
      <c r="J458" s="9" t="s">
        <v>139</v>
      </c>
      <c r="K458" s="10">
        <v>37104</v>
      </c>
    </row>
    <row r="459" spans="1:11" x14ac:dyDescent="0.25">
      <c r="A459" s="8">
        <v>886</v>
      </c>
      <c r="B459" s="9" t="s">
        <v>5283</v>
      </c>
      <c r="C459" s="9" t="s">
        <v>898</v>
      </c>
      <c r="D459" s="9" t="s">
        <v>139</v>
      </c>
      <c r="E459" s="9" t="s">
        <v>899</v>
      </c>
      <c r="F459" s="9" t="s">
        <v>900</v>
      </c>
      <c r="G459" s="9" t="s">
        <v>142</v>
      </c>
      <c r="H459" s="9" t="s">
        <v>139</v>
      </c>
      <c r="I459" s="9" t="s">
        <v>411</v>
      </c>
      <c r="J459" s="9" t="s">
        <v>139</v>
      </c>
      <c r="K459" s="10">
        <v>37104</v>
      </c>
    </row>
    <row r="460" spans="1:11" x14ac:dyDescent="0.25">
      <c r="A460" s="8">
        <v>887</v>
      </c>
      <c r="B460" s="9" t="s">
        <v>5284</v>
      </c>
      <c r="C460" s="9" t="s">
        <v>901</v>
      </c>
      <c r="D460" s="9" t="s">
        <v>139</v>
      </c>
      <c r="E460" s="9" t="s">
        <v>145</v>
      </c>
      <c r="F460" s="9" t="s">
        <v>141</v>
      </c>
      <c r="G460" s="9" t="s">
        <v>142</v>
      </c>
      <c r="H460" s="9" t="s">
        <v>139</v>
      </c>
      <c r="I460" s="9" t="s">
        <v>411</v>
      </c>
      <c r="J460" s="9" t="s">
        <v>902</v>
      </c>
      <c r="K460" s="10">
        <v>37104</v>
      </c>
    </row>
    <row r="461" spans="1:11" x14ac:dyDescent="0.25">
      <c r="A461" s="8">
        <v>888</v>
      </c>
      <c r="B461" s="9" t="s">
        <v>5285</v>
      </c>
      <c r="C461" s="9" t="s">
        <v>139</v>
      </c>
      <c r="D461" s="9" t="s">
        <v>139</v>
      </c>
      <c r="E461" s="9" t="s">
        <v>903</v>
      </c>
      <c r="F461" s="9" t="s">
        <v>904</v>
      </c>
      <c r="G461" s="9" t="s">
        <v>142</v>
      </c>
      <c r="H461" s="9" t="s">
        <v>139</v>
      </c>
      <c r="I461" s="9" t="s">
        <v>411</v>
      </c>
      <c r="J461" s="9" t="s">
        <v>139</v>
      </c>
      <c r="K461" s="10">
        <v>37104</v>
      </c>
    </row>
    <row r="462" spans="1:11" x14ac:dyDescent="0.25">
      <c r="A462" s="8">
        <v>891</v>
      </c>
      <c r="B462" s="9" t="s">
        <v>5286</v>
      </c>
      <c r="C462" s="9" t="s">
        <v>905</v>
      </c>
      <c r="D462" s="9" t="s">
        <v>139</v>
      </c>
      <c r="E462" s="9" t="s">
        <v>906</v>
      </c>
      <c r="F462" s="9" t="s">
        <v>907</v>
      </c>
      <c r="G462" s="9" t="s">
        <v>142</v>
      </c>
      <c r="H462" s="9" t="s">
        <v>258</v>
      </c>
      <c r="I462" s="9" t="s">
        <v>411</v>
      </c>
      <c r="J462" s="9" t="s">
        <v>139</v>
      </c>
      <c r="K462" s="10">
        <v>37104</v>
      </c>
    </row>
    <row r="463" spans="1:11" x14ac:dyDescent="0.25">
      <c r="A463" s="8">
        <v>895</v>
      </c>
      <c r="B463" s="9" t="s">
        <v>5287</v>
      </c>
      <c r="C463" s="9" t="s">
        <v>908</v>
      </c>
      <c r="D463" s="9" t="s">
        <v>139</v>
      </c>
      <c r="E463" s="9" t="s">
        <v>775</v>
      </c>
      <c r="F463" s="9" t="s">
        <v>776</v>
      </c>
      <c r="G463" s="9" t="s">
        <v>142</v>
      </c>
      <c r="H463" s="9" t="s">
        <v>139</v>
      </c>
      <c r="I463" s="9" t="s">
        <v>411</v>
      </c>
      <c r="J463" s="9" t="s">
        <v>139</v>
      </c>
      <c r="K463" s="10">
        <v>37104</v>
      </c>
    </row>
    <row r="464" spans="1:11" x14ac:dyDescent="0.25">
      <c r="A464" s="8">
        <v>900</v>
      </c>
      <c r="B464" s="9" t="s">
        <v>8834</v>
      </c>
      <c r="C464" s="9" t="s">
        <v>909</v>
      </c>
      <c r="D464" s="9" t="s">
        <v>139</v>
      </c>
      <c r="E464" s="9" t="s">
        <v>182</v>
      </c>
      <c r="F464" s="9" t="s">
        <v>183</v>
      </c>
      <c r="G464" s="9" t="s">
        <v>142</v>
      </c>
      <c r="H464" s="9" t="s">
        <v>139</v>
      </c>
      <c r="I464" s="9" t="s">
        <v>143</v>
      </c>
      <c r="J464" s="9" t="s">
        <v>139</v>
      </c>
      <c r="K464" s="10">
        <v>37104</v>
      </c>
    </row>
    <row r="465" spans="1:11" x14ac:dyDescent="0.25">
      <c r="A465" s="8">
        <v>906</v>
      </c>
      <c r="B465" s="9" t="s">
        <v>8835</v>
      </c>
      <c r="C465" s="9" t="s">
        <v>910</v>
      </c>
      <c r="D465" s="9" t="s">
        <v>139</v>
      </c>
      <c r="E465" s="9" t="s">
        <v>229</v>
      </c>
      <c r="F465" s="9" t="s">
        <v>141</v>
      </c>
      <c r="G465" s="9" t="s">
        <v>142</v>
      </c>
      <c r="H465" s="9" t="s">
        <v>139</v>
      </c>
      <c r="I465" s="9" t="s">
        <v>143</v>
      </c>
      <c r="J465" s="9" t="s">
        <v>139</v>
      </c>
      <c r="K465" s="10">
        <v>37104</v>
      </c>
    </row>
    <row r="466" spans="1:11" x14ac:dyDescent="0.25">
      <c r="A466" s="8">
        <v>908</v>
      </c>
      <c r="B466" s="9" t="s">
        <v>8836</v>
      </c>
      <c r="C466" s="9" t="s">
        <v>911</v>
      </c>
      <c r="D466" s="9" t="s">
        <v>912</v>
      </c>
      <c r="E466" s="9" t="s">
        <v>913</v>
      </c>
      <c r="F466" s="9" t="s">
        <v>914</v>
      </c>
      <c r="G466" s="9" t="s">
        <v>142</v>
      </c>
      <c r="H466" s="9" t="s">
        <v>139</v>
      </c>
      <c r="I466" s="9" t="s">
        <v>143</v>
      </c>
      <c r="J466" s="9" t="s">
        <v>139</v>
      </c>
      <c r="K466" s="10">
        <v>37104</v>
      </c>
    </row>
    <row r="467" spans="1:11" x14ac:dyDescent="0.25">
      <c r="A467" s="8">
        <v>910</v>
      </c>
      <c r="B467" s="9" t="s">
        <v>8837</v>
      </c>
      <c r="C467" s="9" t="s">
        <v>915</v>
      </c>
      <c r="D467" s="9" t="s">
        <v>139</v>
      </c>
      <c r="E467" s="9" t="s">
        <v>328</v>
      </c>
      <c r="F467" s="9" t="s">
        <v>141</v>
      </c>
      <c r="G467" s="9" t="s">
        <v>142</v>
      </c>
      <c r="H467" s="9" t="s">
        <v>139</v>
      </c>
      <c r="I467" s="9" t="s">
        <v>143</v>
      </c>
      <c r="J467" s="9" t="s">
        <v>139</v>
      </c>
      <c r="K467" s="10">
        <v>37104</v>
      </c>
    </row>
    <row r="468" spans="1:11" x14ac:dyDescent="0.25">
      <c r="A468" s="8">
        <v>911</v>
      </c>
      <c r="B468" s="9" t="s">
        <v>8838</v>
      </c>
      <c r="C468" s="9" t="s">
        <v>916</v>
      </c>
      <c r="D468" s="9" t="s">
        <v>139</v>
      </c>
      <c r="E468" s="9" t="s">
        <v>328</v>
      </c>
      <c r="F468" s="9" t="s">
        <v>141</v>
      </c>
      <c r="G468" s="9" t="s">
        <v>142</v>
      </c>
      <c r="H468" s="9" t="s">
        <v>139</v>
      </c>
      <c r="I468" s="9" t="s">
        <v>143</v>
      </c>
      <c r="J468" s="9" t="s">
        <v>139</v>
      </c>
      <c r="K468" s="10">
        <v>37104</v>
      </c>
    </row>
    <row r="469" spans="1:11" x14ac:dyDescent="0.25">
      <c r="A469" s="8">
        <v>912</v>
      </c>
      <c r="B469" s="9" t="s">
        <v>8839</v>
      </c>
      <c r="C469" s="9" t="s">
        <v>917</v>
      </c>
      <c r="D469" s="9" t="s">
        <v>139</v>
      </c>
      <c r="E469" s="9" t="s">
        <v>212</v>
      </c>
      <c r="F469" s="9" t="s">
        <v>141</v>
      </c>
      <c r="G469" s="9" t="s">
        <v>142</v>
      </c>
      <c r="H469" s="9" t="s">
        <v>139</v>
      </c>
      <c r="I469" s="9" t="s">
        <v>143</v>
      </c>
      <c r="J469" s="9" t="s">
        <v>139</v>
      </c>
      <c r="K469" s="10">
        <v>37104</v>
      </c>
    </row>
    <row r="470" spans="1:11" x14ac:dyDescent="0.25">
      <c r="A470" s="8">
        <v>913</v>
      </c>
      <c r="B470" s="9" t="s">
        <v>5288</v>
      </c>
      <c r="C470" s="9" t="s">
        <v>918</v>
      </c>
      <c r="D470" s="9" t="s">
        <v>139</v>
      </c>
      <c r="E470" s="9" t="s">
        <v>919</v>
      </c>
      <c r="F470" s="9" t="s">
        <v>920</v>
      </c>
      <c r="G470" s="9" t="s">
        <v>142</v>
      </c>
      <c r="H470" s="9" t="s">
        <v>258</v>
      </c>
      <c r="I470" s="9" t="s">
        <v>411</v>
      </c>
      <c r="J470" s="9" t="s">
        <v>139</v>
      </c>
      <c r="K470" s="10">
        <v>37104</v>
      </c>
    </row>
    <row r="471" spans="1:11" x14ac:dyDescent="0.25">
      <c r="A471" s="8">
        <v>919</v>
      </c>
      <c r="B471" s="9" t="s">
        <v>8840</v>
      </c>
      <c r="C471" s="9" t="s">
        <v>921</v>
      </c>
      <c r="D471" s="9" t="s">
        <v>139</v>
      </c>
      <c r="E471" s="9" t="s">
        <v>922</v>
      </c>
      <c r="F471" s="9" t="s">
        <v>923</v>
      </c>
      <c r="G471" s="9" t="s">
        <v>142</v>
      </c>
      <c r="H471" s="9" t="s">
        <v>139</v>
      </c>
      <c r="I471" s="9" t="s">
        <v>143</v>
      </c>
      <c r="J471" s="9" t="s">
        <v>139</v>
      </c>
      <c r="K471" s="10">
        <v>37104</v>
      </c>
    </row>
    <row r="472" spans="1:11" x14ac:dyDescent="0.25">
      <c r="A472" s="8">
        <v>922</v>
      </c>
      <c r="B472" s="9" t="s">
        <v>8841</v>
      </c>
      <c r="C472" s="9" t="s">
        <v>924</v>
      </c>
      <c r="D472" s="9" t="s">
        <v>925</v>
      </c>
      <c r="E472" s="9" t="s">
        <v>218</v>
      </c>
      <c r="F472" s="9" t="s">
        <v>141</v>
      </c>
      <c r="G472" s="9" t="s">
        <v>142</v>
      </c>
      <c r="H472" s="9" t="s">
        <v>139</v>
      </c>
      <c r="I472" s="9" t="s">
        <v>143</v>
      </c>
      <c r="J472" s="9" t="s">
        <v>139</v>
      </c>
      <c r="K472" s="10">
        <v>37104</v>
      </c>
    </row>
    <row r="473" spans="1:11" x14ac:dyDescent="0.25">
      <c r="A473" s="8">
        <v>923</v>
      </c>
      <c r="B473" s="9" t="s">
        <v>5289</v>
      </c>
      <c r="C473" s="9" t="s">
        <v>926</v>
      </c>
      <c r="D473" s="9" t="s">
        <v>139</v>
      </c>
      <c r="E473" s="9" t="s">
        <v>180</v>
      </c>
      <c r="F473" s="9" t="s">
        <v>141</v>
      </c>
      <c r="G473" s="9" t="s">
        <v>142</v>
      </c>
      <c r="H473" s="9" t="s">
        <v>139</v>
      </c>
      <c r="I473" s="9" t="s">
        <v>411</v>
      </c>
      <c r="J473" s="9" t="s">
        <v>139</v>
      </c>
      <c r="K473" s="10">
        <v>37104</v>
      </c>
    </row>
    <row r="474" spans="1:11" x14ac:dyDescent="0.25">
      <c r="A474" s="8">
        <v>924</v>
      </c>
      <c r="B474" s="9" t="s">
        <v>5290</v>
      </c>
      <c r="C474" s="9" t="s">
        <v>927</v>
      </c>
      <c r="D474" s="9" t="s">
        <v>139</v>
      </c>
      <c r="E474" s="9" t="s">
        <v>928</v>
      </c>
      <c r="F474" s="9" t="s">
        <v>929</v>
      </c>
      <c r="G474" s="9" t="s">
        <v>142</v>
      </c>
      <c r="H474" s="9" t="s">
        <v>166</v>
      </c>
      <c r="I474" s="9" t="s">
        <v>411</v>
      </c>
      <c r="J474" s="9" t="s">
        <v>139</v>
      </c>
      <c r="K474" s="10">
        <v>37104</v>
      </c>
    </row>
    <row r="475" spans="1:11" x14ac:dyDescent="0.25">
      <c r="A475" s="8">
        <v>925</v>
      </c>
      <c r="B475" s="9" t="s">
        <v>5291</v>
      </c>
      <c r="C475" s="9" t="s">
        <v>930</v>
      </c>
      <c r="D475" s="9" t="s">
        <v>139</v>
      </c>
      <c r="E475" s="9" t="s">
        <v>931</v>
      </c>
      <c r="F475" s="9" t="s">
        <v>932</v>
      </c>
      <c r="G475" s="9" t="s">
        <v>142</v>
      </c>
      <c r="H475" s="9" t="s">
        <v>139</v>
      </c>
      <c r="I475" s="9" t="s">
        <v>411</v>
      </c>
      <c r="J475" s="9" t="s">
        <v>139</v>
      </c>
      <c r="K475" s="10">
        <v>37104</v>
      </c>
    </row>
    <row r="476" spans="1:11" x14ac:dyDescent="0.25">
      <c r="A476" s="8">
        <v>928</v>
      </c>
      <c r="B476" s="9" t="s">
        <v>8842</v>
      </c>
      <c r="C476" s="9" t="s">
        <v>139</v>
      </c>
      <c r="D476" s="9" t="s">
        <v>139</v>
      </c>
      <c r="E476" s="9">
        <v>75</v>
      </c>
      <c r="F476" s="9" t="s">
        <v>413</v>
      </c>
      <c r="G476" s="9" t="s">
        <v>142</v>
      </c>
      <c r="H476" s="9" t="s">
        <v>139</v>
      </c>
      <c r="I476" s="9" t="s">
        <v>143</v>
      </c>
      <c r="J476" s="9" t="s">
        <v>139</v>
      </c>
      <c r="K476" s="10">
        <v>37104</v>
      </c>
    </row>
    <row r="477" spans="1:11" x14ac:dyDescent="0.25">
      <c r="A477" s="8">
        <v>930</v>
      </c>
      <c r="B477" s="9" t="s">
        <v>5292</v>
      </c>
      <c r="C477" s="9" t="s">
        <v>933</v>
      </c>
      <c r="D477" s="9" t="s">
        <v>139</v>
      </c>
      <c r="E477" s="9" t="s">
        <v>934</v>
      </c>
      <c r="F477" s="9" t="s">
        <v>935</v>
      </c>
      <c r="G477" s="9" t="s">
        <v>142</v>
      </c>
      <c r="H477" s="9" t="s">
        <v>166</v>
      </c>
      <c r="I477" s="9" t="s">
        <v>411</v>
      </c>
      <c r="J477" s="9" t="s">
        <v>139</v>
      </c>
      <c r="K477" s="10">
        <v>37104</v>
      </c>
    </row>
    <row r="478" spans="1:11" x14ac:dyDescent="0.25">
      <c r="A478" s="8">
        <v>931</v>
      </c>
      <c r="B478" s="9" t="s">
        <v>5293</v>
      </c>
      <c r="C478" s="9" t="s">
        <v>936</v>
      </c>
      <c r="D478" s="9" t="s">
        <v>139</v>
      </c>
      <c r="E478" s="9" t="s">
        <v>937</v>
      </c>
      <c r="F478" s="9" t="s">
        <v>938</v>
      </c>
      <c r="G478" s="9" t="s">
        <v>142</v>
      </c>
      <c r="H478" s="9" t="s">
        <v>139</v>
      </c>
      <c r="I478" s="9" t="s">
        <v>411</v>
      </c>
      <c r="J478" s="9" t="s">
        <v>139</v>
      </c>
      <c r="K478" s="10">
        <v>37104</v>
      </c>
    </row>
    <row r="479" spans="1:11" x14ac:dyDescent="0.25">
      <c r="A479" s="8">
        <v>933</v>
      </c>
      <c r="B479" s="9" t="s">
        <v>5294</v>
      </c>
      <c r="C479" s="9" t="s">
        <v>139</v>
      </c>
      <c r="D479" s="9" t="s">
        <v>139</v>
      </c>
      <c r="E479" s="9">
        <v>75</v>
      </c>
      <c r="F479" s="9" t="s">
        <v>413</v>
      </c>
      <c r="G479" s="9" t="s">
        <v>142</v>
      </c>
      <c r="H479" s="9" t="s">
        <v>139</v>
      </c>
      <c r="I479" s="9" t="s">
        <v>411</v>
      </c>
      <c r="J479" s="9" t="s">
        <v>139</v>
      </c>
      <c r="K479" s="10">
        <v>37104</v>
      </c>
    </row>
    <row r="480" spans="1:11" x14ac:dyDescent="0.25">
      <c r="A480" s="8">
        <v>934</v>
      </c>
      <c r="B480" s="9" t="s">
        <v>8843</v>
      </c>
      <c r="C480" s="9" t="s">
        <v>939</v>
      </c>
      <c r="D480" s="9" t="s">
        <v>139</v>
      </c>
      <c r="E480" s="9" t="s">
        <v>940</v>
      </c>
      <c r="F480" s="9" t="s">
        <v>941</v>
      </c>
      <c r="G480" s="9" t="s">
        <v>142</v>
      </c>
      <c r="H480" s="9" t="s">
        <v>139</v>
      </c>
      <c r="I480" s="9" t="s">
        <v>143</v>
      </c>
      <c r="J480" s="9" t="s">
        <v>139</v>
      </c>
      <c r="K480" s="10">
        <v>37104</v>
      </c>
    </row>
    <row r="481" spans="1:11" x14ac:dyDescent="0.25">
      <c r="A481" s="8">
        <v>938</v>
      </c>
      <c r="B481" s="9" t="s">
        <v>8844</v>
      </c>
      <c r="C481" s="9" t="s">
        <v>942</v>
      </c>
      <c r="D481" s="9" t="s">
        <v>139</v>
      </c>
      <c r="E481" s="9" t="s">
        <v>197</v>
      </c>
      <c r="F481" s="9" t="s">
        <v>141</v>
      </c>
      <c r="G481" s="9" t="s">
        <v>142</v>
      </c>
      <c r="H481" s="9" t="s">
        <v>166</v>
      </c>
      <c r="I481" s="9" t="s">
        <v>143</v>
      </c>
      <c r="J481" s="9" t="s">
        <v>139</v>
      </c>
      <c r="K481" s="10">
        <v>37104</v>
      </c>
    </row>
    <row r="482" spans="1:11" x14ac:dyDescent="0.25">
      <c r="A482" s="8">
        <v>940</v>
      </c>
      <c r="B482" s="9" t="s">
        <v>5295</v>
      </c>
      <c r="C482" s="9" t="s">
        <v>943</v>
      </c>
      <c r="D482" s="9" t="s">
        <v>944</v>
      </c>
      <c r="E482" s="9" t="s">
        <v>945</v>
      </c>
      <c r="F482" s="9" t="s">
        <v>946</v>
      </c>
      <c r="G482" s="9" t="s">
        <v>142</v>
      </c>
      <c r="H482" s="9" t="s">
        <v>139</v>
      </c>
      <c r="I482" s="9" t="s">
        <v>411</v>
      </c>
      <c r="J482" s="9" t="s">
        <v>139</v>
      </c>
      <c r="K482" s="10">
        <v>37104</v>
      </c>
    </row>
    <row r="483" spans="1:11" x14ac:dyDescent="0.25">
      <c r="A483" s="8">
        <v>941</v>
      </c>
      <c r="B483" s="9" t="s">
        <v>5296</v>
      </c>
      <c r="C483" s="9" t="s">
        <v>947</v>
      </c>
      <c r="D483" s="9" t="s">
        <v>139</v>
      </c>
      <c r="E483" s="9" t="s">
        <v>948</v>
      </c>
      <c r="F483" s="9" t="s">
        <v>949</v>
      </c>
      <c r="G483" s="9" t="s">
        <v>142</v>
      </c>
      <c r="H483" s="9" t="s">
        <v>139</v>
      </c>
      <c r="I483" s="9" t="s">
        <v>411</v>
      </c>
      <c r="J483" s="9" t="s">
        <v>139</v>
      </c>
      <c r="K483" s="10">
        <v>37104</v>
      </c>
    </row>
    <row r="484" spans="1:11" x14ac:dyDescent="0.25">
      <c r="A484" s="8">
        <v>942</v>
      </c>
      <c r="B484" s="9" t="s">
        <v>5297</v>
      </c>
      <c r="C484" s="9" t="s">
        <v>950</v>
      </c>
      <c r="D484" s="9" t="s">
        <v>139</v>
      </c>
      <c r="E484" s="9" t="s">
        <v>202</v>
      </c>
      <c r="F484" s="9" t="s">
        <v>141</v>
      </c>
      <c r="G484" s="9" t="s">
        <v>142</v>
      </c>
      <c r="H484" s="9" t="s">
        <v>139</v>
      </c>
      <c r="I484" s="9" t="s">
        <v>411</v>
      </c>
      <c r="J484" s="9" t="s">
        <v>139</v>
      </c>
      <c r="K484" s="10">
        <v>37104</v>
      </c>
    </row>
    <row r="485" spans="1:11" x14ac:dyDescent="0.25">
      <c r="A485" s="8">
        <v>943</v>
      </c>
      <c r="B485" s="9" t="s">
        <v>5298</v>
      </c>
      <c r="C485" s="9" t="s">
        <v>951</v>
      </c>
      <c r="D485" s="9" t="s">
        <v>139</v>
      </c>
      <c r="E485" s="9" t="s">
        <v>328</v>
      </c>
      <c r="F485" s="9" t="s">
        <v>141</v>
      </c>
      <c r="G485" s="9" t="s">
        <v>142</v>
      </c>
      <c r="H485" s="9" t="s">
        <v>139</v>
      </c>
      <c r="I485" s="9" t="s">
        <v>411</v>
      </c>
      <c r="J485" s="9" t="s">
        <v>139</v>
      </c>
      <c r="K485" s="10">
        <v>37104</v>
      </c>
    </row>
    <row r="486" spans="1:11" x14ac:dyDescent="0.25">
      <c r="A486" s="8">
        <v>945</v>
      </c>
      <c r="B486" s="9" t="s">
        <v>5299</v>
      </c>
      <c r="C486" s="9" t="s">
        <v>952</v>
      </c>
      <c r="D486" s="9" t="s">
        <v>139</v>
      </c>
      <c r="E486" s="9" t="s">
        <v>197</v>
      </c>
      <c r="F486" s="9" t="s">
        <v>141</v>
      </c>
      <c r="G486" s="9" t="s">
        <v>142</v>
      </c>
      <c r="H486" s="9" t="s">
        <v>139</v>
      </c>
      <c r="I486" s="9" t="s">
        <v>411</v>
      </c>
      <c r="J486" s="9" t="s">
        <v>139</v>
      </c>
      <c r="K486" s="10">
        <v>37104</v>
      </c>
    </row>
    <row r="487" spans="1:11" x14ac:dyDescent="0.25">
      <c r="A487" s="8">
        <v>946</v>
      </c>
      <c r="B487" s="9" t="s">
        <v>5300</v>
      </c>
      <c r="C487" s="9" t="s">
        <v>953</v>
      </c>
      <c r="D487" s="9" t="s">
        <v>139</v>
      </c>
      <c r="E487" s="9" t="s">
        <v>145</v>
      </c>
      <c r="F487" s="9" t="s">
        <v>141</v>
      </c>
      <c r="G487" s="9" t="s">
        <v>142</v>
      </c>
      <c r="H487" s="9" t="s">
        <v>258</v>
      </c>
      <c r="I487" s="9" t="s">
        <v>411</v>
      </c>
      <c r="J487" s="9" t="s">
        <v>139</v>
      </c>
      <c r="K487" s="10">
        <v>37104</v>
      </c>
    </row>
    <row r="488" spans="1:11" x14ac:dyDescent="0.25">
      <c r="A488" s="8">
        <v>950</v>
      </c>
      <c r="B488" s="9" t="s">
        <v>5301</v>
      </c>
      <c r="C488" s="9" t="s">
        <v>954</v>
      </c>
      <c r="D488" s="9" t="s">
        <v>139</v>
      </c>
      <c r="E488" s="9" t="s">
        <v>145</v>
      </c>
      <c r="F488" s="9" t="s">
        <v>141</v>
      </c>
      <c r="G488" s="9" t="s">
        <v>142</v>
      </c>
      <c r="H488" s="9" t="s">
        <v>139</v>
      </c>
      <c r="I488" s="9" t="s">
        <v>411</v>
      </c>
      <c r="J488" s="9" t="s">
        <v>139</v>
      </c>
      <c r="K488" s="10">
        <v>37104</v>
      </c>
    </row>
    <row r="489" spans="1:11" x14ac:dyDescent="0.25">
      <c r="A489" s="8">
        <v>952</v>
      </c>
      <c r="B489" s="9" t="s">
        <v>5302</v>
      </c>
      <c r="C489" s="9" t="s">
        <v>955</v>
      </c>
      <c r="D489" s="9" t="s">
        <v>139</v>
      </c>
      <c r="E489" s="9" t="s">
        <v>229</v>
      </c>
      <c r="F489" s="9" t="s">
        <v>141</v>
      </c>
      <c r="G489" s="9" t="s">
        <v>142</v>
      </c>
      <c r="H489" s="9" t="s">
        <v>139</v>
      </c>
      <c r="I489" s="9" t="s">
        <v>411</v>
      </c>
      <c r="J489" s="9" t="s">
        <v>139</v>
      </c>
      <c r="K489" s="10">
        <v>37104</v>
      </c>
    </row>
    <row r="490" spans="1:11" x14ac:dyDescent="0.25">
      <c r="A490" s="8">
        <v>954</v>
      </c>
      <c r="B490" s="9" t="s">
        <v>8845</v>
      </c>
      <c r="C490" s="9" t="s">
        <v>956</v>
      </c>
      <c r="D490" s="9" t="s">
        <v>139</v>
      </c>
      <c r="E490" s="9" t="s">
        <v>218</v>
      </c>
      <c r="F490" s="9" t="s">
        <v>141</v>
      </c>
      <c r="G490" s="9" t="s">
        <v>142</v>
      </c>
      <c r="H490" s="9" t="s">
        <v>241</v>
      </c>
      <c r="I490" s="9" t="s">
        <v>143</v>
      </c>
      <c r="J490" s="9" t="s">
        <v>139</v>
      </c>
      <c r="K490" s="10">
        <v>37104</v>
      </c>
    </row>
    <row r="491" spans="1:11" x14ac:dyDescent="0.25">
      <c r="A491" s="8">
        <v>955</v>
      </c>
      <c r="B491" s="9" t="s">
        <v>5303</v>
      </c>
      <c r="C491" s="9" t="s">
        <v>139</v>
      </c>
      <c r="D491" s="9" t="s">
        <v>139</v>
      </c>
      <c r="E491" s="9" t="s">
        <v>957</v>
      </c>
      <c r="F491" s="9" t="s">
        <v>958</v>
      </c>
      <c r="G491" s="9" t="s">
        <v>142</v>
      </c>
      <c r="H491" s="9" t="s">
        <v>139</v>
      </c>
      <c r="I491" s="9" t="s">
        <v>411</v>
      </c>
      <c r="J491" s="9" t="s">
        <v>139</v>
      </c>
      <c r="K491" s="10">
        <v>37104</v>
      </c>
    </row>
    <row r="492" spans="1:11" x14ac:dyDescent="0.25">
      <c r="A492" s="8">
        <v>956</v>
      </c>
      <c r="B492" s="9" t="s">
        <v>8846</v>
      </c>
      <c r="C492" s="9" t="s">
        <v>139</v>
      </c>
      <c r="D492" s="9" t="s">
        <v>139</v>
      </c>
      <c r="E492" s="9">
        <v>75</v>
      </c>
      <c r="F492" s="9" t="s">
        <v>413</v>
      </c>
      <c r="G492" s="9" t="s">
        <v>142</v>
      </c>
      <c r="H492" s="9" t="s">
        <v>139</v>
      </c>
      <c r="I492" s="9" t="s">
        <v>143</v>
      </c>
      <c r="J492" s="9" t="s">
        <v>139</v>
      </c>
      <c r="K492" s="10">
        <v>37104</v>
      </c>
    </row>
    <row r="493" spans="1:11" x14ac:dyDescent="0.25">
      <c r="A493" s="8">
        <v>957</v>
      </c>
      <c r="B493" s="9" t="s">
        <v>8847</v>
      </c>
      <c r="C493" s="9" t="s">
        <v>959</v>
      </c>
      <c r="D493" s="9" t="s">
        <v>139</v>
      </c>
      <c r="E493" s="9" t="s">
        <v>229</v>
      </c>
      <c r="F493" s="9" t="s">
        <v>141</v>
      </c>
      <c r="G493" s="9" t="s">
        <v>142</v>
      </c>
      <c r="H493" s="9" t="s">
        <v>166</v>
      </c>
      <c r="I493" s="9" t="s">
        <v>143</v>
      </c>
      <c r="J493" s="9" t="s">
        <v>139</v>
      </c>
      <c r="K493" s="10">
        <v>37104</v>
      </c>
    </row>
    <row r="494" spans="1:11" x14ac:dyDescent="0.25">
      <c r="A494" s="8">
        <v>958</v>
      </c>
      <c r="B494" s="9" t="s">
        <v>8848</v>
      </c>
      <c r="C494" s="9" t="s">
        <v>960</v>
      </c>
      <c r="D494" s="9" t="s">
        <v>139</v>
      </c>
      <c r="E494" s="9" t="s">
        <v>229</v>
      </c>
      <c r="F494" s="9" t="s">
        <v>141</v>
      </c>
      <c r="G494" s="9" t="s">
        <v>142</v>
      </c>
      <c r="H494" s="9" t="s">
        <v>241</v>
      </c>
      <c r="I494" s="9" t="s">
        <v>143</v>
      </c>
      <c r="J494" s="9" t="s">
        <v>139</v>
      </c>
      <c r="K494" s="10">
        <v>37104</v>
      </c>
    </row>
    <row r="495" spans="1:11" x14ac:dyDescent="0.25">
      <c r="A495" s="8">
        <v>959</v>
      </c>
      <c r="B495" s="9" t="s">
        <v>8849</v>
      </c>
      <c r="C495" s="9" t="s">
        <v>961</v>
      </c>
      <c r="D495" s="9" t="s">
        <v>139</v>
      </c>
      <c r="E495" s="9" t="s">
        <v>197</v>
      </c>
      <c r="F495" s="9" t="s">
        <v>141</v>
      </c>
      <c r="G495" s="9" t="s">
        <v>142</v>
      </c>
      <c r="H495" s="9" t="s">
        <v>139</v>
      </c>
      <c r="I495" s="9" t="s">
        <v>143</v>
      </c>
      <c r="J495" s="9" t="s">
        <v>139</v>
      </c>
      <c r="K495" s="10">
        <v>37104</v>
      </c>
    </row>
    <row r="496" spans="1:11" x14ac:dyDescent="0.25">
      <c r="A496" s="8">
        <v>961</v>
      </c>
      <c r="B496" s="9" t="s">
        <v>5304</v>
      </c>
      <c r="C496" s="9" t="s">
        <v>962</v>
      </c>
      <c r="D496" s="9" t="s">
        <v>963</v>
      </c>
      <c r="E496" s="9" t="s">
        <v>139</v>
      </c>
      <c r="F496" s="9" t="s">
        <v>964</v>
      </c>
      <c r="G496" s="9" t="s">
        <v>965</v>
      </c>
      <c r="H496" s="9" t="s">
        <v>139</v>
      </c>
      <c r="I496" s="9" t="s">
        <v>411</v>
      </c>
      <c r="J496" s="9" t="s">
        <v>139</v>
      </c>
      <c r="K496" s="10">
        <v>37104</v>
      </c>
    </row>
    <row r="497" spans="1:11" x14ac:dyDescent="0.25">
      <c r="A497" s="8">
        <v>963</v>
      </c>
      <c r="B497" s="9" t="s">
        <v>5305</v>
      </c>
      <c r="C497" s="9" t="s">
        <v>966</v>
      </c>
      <c r="D497" s="9" t="s">
        <v>139</v>
      </c>
      <c r="E497" s="9" t="s">
        <v>967</v>
      </c>
      <c r="F497" s="9" t="s">
        <v>968</v>
      </c>
      <c r="G497" s="9" t="s">
        <v>142</v>
      </c>
      <c r="H497" s="9" t="s">
        <v>241</v>
      </c>
      <c r="I497" s="9" t="s">
        <v>411</v>
      </c>
      <c r="J497" s="9" t="s">
        <v>139</v>
      </c>
      <c r="K497" s="10">
        <v>37104</v>
      </c>
    </row>
    <row r="498" spans="1:11" x14ac:dyDescent="0.25">
      <c r="A498" s="8">
        <v>964</v>
      </c>
      <c r="B498" s="9" t="s">
        <v>5306</v>
      </c>
      <c r="C498" s="9" t="s">
        <v>969</v>
      </c>
      <c r="D498" s="9" t="s">
        <v>139</v>
      </c>
      <c r="E498" s="9" t="s">
        <v>970</v>
      </c>
      <c r="F498" s="9" t="s">
        <v>971</v>
      </c>
      <c r="G498" s="9" t="s">
        <v>142</v>
      </c>
      <c r="H498" s="9" t="s">
        <v>139</v>
      </c>
      <c r="I498" s="9" t="s">
        <v>411</v>
      </c>
      <c r="J498" s="9" t="s">
        <v>139</v>
      </c>
      <c r="K498" s="10">
        <v>37104</v>
      </c>
    </row>
    <row r="499" spans="1:11" x14ac:dyDescent="0.25">
      <c r="A499" s="8">
        <v>965</v>
      </c>
      <c r="B499" s="9" t="s">
        <v>5307</v>
      </c>
      <c r="C499" s="9" t="s">
        <v>972</v>
      </c>
      <c r="D499" s="9" t="s">
        <v>139</v>
      </c>
      <c r="E499" s="9" t="s">
        <v>973</v>
      </c>
      <c r="F499" s="9" t="s">
        <v>974</v>
      </c>
      <c r="G499" s="9" t="s">
        <v>142</v>
      </c>
      <c r="H499" s="9" t="s">
        <v>139</v>
      </c>
      <c r="I499" s="9" t="s">
        <v>411</v>
      </c>
      <c r="J499" s="9" t="s">
        <v>139</v>
      </c>
      <c r="K499" s="10">
        <v>37104</v>
      </c>
    </row>
    <row r="500" spans="1:11" x14ac:dyDescent="0.25">
      <c r="A500" s="8">
        <v>968</v>
      </c>
      <c r="B500" s="9" t="s">
        <v>5308</v>
      </c>
      <c r="C500" s="9" t="s">
        <v>975</v>
      </c>
      <c r="D500" s="9" t="s">
        <v>976</v>
      </c>
      <c r="E500" s="9" t="s">
        <v>977</v>
      </c>
      <c r="F500" s="9" t="s">
        <v>978</v>
      </c>
      <c r="G500" s="9" t="s">
        <v>142</v>
      </c>
      <c r="H500" s="9" t="s">
        <v>139</v>
      </c>
      <c r="I500" s="9" t="s">
        <v>411</v>
      </c>
      <c r="J500" s="9" t="s">
        <v>139</v>
      </c>
      <c r="K500" s="10">
        <v>37104</v>
      </c>
    </row>
    <row r="501" spans="1:11" x14ac:dyDescent="0.25">
      <c r="A501" s="8">
        <v>969</v>
      </c>
      <c r="B501" s="9" t="s">
        <v>5309</v>
      </c>
      <c r="C501" s="9" t="s">
        <v>979</v>
      </c>
      <c r="D501" s="9" t="s">
        <v>139</v>
      </c>
      <c r="E501" s="9" t="s">
        <v>980</v>
      </c>
      <c r="F501" s="9" t="s">
        <v>981</v>
      </c>
      <c r="G501" s="9" t="s">
        <v>142</v>
      </c>
      <c r="H501" s="9" t="s">
        <v>241</v>
      </c>
      <c r="I501" s="9" t="s">
        <v>411</v>
      </c>
      <c r="J501" s="9" t="s">
        <v>139</v>
      </c>
      <c r="K501" s="10">
        <v>37104</v>
      </c>
    </row>
    <row r="502" spans="1:11" x14ac:dyDescent="0.25">
      <c r="A502" s="8">
        <v>970</v>
      </c>
      <c r="B502" s="9" t="s">
        <v>5310</v>
      </c>
      <c r="C502" s="9" t="s">
        <v>984</v>
      </c>
      <c r="D502" s="9" t="s">
        <v>139</v>
      </c>
      <c r="E502" s="9" t="s">
        <v>985</v>
      </c>
      <c r="F502" s="9" t="s">
        <v>986</v>
      </c>
      <c r="G502" s="9" t="s">
        <v>142</v>
      </c>
      <c r="H502" s="9" t="s">
        <v>241</v>
      </c>
      <c r="I502" s="9" t="s">
        <v>411</v>
      </c>
      <c r="J502" s="9" t="s">
        <v>139</v>
      </c>
      <c r="K502" s="10">
        <v>37104</v>
      </c>
    </row>
    <row r="503" spans="1:11" x14ac:dyDescent="0.25">
      <c r="A503" s="8">
        <v>972</v>
      </c>
      <c r="B503" s="9" t="s">
        <v>8413</v>
      </c>
      <c r="C503" s="9" t="s">
        <v>987</v>
      </c>
      <c r="D503" s="9" t="s">
        <v>988</v>
      </c>
      <c r="E503" s="9" t="s">
        <v>989</v>
      </c>
      <c r="F503" s="9" t="s">
        <v>990</v>
      </c>
      <c r="G503" s="9" t="s">
        <v>882</v>
      </c>
      <c r="H503" s="9" t="s">
        <v>139</v>
      </c>
      <c r="I503" s="9" t="s">
        <v>617</v>
      </c>
      <c r="J503" s="9" t="s">
        <v>991</v>
      </c>
      <c r="K503" s="10">
        <v>37104</v>
      </c>
    </row>
    <row r="504" spans="1:11" x14ac:dyDescent="0.25">
      <c r="A504" s="8">
        <v>975</v>
      </c>
      <c r="B504" s="9" t="s">
        <v>5311</v>
      </c>
      <c r="C504" s="9" t="s">
        <v>992</v>
      </c>
      <c r="D504" s="9" t="s">
        <v>139</v>
      </c>
      <c r="E504" s="9" t="s">
        <v>993</v>
      </c>
      <c r="F504" s="9" t="s">
        <v>994</v>
      </c>
      <c r="G504" s="9" t="s">
        <v>142</v>
      </c>
      <c r="H504" s="9" t="s">
        <v>139</v>
      </c>
      <c r="I504" s="9" t="s">
        <v>411</v>
      </c>
      <c r="J504" s="9" t="s">
        <v>139</v>
      </c>
      <c r="K504" s="10">
        <v>37104</v>
      </c>
    </row>
    <row r="505" spans="1:11" x14ac:dyDescent="0.25">
      <c r="A505" s="8">
        <v>978</v>
      </c>
      <c r="B505" s="9" t="s">
        <v>5312</v>
      </c>
      <c r="C505" s="9" t="s">
        <v>995</v>
      </c>
      <c r="D505" s="9" t="s">
        <v>139</v>
      </c>
      <c r="E505" s="9" t="s">
        <v>163</v>
      </c>
      <c r="F505" s="9" t="s">
        <v>141</v>
      </c>
      <c r="G505" s="9" t="s">
        <v>142</v>
      </c>
      <c r="H505" s="9" t="s">
        <v>166</v>
      </c>
      <c r="I505" s="9" t="s">
        <v>411</v>
      </c>
      <c r="J505" s="9" t="s">
        <v>996</v>
      </c>
      <c r="K505" s="10">
        <v>37104</v>
      </c>
    </row>
    <row r="506" spans="1:11" x14ac:dyDescent="0.25">
      <c r="A506" s="8">
        <v>979</v>
      </c>
      <c r="B506" s="9" t="s">
        <v>5313</v>
      </c>
      <c r="C506" s="9" t="s">
        <v>997</v>
      </c>
      <c r="D506" s="9" t="s">
        <v>139</v>
      </c>
      <c r="E506" s="9" t="s">
        <v>998</v>
      </c>
      <c r="F506" s="9" t="s">
        <v>999</v>
      </c>
      <c r="G506" s="9" t="s">
        <v>882</v>
      </c>
      <c r="H506" s="9" t="s">
        <v>139</v>
      </c>
      <c r="I506" s="9" t="s">
        <v>411</v>
      </c>
      <c r="J506" s="9" t="s">
        <v>1000</v>
      </c>
      <c r="K506" s="10">
        <v>37104</v>
      </c>
    </row>
    <row r="507" spans="1:11" x14ac:dyDescent="0.25">
      <c r="A507" s="8">
        <v>980</v>
      </c>
      <c r="B507" s="9" t="s">
        <v>5314</v>
      </c>
      <c r="C507" s="9" t="s">
        <v>1001</v>
      </c>
      <c r="D507" s="9" t="s">
        <v>139</v>
      </c>
      <c r="E507" s="9" t="s">
        <v>1002</v>
      </c>
      <c r="F507" s="9" t="s">
        <v>1003</v>
      </c>
      <c r="G507" s="9" t="s">
        <v>1004</v>
      </c>
      <c r="H507" s="9" t="s">
        <v>139</v>
      </c>
      <c r="I507" s="9" t="s">
        <v>411</v>
      </c>
      <c r="J507" s="9" t="s">
        <v>139</v>
      </c>
      <c r="K507" s="10">
        <v>37104</v>
      </c>
    </row>
    <row r="508" spans="1:11" x14ac:dyDescent="0.25">
      <c r="A508" s="8">
        <v>981</v>
      </c>
      <c r="B508" s="9" t="s">
        <v>5315</v>
      </c>
      <c r="C508" s="9" t="s">
        <v>1005</v>
      </c>
      <c r="D508" s="9" t="s">
        <v>139</v>
      </c>
      <c r="E508" s="9" t="s">
        <v>1006</v>
      </c>
      <c r="F508" s="9" t="s">
        <v>1007</v>
      </c>
      <c r="G508" s="9" t="s">
        <v>882</v>
      </c>
      <c r="H508" s="9" t="s">
        <v>241</v>
      </c>
      <c r="I508" s="9" t="s">
        <v>411</v>
      </c>
      <c r="J508" s="9" t="s">
        <v>1008</v>
      </c>
      <c r="K508" s="10">
        <v>37104</v>
      </c>
    </row>
    <row r="509" spans="1:11" x14ac:dyDescent="0.25">
      <c r="A509" s="8">
        <v>982</v>
      </c>
      <c r="B509" s="9" t="s">
        <v>5316</v>
      </c>
      <c r="C509" s="9" t="s">
        <v>1009</v>
      </c>
      <c r="D509" s="9" t="s">
        <v>139</v>
      </c>
      <c r="E509" s="9" t="s">
        <v>1010</v>
      </c>
      <c r="F509" s="9" t="s">
        <v>1011</v>
      </c>
      <c r="G509" s="9" t="s">
        <v>142</v>
      </c>
      <c r="H509" s="9" t="s">
        <v>139</v>
      </c>
      <c r="I509" s="9" t="s">
        <v>411</v>
      </c>
      <c r="J509" s="9" t="s">
        <v>139</v>
      </c>
      <c r="K509" s="10">
        <v>37104</v>
      </c>
    </row>
    <row r="510" spans="1:11" x14ac:dyDescent="0.25">
      <c r="A510" s="8">
        <v>983</v>
      </c>
      <c r="B510" s="9" t="s">
        <v>5317</v>
      </c>
      <c r="C510" s="9" t="s">
        <v>1012</v>
      </c>
      <c r="D510" s="9" t="s">
        <v>139</v>
      </c>
      <c r="E510" s="9" t="s">
        <v>1013</v>
      </c>
      <c r="F510" s="9" t="s">
        <v>1014</v>
      </c>
      <c r="G510" s="9" t="s">
        <v>882</v>
      </c>
      <c r="H510" s="9" t="s">
        <v>139</v>
      </c>
      <c r="I510" s="9" t="s">
        <v>411</v>
      </c>
      <c r="J510" s="9" t="s">
        <v>1015</v>
      </c>
      <c r="K510" s="10">
        <v>37104</v>
      </c>
    </row>
    <row r="511" spans="1:11" x14ac:dyDescent="0.25">
      <c r="A511" s="8">
        <v>984</v>
      </c>
      <c r="B511" s="9" t="s">
        <v>8850</v>
      </c>
      <c r="C511" s="9" t="s">
        <v>1016</v>
      </c>
      <c r="D511" s="9" t="s">
        <v>1017</v>
      </c>
      <c r="E511" s="9" t="s">
        <v>1018</v>
      </c>
      <c r="F511" s="9" t="s">
        <v>1019</v>
      </c>
      <c r="G511" s="9" t="s">
        <v>142</v>
      </c>
      <c r="H511" s="9" t="s">
        <v>258</v>
      </c>
      <c r="I511" s="9" t="s">
        <v>143</v>
      </c>
      <c r="J511" s="9" t="s">
        <v>139</v>
      </c>
      <c r="K511" s="10">
        <v>37104</v>
      </c>
    </row>
    <row r="512" spans="1:11" x14ac:dyDescent="0.25">
      <c r="A512" s="8">
        <v>985</v>
      </c>
      <c r="B512" s="9" t="s">
        <v>8851</v>
      </c>
      <c r="C512" s="9" t="s">
        <v>1020</v>
      </c>
      <c r="D512" s="9" t="s">
        <v>139</v>
      </c>
      <c r="E512" s="9" t="s">
        <v>706</v>
      </c>
      <c r="F512" s="9" t="s">
        <v>141</v>
      </c>
      <c r="G512" s="9" t="s">
        <v>142</v>
      </c>
      <c r="H512" s="9" t="s">
        <v>139</v>
      </c>
      <c r="I512" s="9" t="s">
        <v>143</v>
      </c>
      <c r="J512" s="9" t="s">
        <v>139</v>
      </c>
      <c r="K512" s="10">
        <v>37104</v>
      </c>
    </row>
    <row r="513" spans="1:11" x14ac:dyDescent="0.25">
      <c r="A513" s="8">
        <v>986</v>
      </c>
      <c r="B513" s="9" t="s">
        <v>5318</v>
      </c>
      <c r="C513" s="9" t="s">
        <v>1021</v>
      </c>
      <c r="D513" s="9" t="s">
        <v>139</v>
      </c>
      <c r="E513" s="9" t="s">
        <v>163</v>
      </c>
      <c r="F513" s="9" t="s">
        <v>141</v>
      </c>
      <c r="G513" s="9" t="s">
        <v>142</v>
      </c>
      <c r="H513" s="9" t="s">
        <v>139</v>
      </c>
      <c r="I513" s="9" t="s">
        <v>411</v>
      </c>
      <c r="J513" s="9" t="s">
        <v>139</v>
      </c>
      <c r="K513" s="10">
        <v>37104</v>
      </c>
    </row>
    <row r="514" spans="1:11" x14ac:dyDescent="0.25">
      <c r="A514" s="8">
        <v>987</v>
      </c>
      <c r="B514" s="9" t="s">
        <v>5319</v>
      </c>
      <c r="C514" s="9" t="s">
        <v>1022</v>
      </c>
      <c r="D514" s="9" t="s">
        <v>139</v>
      </c>
      <c r="E514" s="9" t="s">
        <v>769</v>
      </c>
      <c r="F514" s="9" t="s">
        <v>141</v>
      </c>
      <c r="G514" s="9" t="s">
        <v>142</v>
      </c>
      <c r="H514" s="9" t="s">
        <v>139</v>
      </c>
      <c r="I514" s="9" t="s">
        <v>411</v>
      </c>
      <c r="J514" s="9" t="s">
        <v>139</v>
      </c>
      <c r="K514" s="10">
        <v>37104</v>
      </c>
    </row>
    <row r="515" spans="1:11" x14ac:dyDescent="0.25">
      <c r="A515" s="8">
        <v>988</v>
      </c>
      <c r="B515" s="9" t="s">
        <v>5320</v>
      </c>
      <c r="C515" s="9" t="s">
        <v>1023</v>
      </c>
      <c r="D515" s="9" t="s">
        <v>139</v>
      </c>
      <c r="E515" s="9" t="s">
        <v>967</v>
      </c>
      <c r="F515" s="9" t="s">
        <v>968</v>
      </c>
      <c r="G515" s="9" t="s">
        <v>142</v>
      </c>
      <c r="H515" s="9" t="s">
        <v>139</v>
      </c>
      <c r="I515" s="9" t="s">
        <v>411</v>
      </c>
      <c r="J515" s="9" t="s">
        <v>139</v>
      </c>
      <c r="K515" s="10">
        <v>37104</v>
      </c>
    </row>
    <row r="516" spans="1:11" x14ac:dyDescent="0.25">
      <c r="A516" s="8">
        <v>991</v>
      </c>
      <c r="B516" s="9" t="s">
        <v>8852</v>
      </c>
      <c r="C516" s="9" t="s">
        <v>1024</v>
      </c>
      <c r="D516" s="9" t="s">
        <v>139</v>
      </c>
      <c r="E516" s="9" t="s">
        <v>229</v>
      </c>
      <c r="F516" s="9" t="s">
        <v>141</v>
      </c>
      <c r="G516" s="9" t="s">
        <v>142</v>
      </c>
      <c r="H516" s="9" t="s">
        <v>166</v>
      </c>
      <c r="I516" s="9" t="s">
        <v>143</v>
      </c>
      <c r="J516" s="9" t="s">
        <v>139</v>
      </c>
      <c r="K516" s="10">
        <v>37104</v>
      </c>
    </row>
    <row r="517" spans="1:11" x14ac:dyDescent="0.25">
      <c r="A517" s="8">
        <v>992</v>
      </c>
      <c r="B517" s="9" t="s">
        <v>5321</v>
      </c>
      <c r="C517" s="9" t="s">
        <v>1025</v>
      </c>
      <c r="D517" s="9" t="s">
        <v>139</v>
      </c>
      <c r="E517" s="9" t="s">
        <v>263</v>
      </c>
      <c r="F517" s="9" t="s">
        <v>141</v>
      </c>
      <c r="G517" s="9" t="s">
        <v>142</v>
      </c>
      <c r="H517" s="9" t="s">
        <v>139</v>
      </c>
      <c r="I517" s="9" t="s">
        <v>411</v>
      </c>
      <c r="J517" s="9" t="s">
        <v>139</v>
      </c>
      <c r="K517" s="10">
        <v>37104</v>
      </c>
    </row>
    <row r="518" spans="1:11" x14ac:dyDescent="0.25">
      <c r="A518" s="8">
        <v>993</v>
      </c>
      <c r="B518" s="9" t="s">
        <v>5322</v>
      </c>
      <c r="C518" s="9" t="s">
        <v>1026</v>
      </c>
      <c r="D518" s="9" t="s">
        <v>139</v>
      </c>
      <c r="E518" s="9" t="s">
        <v>1027</v>
      </c>
      <c r="F518" s="9" t="s">
        <v>1028</v>
      </c>
      <c r="G518" s="9" t="s">
        <v>142</v>
      </c>
      <c r="H518" s="9" t="s">
        <v>166</v>
      </c>
      <c r="I518" s="9" t="s">
        <v>411</v>
      </c>
      <c r="J518" s="9" t="s">
        <v>139</v>
      </c>
      <c r="K518" s="10">
        <v>37104</v>
      </c>
    </row>
    <row r="519" spans="1:11" x14ac:dyDescent="0.25">
      <c r="A519" s="8">
        <v>997</v>
      </c>
      <c r="B519" s="9" t="s">
        <v>8853</v>
      </c>
      <c r="C519" s="9" t="s">
        <v>1029</v>
      </c>
      <c r="D519" s="9" t="s">
        <v>139</v>
      </c>
      <c r="E519" s="9" t="s">
        <v>328</v>
      </c>
      <c r="F519" s="9" t="s">
        <v>141</v>
      </c>
      <c r="G519" s="9" t="s">
        <v>142</v>
      </c>
      <c r="H519" s="9" t="s">
        <v>139</v>
      </c>
      <c r="I519" s="9" t="s">
        <v>143</v>
      </c>
      <c r="J519" s="9" t="s">
        <v>139</v>
      </c>
      <c r="K519" s="10">
        <v>37104</v>
      </c>
    </row>
    <row r="520" spans="1:11" x14ac:dyDescent="0.25">
      <c r="A520" s="8">
        <v>998</v>
      </c>
      <c r="B520" s="9" t="s">
        <v>5323</v>
      </c>
      <c r="C520" s="9" t="s">
        <v>1030</v>
      </c>
      <c r="D520" s="9" t="s">
        <v>139</v>
      </c>
      <c r="E520" s="9" t="s">
        <v>1031</v>
      </c>
      <c r="F520" s="9" t="s">
        <v>1032</v>
      </c>
      <c r="G520" s="9" t="s">
        <v>142</v>
      </c>
      <c r="H520" s="9" t="s">
        <v>139</v>
      </c>
      <c r="I520" s="9" t="s">
        <v>411</v>
      </c>
      <c r="J520" s="9" t="s">
        <v>139</v>
      </c>
      <c r="K520" s="10">
        <v>37104</v>
      </c>
    </row>
    <row r="521" spans="1:11" x14ac:dyDescent="0.25">
      <c r="A521" s="8">
        <v>1000</v>
      </c>
      <c r="B521" s="9" t="s">
        <v>5324</v>
      </c>
      <c r="C521" s="9" t="s">
        <v>1033</v>
      </c>
      <c r="D521" s="9" t="s">
        <v>139</v>
      </c>
      <c r="E521" s="9" t="s">
        <v>286</v>
      </c>
      <c r="F521" s="9" t="s">
        <v>141</v>
      </c>
      <c r="G521" s="9" t="s">
        <v>142</v>
      </c>
      <c r="H521" s="9" t="s">
        <v>139</v>
      </c>
      <c r="I521" s="9" t="s">
        <v>411</v>
      </c>
      <c r="J521" s="9" t="s">
        <v>139</v>
      </c>
      <c r="K521" s="10">
        <v>37104</v>
      </c>
    </row>
    <row r="522" spans="1:11" x14ac:dyDescent="0.25">
      <c r="A522" s="8">
        <v>1001</v>
      </c>
      <c r="B522" s="9" t="s">
        <v>8854</v>
      </c>
      <c r="C522" s="9" t="s">
        <v>139</v>
      </c>
      <c r="D522" s="9" t="s">
        <v>139</v>
      </c>
      <c r="E522" s="9">
        <v>75</v>
      </c>
      <c r="F522" s="9" t="s">
        <v>413</v>
      </c>
      <c r="G522" s="9" t="s">
        <v>142</v>
      </c>
      <c r="H522" s="9" t="s">
        <v>241</v>
      </c>
      <c r="I522" s="9" t="s">
        <v>143</v>
      </c>
      <c r="J522" s="9" t="s">
        <v>139</v>
      </c>
      <c r="K522" s="10">
        <v>37104</v>
      </c>
    </row>
    <row r="523" spans="1:11" x14ac:dyDescent="0.25">
      <c r="A523" s="8">
        <v>1003</v>
      </c>
      <c r="B523" s="9" t="s">
        <v>8855</v>
      </c>
      <c r="C523" s="9" t="s">
        <v>1034</v>
      </c>
      <c r="D523" s="9" t="s">
        <v>139</v>
      </c>
      <c r="E523" s="9" t="s">
        <v>139</v>
      </c>
      <c r="F523" s="9" t="s">
        <v>8390</v>
      </c>
      <c r="G523" s="9" t="s">
        <v>1035</v>
      </c>
      <c r="H523" s="9" t="s">
        <v>139</v>
      </c>
      <c r="I523" s="9" t="s">
        <v>143</v>
      </c>
      <c r="J523" s="9" t="s">
        <v>139</v>
      </c>
      <c r="K523" s="10">
        <v>37104</v>
      </c>
    </row>
    <row r="524" spans="1:11" x14ac:dyDescent="0.25">
      <c r="A524" s="8">
        <v>1004</v>
      </c>
      <c r="B524" s="9" t="s">
        <v>8856</v>
      </c>
      <c r="C524" s="9" t="s">
        <v>139</v>
      </c>
      <c r="D524" s="9" t="s">
        <v>139</v>
      </c>
      <c r="E524" s="9">
        <v>75</v>
      </c>
      <c r="F524" s="9" t="s">
        <v>413</v>
      </c>
      <c r="G524" s="9" t="s">
        <v>142</v>
      </c>
      <c r="H524" s="9" t="s">
        <v>139</v>
      </c>
      <c r="I524" s="9" t="s">
        <v>143</v>
      </c>
      <c r="J524" s="9" t="s">
        <v>139</v>
      </c>
      <c r="K524" s="10">
        <v>37104</v>
      </c>
    </row>
    <row r="525" spans="1:11" x14ac:dyDescent="0.25">
      <c r="A525" s="8">
        <v>1005</v>
      </c>
      <c r="B525" s="9" t="s">
        <v>8857</v>
      </c>
      <c r="C525" s="9" t="s">
        <v>1036</v>
      </c>
      <c r="D525" s="9" t="s">
        <v>139</v>
      </c>
      <c r="E525" s="9" t="s">
        <v>161</v>
      </c>
      <c r="F525" s="9" t="s">
        <v>9304</v>
      </c>
      <c r="G525" s="9" t="s">
        <v>142</v>
      </c>
      <c r="H525" s="9" t="s">
        <v>139</v>
      </c>
      <c r="I525" s="9" t="s">
        <v>143</v>
      </c>
      <c r="J525" s="9" t="s">
        <v>139</v>
      </c>
      <c r="K525" s="10">
        <v>37104</v>
      </c>
    </row>
    <row r="526" spans="1:11" x14ac:dyDescent="0.25">
      <c r="A526" s="8">
        <v>1006</v>
      </c>
      <c r="B526" s="9" t="s">
        <v>8858</v>
      </c>
      <c r="C526" s="9" t="s">
        <v>139</v>
      </c>
      <c r="D526" s="9" t="s">
        <v>139</v>
      </c>
      <c r="E526" s="9">
        <v>75</v>
      </c>
      <c r="F526" s="9" t="s">
        <v>413</v>
      </c>
      <c r="G526" s="9" t="s">
        <v>142</v>
      </c>
      <c r="H526" s="9" t="s">
        <v>139</v>
      </c>
      <c r="I526" s="9" t="s">
        <v>143</v>
      </c>
      <c r="J526" s="9" t="s">
        <v>139</v>
      </c>
      <c r="K526" s="10">
        <v>37104</v>
      </c>
    </row>
    <row r="527" spans="1:11" x14ac:dyDescent="0.25">
      <c r="A527" s="8">
        <v>1007</v>
      </c>
      <c r="B527" s="9" t="s">
        <v>5325</v>
      </c>
      <c r="C527" s="9" t="s">
        <v>139</v>
      </c>
      <c r="D527" s="9" t="s">
        <v>139</v>
      </c>
      <c r="E527" s="9">
        <v>75</v>
      </c>
      <c r="F527" s="9" t="s">
        <v>413</v>
      </c>
      <c r="G527" s="9" t="s">
        <v>142</v>
      </c>
      <c r="H527" s="9" t="s">
        <v>139</v>
      </c>
      <c r="I527" s="9" t="s">
        <v>411</v>
      </c>
      <c r="J527" s="9" t="s">
        <v>139</v>
      </c>
      <c r="K527" s="10">
        <v>37104</v>
      </c>
    </row>
    <row r="528" spans="1:11" x14ac:dyDescent="0.25">
      <c r="A528" s="8">
        <v>1008</v>
      </c>
      <c r="B528" s="9" t="s">
        <v>8859</v>
      </c>
      <c r="C528" s="9" t="s">
        <v>139</v>
      </c>
      <c r="D528" s="9" t="s">
        <v>139</v>
      </c>
      <c r="E528" s="9">
        <v>75</v>
      </c>
      <c r="F528" s="9" t="s">
        <v>413</v>
      </c>
      <c r="G528" s="9" t="s">
        <v>142</v>
      </c>
      <c r="H528" s="9" t="s">
        <v>139</v>
      </c>
      <c r="I528" s="9" t="s">
        <v>143</v>
      </c>
      <c r="J528" s="9" t="s">
        <v>139</v>
      </c>
      <c r="K528" s="10">
        <v>37104</v>
      </c>
    </row>
    <row r="529" spans="1:11" x14ac:dyDescent="0.25">
      <c r="A529" s="8">
        <v>1009</v>
      </c>
      <c r="B529" s="9" t="s">
        <v>5326</v>
      </c>
      <c r="C529" s="9" t="s">
        <v>1037</v>
      </c>
      <c r="D529" s="9" t="s">
        <v>139</v>
      </c>
      <c r="E529" s="9" t="s">
        <v>1038</v>
      </c>
      <c r="F529" s="9" t="s">
        <v>169</v>
      </c>
      <c r="G529" s="9" t="s">
        <v>142</v>
      </c>
      <c r="H529" s="9" t="s">
        <v>166</v>
      </c>
      <c r="I529" s="9" t="s">
        <v>411</v>
      </c>
      <c r="J529" s="9" t="s">
        <v>139</v>
      </c>
      <c r="K529" s="10">
        <v>37104</v>
      </c>
    </row>
    <row r="530" spans="1:11" x14ac:dyDescent="0.25">
      <c r="A530" s="8">
        <v>1012</v>
      </c>
      <c r="B530" s="9" t="s">
        <v>8860</v>
      </c>
      <c r="C530" s="9" t="s">
        <v>1039</v>
      </c>
      <c r="D530" s="9" t="s">
        <v>139</v>
      </c>
      <c r="E530" s="9" t="s">
        <v>229</v>
      </c>
      <c r="F530" s="9" t="s">
        <v>141</v>
      </c>
      <c r="G530" s="9" t="s">
        <v>142</v>
      </c>
      <c r="H530" s="9" t="s">
        <v>139</v>
      </c>
      <c r="I530" s="9" t="s">
        <v>143</v>
      </c>
      <c r="J530" s="9" t="s">
        <v>139</v>
      </c>
      <c r="K530" s="10">
        <v>37104</v>
      </c>
    </row>
    <row r="531" spans="1:11" x14ac:dyDescent="0.25">
      <c r="A531" s="8">
        <v>1014</v>
      </c>
      <c r="B531" s="9" t="s">
        <v>5327</v>
      </c>
      <c r="C531" s="9" t="s">
        <v>139</v>
      </c>
      <c r="D531" s="9" t="s">
        <v>139</v>
      </c>
      <c r="E531" s="9">
        <v>75</v>
      </c>
      <c r="F531" s="9" t="s">
        <v>413</v>
      </c>
      <c r="G531" s="9" t="s">
        <v>142</v>
      </c>
      <c r="H531" s="9" t="s">
        <v>139</v>
      </c>
      <c r="I531" s="9" t="s">
        <v>411</v>
      </c>
      <c r="J531" s="9" t="s">
        <v>139</v>
      </c>
      <c r="K531" s="10">
        <v>37104</v>
      </c>
    </row>
    <row r="532" spans="1:11" x14ac:dyDescent="0.25">
      <c r="A532" s="8">
        <v>1015</v>
      </c>
      <c r="B532" s="9" t="s">
        <v>5328</v>
      </c>
      <c r="C532" s="9" t="s">
        <v>1040</v>
      </c>
      <c r="D532" s="9" t="s">
        <v>139</v>
      </c>
      <c r="E532" s="9" t="s">
        <v>1041</v>
      </c>
      <c r="F532" s="9" t="s">
        <v>8406</v>
      </c>
      <c r="G532" s="9" t="s">
        <v>1042</v>
      </c>
      <c r="H532" s="9" t="s">
        <v>139</v>
      </c>
      <c r="I532" s="9" t="s">
        <v>411</v>
      </c>
      <c r="J532" s="9" t="s">
        <v>139</v>
      </c>
      <c r="K532" s="10">
        <v>37104</v>
      </c>
    </row>
    <row r="533" spans="1:11" x14ac:dyDescent="0.25">
      <c r="A533" s="8">
        <v>1016</v>
      </c>
      <c r="B533" s="9" t="s">
        <v>8861</v>
      </c>
      <c r="C533" s="9" t="s">
        <v>1043</v>
      </c>
      <c r="D533" s="9" t="s">
        <v>139</v>
      </c>
      <c r="E533" s="9" t="s">
        <v>197</v>
      </c>
      <c r="F533" s="9" t="s">
        <v>141</v>
      </c>
      <c r="G533" s="9" t="s">
        <v>142</v>
      </c>
      <c r="H533" s="9" t="s">
        <v>139</v>
      </c>
      <c r="I533" s="9" t="s">
        <v>143</v>
      </c>
      <c r="J533" s="9" t="s">
        <v>139</v>
      </c>
      <c r="K533" s="10">
        <v>37104</v>
      </c>
    </row>
    <row r="534" spans="1:11" x14ac:dyDescent="0.25">
      <c r="A534" s="8">
        <v>1017</v>
      </c>
      <c r="B534" s="9" t="s">
        <v>5329</v>
      </c>
      <c r="C534" s="9" t="s">
        <v>1044</v>
      </c>
      <c r="D534" s="9" t="s">
        <v>139</v>
      </c>
      <c r="E534" s="9" t="s">
        <v>1045</v>
      </c>
      <c r="F534" s="9" t="s">
        <v>1046</v>
      </c>
      <c r="G534" s="9" t="s">
        <v>142</v>
      </c>
      <c r="H534" s="9" t="s">
        <v>241</v>
      </c>
      <c r="I534" s="9" t="s">
        <v>411</v>
      </c>
      <c r="J534" s="9" t="s">
        <v>139</v>
      </c>
      <c r="K534" s="10">
        <v>37104</v>
      </c>
    </row>
    <row r="535" spans="1:11" x14ac:dyDescent="0.25">
      <c r="A535" s="8">
        <v>1018</v>
      </c>
      <c r="B535" s="9" t="s">
        <v>8862</v>
      </c>
      <c r="C535" s="9" t="s">
        <v>1047</v>
      </c>
      <c r="D535" s="9" t="s">
        <v>139</v>
      </c>
      <c r="E535" s="9" t="s">
        <v>500</v>
      </c>
      <c r="F535" s="9" t="s">
        <v>501</v>
      </c>
      <c r="G535" s="9" t="s">
        <v>142</v>
      </c>
      <c r="H535" s="9" t="s">
        <v>139</v>
      </c>
      <c r="I535" s="9" t="s">
        <v>143</v>
      </c>
      <c r="J535" s="9" t="s">
        <v>139</v>
      </c>
      <c r="K535" s="10">
        <v>37104</v>
      </c>
    </row>
    <row r="536" spans="1:11" x14ac:dyDescent="0.25">
      <c r="A536" s="8">
        <v>1019</v>
      </c>
      <c r="B536" s="9" t="s">
        <v>8863</v>
      </c>
      <c r="C536" s="9" t="s">
        <v>1048</v>
      </c>
      <c r="D536" s="9" t="s">
        <v>139</v>
      </c>
      <c r="E536" s="9" t="s">
        <v>697</v>
      </c>
      <c r="F536" s="9" t="s">
        <v>698</v>
      </c>
      <c r="G536" s="9" t="s">
        <v>142</v>
      </c>
      <c r="H536" s="9" t="s">
        <v>139</v>
      </c>
      <c r="I536" s="9" t="s">
        <v>143</v>
      </c>
      <c r="J536" s="9" t="s">
        <v>139</v>
      </c>
      <c r="K536" s="10">
        <v>37104</v>
      </c>
    </row>
    <row r="537" spans="1:11" x14ac:dyDescent="0.25">
      <c r="A537" s="8">
        <v>1021</v>
      </c>
      <c r="B537" s="9" t="s">
        <v>8864</v>
      </c>
      <c r="C537" s="9" t="s">
        <v>1049</v>
      </c>
      <c r="D537" s="9" t="s">
        <v>139</v>
      </c>
      <c r="E537" s="9" t="s">
        <v>1050</v>
      </c>
      <c r="F537" s="9" t="s">
        <v>1051</v>
      </c>
      <c r="G537" s="9" t="s">
        <v>142</v>
      </c>
      <c r="H537" s="9" t="s">
        <v>139</v>
      </c>
      <c r="I537" s="9" t="s">
        <v>143</v>
      </c>
      <c r="J537" s="9" t="s">
        <v>139</v>
      </c>
      <c r="K537" s="10">
        <v>37104</v>
      </c>
    </row>
    <row r="538" spans="1:11" x14ac:dyDescent="0.25">
      <c r="A538" s="8">
        <v>1022</v>
      </c>
      <c r="B538" s="9" t="s">
        <v>8865</v>
      </c>
      <c r="C538" s="9" t="s">
        <v>1052</v>
      </c>
      <c r="D538" s="9" t="s">
        <v>139</v>
      </c>
      <c r="E538" s="9" t="s">
        <v>1053</v>
      </c>
      <c r="F538" s="9" t="s">
        <v>1054</v>
      </c>
      <c r="G538" s="9" t="s">
        <v>142</v>
      </c>
      <c r="H538" s="9" t="s">
        <v>139</v>
      </c>
      <c r="I538" s="9" t="s">
        <v>143</v>
      </c>
      <c r="J538" s="9" t="s">
        <v>139</v>
      </c>
      <c r="K538" s="10">
        <v>37104</v>
      </c>
    </row>
    <row r="539" spans="1:11" x14ac:dyDescent="0.25">
      <c r="A539" s="8">
        <v>1023</v>
      </c>
      <c r="B539" s="9" t="s">
        <v>8866</v>
      </c>
      <c r="C539" s="9" t="s">
        <v>1055</v>
      </c>
      <c r="D539" s="9" t="s">
        <v>139</v>
      </c>
      <c r="E539" s="9" t="s">
        <v>1056</v>
      </c>
      <c r="F539" s="9" t="s">
        <v>1057</v>
      </c>
      <c r="G539" s="9" t="s">
        <v>142</v>
      </c>
      <c r="H539" s="9" t="s">
        <v>139</v>
      </c>
      <c r="I539" s="9" t="s">
        <v>143</v>
      </c>
      <c r="J539" s="9" t="s">
        <v>139</v>
      </c>
      <c r="K539" s="10">
        <v>37104</v>
      </c>
    </row>
    <row r="540" spans="1:11" x14ac:dyDescent="0.25">
      <c r="A540" s="8">
        <v>1024</v>
      </c>
      <c r="B540" s="9" t="s">
        <v>9298</v>
      </c>
      <c r="C540" s="9" t="s">
        <v>1058</v>
      </c>
      <c r="D540" s="9" t="s">
        <v>1059</v>
      </c>
      <c r="E540" s="9" t="s">
        <v>1060</v>
      </c>
      <c r="F540" s="9" t="s">
        <v>1061</v>
      </c>
      <c r="G540" s="9" t="s">
        <v>142</v>
      </c>
      <c r="H540" s="9" t="s">
        <v>241</v>
      </c>
      <c r="I540" s="9" t="s">
        <v>1062</v>
      </c>
      <c r="J540" s="9" t="s">
        <v>139</v>
      </c>
      <c r="K540" s="10">
        <v>37104</v>
      </c>
    </row>
    <row r="541" spans="1:11" x14ac:dyDescent="0.25">
      <c r="A541" s="8">
        <v>1025</v>
      </c>
      <c r="B541" s="9" t="s">
        <v>8867</v>
      </c>
      <c r="C541" s="9" t="s">
        <v>1063</v>
      </c>
      <c r="D541" s="9" t="s">
        <v>139</v>
      </c>
      <c r="E541" s="9" t="s">
        <v>182</v>
      </c>
      <c r="F541" s="9" t="s">
        <v>183</v>
      </c>
      <c r="G541" s="9" t="s">
        <v>142</v>
      </c>
      <c r="H541" s="9" t="s">
        <v>139</v>
      </c>
      <c r="I541" s="9" t="s">
        <v>143</v>
      </c>
      <c r="J541" s="9" t="s">
        <v>139</v>
      </c>
      <c r="K541" s="10">
        <v>37104</v>
      </c>
    </row>
    <row r="542" spans="1:11" x14ac:dyDescent="0.25">
      <c r="A542" s="8">
        <v>1026</v>
      </c>
      <c r="B542" s="9" t="s">
        <v>8868</v>
      </c>
      <c r="C542" s="9" t="s">
        <v>1064</v>
      </c>
      <c r="D542" s="9" t="s">
        <v>139</v>
      </c>
      <c r="E542" s="9" t="s">
        <v>197</v>
      </c>
      <c r="F542" s="9" t="s">
        <v>141</v>
      </c>
      <c r="G542" s="9" t="s">
        <v>142</v>
      </c>
      <c r="H542" s="9" t="s">
        <v>139</v>
      </c>
      <c r="I542" s="9" t="s">
        <v>143</v>
      </c>
      <c r="J542" s="9" t="s">
        <v>139</v>
      </c>
      <c r="K542" s="10">
        <v>37104</v>
      </c>
    </row>
    <row r="543" spans="1:11" x14ac:dyDescent="0.25">
      <c r="A543" s="8">
        <v>1027</v>
      </c>
      <c r="B543" s="9" t="s">
        <v>5330</v>
      </c>
      <c r="C543" s="9" t="s">
        <v>1065</v>
      </c>
      <c r="D543" s="9" t="s">
        <v>1066</v>
      </c>
      <c r="E543" s="9" t="s">
        <v>1067</v>
      </c>
      <c r="F543" s="9" t="s">
        <v>1068</v>
      </c>
      <c r="G543" s="9" t="s">
        <v>142</v>
      </c>
      <c r="H543" s="9" t="s">
        <v>139</v>
      </c>
      <c r="I543" s="9" t="s">
        <v>411</v>
      </c>
      <c r="J543" s="9" t="s">
        <v>139</v>
      </c>
      <c r="K543" s="10">
        <v>37104</v>
      </c>
    </row>
    <row r="544" spans="1:11" x14ac:dyDescent="0.25">
      <c r="A544" s="8">
        <v>1028</v>
      </c>
      <c r="B544" s="9" t="s">
        <v>8869</v>
      </c>
      <c r="C544" s="9" t="s">
        <v>1069</v>
      </c>
      <c r="D544" s="9" t="s">
        <v>139</v>
      </c>
      <c r="E544" s="9" t="s">
        <v>1070</v>
      </c>
      <c r="F544" s="9" t="s">
        <v>1071</v>
      </c>
      <c r="G544" s="9" t="s">
        <v>142</v>
      </c>
      <c r="H544" s="9" t="s">
        <v>139</v>
      </c>
      <c r="I544" s="9" t="s">
        <v>143</v>
      </c>
      <c r="J544" s="9" t="s">
        <v>139</v>
      </c>
      <c r="K544" s="10">
        <v>37104</v>
      </c>
    </row>
    <row r="545" spans="1:11" x14ac:dyDescent="0.25">
      <c r="A545" s="8">
        <v>1029</v>
      </c>
      <c r="B545" s="9" t="s">
        <v>8870</v>
      </c>
      <c r="C545" s="9" t="s">
        <v>139</v>
      </c>
      <c r="D545" s="9" t="s">
        <v>139</v>
      </c>
      <c r="E545" s="9">
        <v>75</v>
      </c>
      <c r="F545" s="9" t="s">
        <v>413</v>
      </c>
      <c r="G545" s="9" t="s">
        <v>142</v>
      </c>
      <c r="H545" s="9" t="s">
        <v>139</v>
      </c>
      <c r="I545" s="9" t="s">
        <v>143</v>
      </c>
      <c r="J545" s="9" t="s">
        <v>139</v>
      </c>
      <c r="K545" s="10">
        <v>37104</v>
      </c>
    </row>
    <row r="546" spans="1:11" x14ac:dyDescent="0.25">
      <c r="A546" s="8">
        <v>1030</v>
      </c>
      <c r="B546" s="9" t="s">
        <v>8871</v>
      </c>
      <c r="C546" s="9" t="s">
        <v>1072</v>
      </c>
      <c r="D546" s="9" t="s">
        <v>139</v>
      </c>
      <c r="E546" s="9" t="s">
        <v>140</v>
      </c>
      <c r="F546" s="9" t="s">
        <v>141</v>
      </c>
      <c r="G546" s="9" t="s">
        <v>142</v>
      </c>
      <c r="H546" s="9" t="s">
        <v>139</v>
      </c>
      <c r="I546" s="9" t="s">
        <v>143</v>
      </c>
      <c r="J546" s="9" t="s">
        <v>139</v>
      </c>
      <c r="K546" s="10">
        <v>37104</v>
      </c>
    </row>
    <row r="547" spans="1:11" x14ac:dyDescent="0.25">
      <c r="A547" s="8">
        <v>1031</v>
      </c>
      <c r="B547" s="9" t="s">
        <v>5331</v>
      </c>
      <c r="C547" s="9" t="s">
        <v>1073</v>
      </c>
      <c r="D547" s="9" t="s">
        <v>139</v>
      </c>
      <c r="E547" s="9" t="s">
        <v>1074</v>
      </c>
      <c r="F547" s="9" t="s">
        <v>1075</v>
      </c>
      <c r="G547" s="9" t="s">
        <v>142</v>
      </c>
      <c r="H547" s="9" t="s">
        <v>139</v>
      </c>
      <c r="I547" s="9" t="s">
        <v>411</v>
      </c>
      <c r="J547" s="9" t="s">
        <v>139</v>
      </c>
      <c r="K547" s="10">
        <v>37104</v>
      </c>
    </row>
    <row r="548" spans="1:11" x14ac:dyDescent="0.25">
      <c r="A548" s="8">
        <v>1034</v>
      </c>
      <c r="B548" s="9" t="s">
        <v>8872</v>
      </c>
      <c r="C548" s="9" t="s">
        <v>845</v>
      </c>
      <c r="D548" s="9" t="s">
        <v>139</v>
      </c>
      <c r="E548" s="9" t="s">
        <v>229</v>
      </c>
      <c r="F548" s="9" t="s">
        <v>141</v>
      </c>
      <c r="G548" s="9" t="s">
        <v>142</v>
      </c>
      <c r="H548" s="9" t="s">
        <v>321</v>
      </c>
      <c r="I548" s="9" t="s">
        <v>143</v>
      </c>
      <c r="J548" s="9" t="s">
        <v>139</v>
      </c>
      <c r="K548" s="10">
        <v>37104</v>
      </c>
    </row>
    <row r="549" spans="1:11" x14ac:dyDescent="0.25">
      <c r="A549" s="8">
        <v>1035</v>
      </c>
      <c r="B549" s="9" t="s">
        <v>8873</v>
      </c>
      <c r="C549" s="9" t="s">
        <v>1076</v>
      </c>
      <c r="D549" s="9" t="s">
        <v>139</v>
      </c>
      <c r="E549" s="9" t="s">
        <v>194</v>
      </c>
      <c r="F549" s="9" t="s">
        <v>195</v>
      </c>
      <c r="G549" s="9" t="s">
        <v>142</v>
      </c>
      <c r="H549" s="9" t="s">
        <v>139</v>
      </c>
      <c r="I549" s="9" t="s">
        <v>143</v>
      </c>
      <c r="J549" s="9" t="s">
        <v>139</v>
      </c>
      <c r="K549" s="10">
        <v>37104</v>
      </c>
    </row>
    <row r="550" spans="1:11" x14ac:dyDescent="0.25">
      <c r="A550" s="8">
        <v>1036</v>
      </c>
      <c r="B550" s="9" t="s">
        <v>8874</v>
      </c>
      <c r="C550" s="9" t="s">
        <v>1077</v>
      </c>
      <c r="D550" s="9" t="s">
        <v>139</v>
      </c>
      <c r="E550" s="9" t="s">
        <v>387</v>
      </c>
      <c r="F550" s="9" t="s">
        <v>388</v>
      </c>
      <c r="G550" s="9" t="s">
        <v>142</v>
      </c>
      <c r="H550" s="9" t="s">
        <v>1078</v>
      </c>
      <c r="I550" s="9" t="s">
        <v>143</v>
      </c>
      <c r="J550" s="9" t="s">
        <v>139</v>
      </c>
      <c r="K550" s="10">
        <v>37104</v>
      </c>
    </row>
    <row r="551" spans="1:11" x14ac:dyDescent="0.25">
      <c r="A551" s="8">
        <v>1037</v>
      </c>
      <c r="B551" s="9" t="s">
        <v>8875</v>
      </c>
      <c r="C551" s="9" t="s">
        <v>1079</v>
      </c>
      <c r="D551" s="9" t="s">
        <v>139</v>
      </c>
      <c r="E551" s="9" t="s">
        <v>286</v>
      </c>
      <c r="F551" s="9" t="s">
        <v>141</v>
      </c>
      <c r="G551" s="9" t="s">
        <v>142</v>
      </c>
      <c r="H551" s="9" t="s">
        <v>139</v>
      </c>
      <c r="I551" s="9" t="s">
        <v>143</v>
      </c>
      <c r="J551" s="9" t="s">
        <v>139</v>
      </c>
      <c r="K551" s="10">
        <v>37104</v>
      </c>
    </row>
    <row r="552" spans="1:11" x14ac:dyDescent="0.25">
      <c r="A552" s="8">
        <v>1038</v>
      </c>
      <c r="B552" s="9" t="s">
        <v>8876</v>
      </c>
      <c r="C552" s="9" t="s">
        <v>1080</v>
      </c>
      <c r="D552" s="9" t="s">
        <v>139</v>
      </c>
      <c r="E552" s="9" t="s">
        <v>308</v>
      </c>
      <c r="F552" s="9" t="s">
        <v>141</v>
      </c>
      <c r="G552" s="9" t="s">
        <v>142</v>
      </c>
      <c r="H552" s="9" t="s">
        <v>321</v>
      </c>
      <c r="I552" s="9" t="s">
        <v>143</v>
      </c>
      <c r="J552" s="9" t="s">
        <v>139</v>
      </c>
      <c r="K552" s="10">
        <v>37104</v>
      </c>
    </row>
    <row r="553" spans="1:11" x14ac:dyDescent="0.25">
      <c r="A553" s="8">
        <v>1039</v>
      </c>
      <c r="B553" s="9" t="s">
        <v>8877</v>
      </c>
      <c r="C553" s="9" t="s">
        <v>139</v>
      </c>
      <c r="D553" s="9" t="s">
        <v>139</v>
      </c>
      <c r="E553" s="9">
        <v>75</v>
      </c>
      <c r="F553" s="9" t="s">
        <v>413</v>
      </c>
      <c r="G553" s="9" t="s">
        <v>142</v>
      </c>
      <c r="H553" s="9" t="s">
        <v>166</v>
      </c>
      <c r="I553" s="9" t="s">
        <v>143</v>
      </c>
      <c r="J553" s="9" t="s">
        <v>139</v>
      </c>
      <c r="K553" s="10">
        <v>37104</v>
      </c>
    </row>
    <row r="554" spans="1:11" x14ac:dyDescent="0.25">
      <c r="A554" s="8">
        <v>1041</v>
      </c>
      <c r="B554" s="9" t="s">
        <v>9299</v>
      </c>
      <c r="C554" s="9" t="s">
        <v>1081</v>
      </c>
      <c r="D554" s="9" t="s">
        <v>1082</v>
      </c>
      <c r="E554" s="9" t="s">
        <v>1083</v>
      </c>
      <c r="F554" s="9" t="s">
        <v>1084</v>
      </c>
      <c r="G554" s="9" t="s">
        <v>142</v>
      </c>
      <c r="H554" s="9" t="s">
        <v>139</v>
      </c>
      <c r="I554" s="9" t="s">
        <v>1062</v>
      </c>
      <c r="J554" s="9" t="s">
        <v>139</v>
      </c>
      <c r="K554" s="10">
        <v>37104</v>
      </c>
    </row>
    <row r="555" spans="1:11" x14ac:dyDescent="0.25">
      <c r="A555" s="8">
        <v>1045</v>
      </c>
      <c r="B555" s="9" t="s">
        <v>8878</v>
      </c>
      <c r="C555" s="9" t="s">
        <v>1085</v>
      </c>
      <c r="D555" s="9" t="s">
        <v>139</v>
      </c>
      <c r="E555" s="9" t="s">
        <v>180</v>
      </c>
      <c r="F555" s="9" t="s">
        <v>141</v>
      </c>
      <c r="G555" s="9" t="s">
        <v>142</v>
      </c>
      <c r="H555" s="9" t="s">
        <v>258</v>
      </c>
      <c r="I555" s="9" t="s">
        <v>143</v>
      </c>
      <c r="J555" s="9" t="s">
        <v>139</v>
      </c>
      <c r="K555" s="10">
        <v>37104</v>
      </c>
    </row>
    <row r="556" spans="1:11" x14ac:dyDescent="0.25">
      <c r="A556" s="8">
        <v>1046</v>
      </c>
      <c r="B556" s="9" t="s">
        <v>8879</v>
      </c>
      <c r="C556" s="9" t="s">
        <v>139</v>
      </c>
      <c r="D556" s="9" t="s">
        <v>139</v>
      </c>
      <c r="E556" s="9">
        <v>75</v>
      </c>
      <c r="F556" s="9" t="s">
        <v>413</v>
      </c>
      <c r="G556" s="9" t="s">
        <v>142</v>
      </c>
      <c r="H556" s="9" t="s">
        <v>321</v>
      </c>
      <c r="I556" s="9" t="s">
        <v>143</v>
      </c>
      <c r="J556" s="9" t="s">
        <v>139</v>
      </c>
      <c r="K556" s="10">
        <v>37104</v>
      </c>
    </row>
    <row r="557" spans="1:11" x14ac:dyDescent="0.25">
      <c r="A557" s="8">
        <v>1047</v>
      </c>
      <c r="B557" s="9" t="s">
        <v>8880</v>
      </c>
      <c r="C557" s="9" t="s">
        <v>1086</v>
      </c>
      <c r="D557" s="9" t="s">
        <v>139</v>
      </c>
      <c r="E557" s="9" t="s">
        <v>218</v>
      </c>
      <c r="F557" s="9" t="s">
        <v>141</v>
      </c>
      <c r="G557" s="9" t="s">
        <v>142</v>
      </c>
      <c r="H557" s="9" t="s">
        <v>139</v>
      </c>
      <c r="I557" s="9" t="s">
        <v>143</v>
      </c>
      <c r="J557" s="9" t="s">
        <v>139</v>
      </c>
      <c r="K557" s="10">
        <v>37104</v>
      </c>
    </row>
    <row r="558" spans="1:11" x14ac:dyDescent="0.25">
      <c r="A558" s="8">
        <v>1049</v>
      </c>
      <c r="B558" s="9" t="s">
        <v>8881</v>
      </c>
      <c r="C558" s="9" t="s">
        <v>1087</v>
      </c>
      <c r="D558" s="9" t="s">
        <v>139</v>
      </c>
      <c r="E558" s="9" t="s">
        <v>1050</v>
      </c>
      <c r="F558" s="9" t="s">
        <v>1088</v>
      </c>
      <c r="G558" s="9" t="s">
        <v>142</v>
      </c>
      <c r="H558" s="9" t="s">
        <v>241</v>
      </c>
      <c r="I558" s="9" t="s">
        <v>143</v>
      </c>
      <c r="J558" s="9" t="s">
        <v>139</v>
      </c>
      <c r="K558" s="10">
        <v>37104</v>
      </c>
    </row>
    <row r="559" spans="1:11" x14ac:dyDescent="0.25">
      <c r="A559" s="8">
        <v>1051</v>
      </c>
      <c r="B559" s="9" t="s">
        <v>8882</v>
      </c>
      <c r="C559" s="9" t="s">
        <v>1089</v>
      </c>
      <c r="D559" s="9" t="s">
        <v>139</v>
      </c>
      <c r="E559" s="9" t="s">
        <v>197</v>
      </c>
      <c r="F559" s="9" t="s">
        <v>141</v>
      </c>
      <c r="G559" s="9" t="s">
        <v>142</v>
      </c>
      <c r="H559" s="9" t="s">
        <v>258</v>
      </c>
      <c r="I559" s="9" t="s">
        <v>143</v>
      </c>
      <c r="J559" s="9" t="s">
        <v>139</v>
      </c>
      <c r="K559" s="10">
        <v>37104</v>
      </c>
    </row>
    <row r="560" spans="1:11" x14ac:dyDescent="0.25">
      <c r="A560" s="8">
        <v>1052</v>
      </c>
      <c r="B560" s="9" t="s">
        <v>8883</v>
      </c>
      <c r="C560" s="9" t="s">
        <v>1090</v>
      </c>
      <c r="D560" s="9" t="s">
        <v>139</v>
      </c>
      <c r="E560" s="9" t="s">
        <v>1091</v>
      </c>
      <c r="F560" s="9" t="s">
        <v>1092</v>
      </c>
      <c r="G560" s="9" t="s">
        <v>142</v>
      </c>
      <c r="H560" s="9" t="s">
        <v>258</v>
      </c>
      <c r="I560" s="9" t="s">
        <v>143</v>
      </c>
      <c r="J560" s="9" t="s">
        <v>139</v>
      </c>
      <c r="K560" s="10">
        <v>37104</v>
      </c>
    </row>
    <row r="561" spans="1:11" x14ac:dyDescent="0.25">
      <c r="A561" s="8">
        <v>1053</v>
      </c>
      <c r="B561" s="9" t="s">
        <v>8884</v>
      </c>
      <c r="C561" s="9" t="s">
        <v>1093</v>
      </c>
      <c r="D561" s="9" t="s">
        <v>139</v>
      </c>
      <c r="E561" s="9" t="s">
        <v>1091</v>
      </c>
      <c r="F561" s="9" t="s">
        <v>1092</v>
      </c>
      <c r="G561" s="9" t="s">
        <v>142</v>
      </c>
      <c r="H561" s="9" t="s">
        <v>258</v>
      </c>
      <c r="I561" s="9" t="s">
        <v>143</v>
      </c>
      <c r="J561" s="9" t="s">
        <v>139</v>
      </c>
      <c r="K561" s="10">
        <v>37104</v>
      </c>
    </row>
    <row r="562" spans="1:11" x14ac:dyDescent="0.25">
      <c r="A562" s="8">
        <v>1055</v>
      </c>
      <c r="B562" s="9" t="s">
        <v>8885</v>
      </c>
      <c r="C562" s="9" t="s">
        <v>1094</v>
      </c>
      <c r="D562" s="9" t="s">
        <v>139</v>
      </c>
      <c r="E562" s="9" t="s">
        <v>576</v>
      </c>
      <c r="F562" s="9" t="s">
        <v>577</v>
      </c>
      <c r="G562" s="9" t="s">
        <v>142</v>
      </c>
      <c r="H562" s="9" t="s">
        <v>166</v>
      </c>
      <c r="I562" s="9" t="s">
        <v>143</v>
      </c>
      <c r="J562" s="9" t="s">
        <v>139</v>
      </c>
      <c r="K562" s="10">
        <v>37104</v>
      </c>
    </row>
    <row r="563" spans="1:11" x14ac:dyDescent="0.25">
      <c r="A563" s="8">
        <v>1056</v>
      </c>
      <c r="B563" s="9" t="s">
        <v>8886</v>
      </c>
      <c r="C563" s="9" t="s">
        <v>1095</v>
      </c>
      <c r="D563" s="9" t="s">
        <v>139</v>
      </c>
      <c r="E563" s="9" t="s">
        <v>328</v>
      </c>
      <c r="F563" s="9" t="s">
        <v>141</v>
      </c>
      <c r="G563" s="9" t="s">
        <v>142</v>
      </c>
      <c r="H563" s="9" t="s">
        <v>166</v>
      </c>
      <c r="I563" s="9" t="s">
        <v>143</v>
      </c>
      <c r="J563" s="9" t="s">
        <v>139</v>
      </c>
      <c r="K563" s="10">
        <v>37104</v>
      </c>
    </row>
    <row r="564" spans="1:11" x14ac:dyDescent="0.25">
      <c r="A564" s="8">
        <v>1057</v>
      </c>
      <c r="B564" s="9" t="s">
        <v>8887</v>
      </c>
      <c r="C564" s="9" t="s">
        <v>1096</v>
      </c>
      <c r="D564" s="9" t="s">
        <v>139</v>
      </c>
      <c r="E564" s="9" t="s">
        <v>145</v>
      </c>
      <c r="F564" s="9" t="s">
        <v>141</v>
      </c>
      <c r="G564" s="9" t="s">
        <v>142</v>
      </c>
      <c r="H564" s="9" t="s">
        <v>139</v>
      </c>
      <c r="I564" s="9" t="s">
        <v>143</v>
      </c>
      <c r="J564" s="9" t="s">
        <v>139</v>
      </c>
      <c r="K564" s="10">
        <v>37104</v>
      </c>
    </row>
    <row r="565" spans="1:11" x14ac:dyDescent="0.25">
      <c r="A565" s="8">
        <v>1058</v>
      </c>
      <c r="B565" s="9" t="s">
        <v>8888</v>
      </c>
      <c r="C565" s="9" t="s">
        <v>1097</v>
      </c>
      <c r="D565" s="9" t="s">
        <v>1098</v>
      </c>
      <c r="E565" s="9" t="s">
        <v>940</v>
      </c>
      <c r="F565" s="9" t="s">
        <v>941</v>
      </c>
      <c r="G565" s="9" t="s">
        <v>142</v>
      </c>
      <c r="H565" s="9" t="s">
        <v>241</v>
      </c>
      <c r="I565" s="9" t="s">
        <v>143</v>
      </c>
      <c r="J565" s="9" t="s">
        <v>139</v>
      </c>
      <c r="K565" s="10">
        <v>37104</v>
      </c>
    </row>
    <row r="566" spans="1:11" x14ac:dyDescent="0.25">
      <c r="A566" s="8">
        <v>1059</v>
      </c>
      <c r="B566" s="9" t="s">
        <v>8889</v>
      </c>
      <c r="C566" s="9" t="s">
        <v>139</v>
      </c>
      <c r="D566" s="9" t="s">
        <v>139</v>
      </c>
      <c r="E566" s="9">
        <v>75</v>
      </c>
      <c r="F566" s="9" t="s">
        <v>413</v>
      </c>
      <c r="G566" s="9" t="s">
        <v>142</v>
      </c>
      <c r="H566" s="9" t="s">
        <v>258</v>
      </c>
      <c r="I566" s="9" t="s">
        <v>143</v>
      </c>
      <c r="J566" s="9" t="s">
        <v>139</v>
      </c>
      <c r="K566" s="10">
        <v>37104</v>
      </c>
    </row>
    <row r="567" spans="1:11" x14ac:dyDescent="0.25">
      <c r="A567" s="8">
        <v>1060</v>
      </c>
      <c r="B567" s="9" t="s">
        <v>8890</v>
      </c>
      <c r="C567" s="9" t="s">
        <v>1099</v>
      </c>
      <c r="D567" s="9" t="s">
        <v>139</v>
      </c>
      <c r="E567" s="9" t="s">
        <v>308</v>
      </c>
      <c r="F567" s="9" t="s">
        <v>141</v>
      </c>
      <c r="G567" s="9" t="s">
        <v>142</v>
      </c>
      <c r="H567" s="9" t="s">
        <v>139</v>
      </c>
      <c r="I567" s="9" t="s">
        <v>143</v>
      </c>
      <c r="J567" s="9" t="s">
        <v>139</v>
      </c>
      <c r="K567" s="10">
        <v>37104</v>
      </c>
    </row>
    <row r="568" spans="1:11" x14ac:dyDescent="0.25">
      <c r="A568" s="8">
        <v>1061</v>
      </c>
      <c r="B568" s="9" t="s">
        <v>5332</v>
      </c>
      <c r="C568" s="9" t="s">
        <v>1100</v>
      </c>
      <c r="D568" s="9" t="s">
        <v>139</v>
      </c>
      <c r="E568" s="9" t="s">
        <v>214</v>
      </c>
      <c r="F568" s="9" t="s">
        <v>215</v>
      </c>
      <c r="G568" s="9" t="s">
        <v>142</v>
      </c>
      <c r="H568" s="9" t="s">
        <v>139</v>
      </c>
      <c r="I568" s="9" t="s">
        <v>411</v>
      </c>
      <c r="J568" s="9" t="s">
        <v>139</v>
      </c>
      <c r="K568" s="10">
        <v>37104</v>
      </c>
    </row>
    <row r="569" spans="1:11" x14ac:dyDescent="0.25">
      <c r="A569" s="8">
        <v>1062</v>
      </c>
      <c r="B569" s="9" t="s">
        <v>5333</v>
      </c>
      <c r="C569" s="9" t="s">
        <v>1101</v>
      </c>
      <c r="D569" s="9" t="s">
        <v>1102</v>
      </c>
      <c r="E569" s="9" t="s">
        <v>1103</v>
      </c>
      <c r="F569" s="9" t="s">
        <v>1104</v>
      </c>
      <c r="G569" s="9" t="s">
        <v>142</v>
      </c>
      <c r="H569" s="9" t="s">
        <v>166</v>
      </c>
      <c r="I569" s="9" t="s">
        <v>411</v>
      </c>
      <c r="J569" s="9" t="s">
        <v>139</v>
      </c>
      <c r="K569" s="10">
        <v>37104</v>
      </c>
    </row>
    <row r="570" spans="1:11" x14ac:dyDescent="0.25">
      <c r="A570" s="8">
        <v>1064</v>
      </c>
      <c r="B570" s="9" t="s">
        <v>8891</v>
      </c>
      <c r="C570" s="9" t="s">
        <v>1105</v>
      </c>
      <c r="D570" s="9" t="s">
        <v>139</v>
      </c>
      <c r="E570" s="9" t="s">
        <v>1106</v>
      </c>
      <c r="F570" s="9" t="s">
        <v>1107</v>
      </c>
      <c r="G570" s="9" t="s">
        <v>142</v>
      </c>
      <c r="H570" s="9" t="s">
        <v>139</v>
      </c>
      <c r="I570" s="9" t="s">
        <v>143</v>
      </c>
      <c r="J570" s="9" t="s">
        <v>139</v>
      </c>
      <c r="K570" s="10">
        <v>37104</v>
      </c>
    </row>
    <row r="571" spans="1:11" x14ac:dyDescent="0.25">
      <c r="A571" s="8">
        <v>1065</v>
      </c>
      <c r="B571" s="9" t="s">
        <v>8892</v>
      </c>
      <c r="C571" s="9" t="s">
        <v>1108</v>
      </c>
      <c r="D571" s="9" t="s">
        <v>139</v>
      </c>
      <c r="E571" s="9" t="s">
        <v>364</v>
      </c>
      <c r="F571" s="9" t="s">
        <v>365</v>
      </c>
      <c r="G571" s="9" t="s">
        <v>142</v>
      </c>
      <c r="H571" s="9" t="s">
        <v>139</v>
      </c>
      <c r="I571" s="9" t="s">
        <v>143</v>
      </c>
      <c r="J571" s="9" t="s">
        <v>139</v>
      </c>
      <c r="K571" s="10">
        <v>37104</v>
      </c>
    </row>
    <row r="572" spans="1:11" x14ac:dyDescent="0.25">
      <c r="A572" s="8">
        <v>1067</v>
      </c>
      <c r="B572" s="9" t="s">
        <v>8893</v>
      </c>
      <c r="C572" s="9" t="s">
        <v>1109</v>
      </c>
      <c r="D572" s="9" t="s">
        <v>139</v>
      </c>
      <c r="E572" s="9" t="s">
        <v>229</v>
      </c>
      <c r="F572" s="9" t="s">
        <v>141</v>
      </c>
      <c r="G572" s="9" t="s">
        <v>142</v>
      </c>
      <c r="H572" s="9" t="s">
        <v>166</v>
      </c>
      <c r="I572" s="9" t="s">
        <v>143</v>
      </c>
      <c r="J572" s="9" t="s">
        <v>139</v>
      </c>
      <c r="K572" s="10">
        <v>37104</v>
      </c>
    </row>
    <row r="573" spans="1:11" x14ac:dyDescent="0.25">
      <c r="A573" s="8">
        <v>1068</v>
      </c>
      <c r="B573" s="9" t="s">
        <v>8894</v>
      </c>
      <c r="C573" s="9" t="s">
        <v>1110</v>
      </c>
      <c r="D573" s="9" t="s">
        <v>139</v>
      </c>
      <c r="E573" s="9" t="s">
        <v>1111</v>
      </c>
      <c r="F573" s="9" t="s">
        <v>1112</v>
      </c>
      <c r="G573" s="9" t="s">
        <v>142</v>
      </c>
      <c r="H573" s="9" t="s">
        <v>139</v>
      </c>
      <c r="I573" s="9" t="s">
        <v>143</v>
      </c>
      <c r="J573" s="9" t="s">
        <v>139</v>
      </c>
      <c r="K573" s="10">
        <v>37104</v>
      </c>
    </row>
    <row r="574" spans="1:11" x14ac:dyDescent="0.25">
      <c r="A574" s="8">
        <v>1069</v>
      </c>
      <c r="B574" s="9" t="s">
        <v>5334</v>
      </c>
      <c r="C574" s="9" t="s">
        <v>139</v>
      </c>
      <c r="D574" s="9" t="s">
        <v>139</v>
      </c>
      <c r="E574" s="9">
        <v>75</v>
      </c>
      <c r="F574" s="9" t="s">
        <v>413</v>
      </c>
      <c r="G574" s="9" t="s">
        <v>142</v>
      </c>
      <c r="H574" s="9" t="s">
        <v>139</v>
      </c>
      <c r="I574" s="9" t="s">
        <v>411</v>
      </c>
      <c r="J574" s="9" t="s">
        <v>139</v>
      </c>
      <c r="K574" s="10">
        <v>37127.491539351853</v>
      </c>
    </row>
    <row r="575" spans="1:11" x14ac:dyDescent="0.25">
      <c r="A575" s="8">
        <v>1070</v>
      </c>
      <c r="B575" s="9" t="s">
        <v>5335</v>
      </c>
      <c r="C575" s="9" t="s">
        <v>139</v>
      </c>
      <c r="D575" s="9" t="s">
        <v>139</v>
      </c>
      <c r="E575" s="9">
        <v>75</v>
      </c>
      <c r="F575" s="9" t="s">
        <v>413</v>
      </c>
      <c r="G575" s="9" t="s">
        <v>142</v>
      </c>
      <c r="H575" s="9" t="s">
        <v>139</v>
      </c>
      <c r="I575" s="9" t="s">
        <v>411</v>
      </c>
      <c r="J575" s="9" t="s">
        <v>139</v>
      </c>
      <c r="K575" s="10">
        <v>37127.49181712963</v>
      </c>
    </row>
    <row r="576" spans="1:11" x14ac:dyDescent="0.25">
      <c r="A576" s="8">
        <v>1071</v>
      </c>
      <c r="B576" s="9" t="s">
        <v>5336</v>
      </c>
      <c r="C576" s="9" t="s">
        <v>139</v>
      </c>
      <c r="D576" s="9" t="s">
        <v>139</v>
      </c>
      <c r="E576" s="9">
        <v>75</v>
      </c>
      <c r="F576" s="9" t="s">
        <v>413</v>
      </c>
      <c r="G576" s="9" t="s">
        <v>142</v>
      </c>
      <c r="H576" s="9" t="s">
        <v>139</v>
      </c>
      <c r="I576" s="9" t="s">
        <v>411</v>
      </c>
      <c r="J576" s="9" t="s">
        <v>139</v>
      </c>
      <c r="K576" s="10">
        <v>37127.492106481484</v>
      </c>
    </row>
    <row r="577" spans="1:11" x14ac:dyDescent="0.25">
      <c r="A577" s="8">
        <v>1072</v>
      </c>
      <c r="B577" s="9" t="s">
        <v>5337</v>
      </c>
      <c r="C577" s="9" t="s">
        <v>1113</v>
      </c>
      <c r="D577" s="9" t="s">
        <v>139</v>
      </c>
      <c r="E577" s="9" t="s">
        <v>1114</v>
      </c>
      <c r="F577" s="9" t="s">
        <v>1115</v>
      </c>
      <c r="G577" s="9" t="s">
        <v>142</v>
      </c>
      <c r="H577" s="9" t="s">
        <v>139</v>
      </c>
      <c r="I577" s="9" t="s">
        <v>411</v>
      </c>
      <c r="J577" s="9" t="s">
        <v>139</v>
      </c>
      <c r="K577" s="10">
        <v>37127.724016203705</v>
      </c>
    </row>
    <row r="578" spans="1:11" x14ac:dyDescent="0.25">
      <c r="A578" s="8">
        <v>1074</v>
      </c>
      <c r="B578" s="9" t="s">
        <v>8895</v>
      </c>
      <c r="C578" s="9" t="s">
        <v>1116</v>
      </c>
      <c r="D578" s="9" t="s">
        <v>139</v>
      </c>
      <c r="E578" s="9" t="s">
        <v>263</v>
      </c>
      <c r="F578" s="9" t="s">
        <v>141</v>
      </c>
      <c r="G578" s="9" t="s">
        <v>142</v>
      </c>
      <c r="H578" s="9" t="s">
        <v>166</v>
      </c>
      <c r="I578" s="9" t="s">
        <v>143</v>
      </c>
      <c r="J578" s="9" t="s">
        <v>139</v>
      </c>
      <c r="K578" s="10">
        <v>37135.691863425927</v>
      </c>
    </row>
    <row r="579" spans="1:11" x14ac:dyDescent="0.25">
      <c r="A579" s="8">
        <v>1075</v>
      </c>
      <c r="B579" s="9" t="s">
        <v>8896</v>
      </c>
      <c r="C579" s="9" t="s">
        <v>1117</v>
      </c>
      <c r="D579" s="9" t="s">
        <v>139</v>
      </c>
      <c r="E579" s="9" t="s">
        <v>229</v>
      </c>
      <c r="F579" s="9" t="s">
        <v>141</v>
      </c>
      <c r="G579" s="9" t="s">
        <v>142</v>
      </c>
      <c r="H579" s="9" t="s">
        <v>241</v>
      </c>
      <c r="I579" s="9" t="s">
        <v>143</v>
      </c>
      <c r="J579" s="9" t="s">
        <v>139</v>
      </c>
      <c r="K579" s="10">
        <v>37135.707326388889</v>
      </c>
    </row>
    <row r="580" spans="1:11" x14ac:dyDescent="0.25">
      <c r="A580" s="8">
        <v>1076</v>
      </c>
      <c r="B580" s="9" t="s">
        <v>8897</v>
      </c>
      <c r="C580" s="9" t="s">
        <v>1118</v>
      </c>
      <c r="D580" s="9" t="s">
        <v>139</v>
      </c>
      <c r="E580" s="9" t="s">
        <v>161</v>
      </c>
      <c r="F580" s="9" t="s">
        <v>9304</v>
      </c>
      <c r="G580" s="9" t="s">
        <v>142</v>
      </c>
      <c r="H580" s="9" t="s">
        <v>139</v>
      </c>
      <c r="I580" s="9" t="s">
        <v>143</v>
      </c>
      <c r="J580" s="9" t="s">
        <v>139</v>
      </c>
      <c r="K580" s="10">
        <v>37135.797743055555</v>
      </c>
    </row>
    <row r="581" spans="1:11" x14ac:dyDescent="0.25">
      <c r="A581" s="8">
        <v>1077</v>
      </c>
      <c r="B581" s="9" t="s">
        <v>5338</v>
      </c>
      <c r="C581" s="9" t="s">
        <v>1119</v>
      </c>
      <c r="D581" s="9" t="s">
        <v>139</v>
      </c>
      <c r="E581" s="9" t="s">
        <v>1120</v>
      </c>
      <c r="F581" s="9" t="s">
        <v>1121</v>
      </c>
      <c r="G581" s="9" t="s">
        <v>142</v>
      </c>
      <c r="H581" s="9" t="s">
        <v>139</v>
      </c>
      <c r="I581" s="9" t="s">
        <v>411</v>
      </c>
      <c r="J581" s="9" t="s">
        <v>139</v>
      </c>
      <c r="K581" s="10">
        <v>37141.696898148148</v>
      </c>
    </row>
    <row r="582" spans="1:11" x14ac:dyDescent="0.25">
      <c r="A582" s="8">
        <v>1078</v>
      </c>
      <c r="B582" s="9" t="s">
        <v>5339</v>
      </c>
      <c r="C582" s="9" t="s">
        <v>1122</v>
      </c>
      <c r="D582" s="9" t="s">
        <v>139</v>
      </c>
      <c r="E582" s="9" t="s">
        <v>1031</v>
      </c>
      <c r="F582" s="9" t="s">
        <v>1123</v>
      </c>
      <c r="G582" s="9" t="s">
        <v>142</v>
      </c>
      <c r="H582" s="9" t="s">
        <v>166</v>
      </c>
      <c r="I582" s="9" t="s">
        <v>411</v>
      </c>
      <c r="J582" s="9" t="s">
        <v>139</v>
      </c>
      <c r="K582" s="10">
        <v>37141.738900462966</v>
      </c>
    </row>
    <row r="583" spans="1:11" x14ac:dyDescent="0.25">
      <c r="A583" s="8">
        <v>1079</v>
      </c>
      <c r="B583" s="9" t="s">
        <v>5340</v>
      </c>
      <c r="C583" s="9" t="s">
        <v>1124</v>
      </c>
      <c r="D583" s="9" t="s">
        <v>139</v>
      </c>
      <c r="E583" s="9" t="s">
        <v>212</v>
      </c>
      <c r="F583" s="9" t="s">
        <v>141</v>
      </c>
      <c r="G583" s="9" t="s">
        <v>142</v>
      </c>
      <c r="H583" s="9" t="s">
        <v>166</v>
      </c>
      <c r="I583" s="9" t="s">
        <v>411</v>
      </c>
      <c r="J583" s="9" t="s">
        <v>1125</v>
      </c>
      <c r="K583" s="10">
        <v>37142.511284722219</v>
      </c>
    </row>
    <row r="584" spans="1:11" x14ac:dyDescent="0.25">
      <c r="A584" s="8">
        <v>1080</v>
      </c>
      <c r="B584" s="9" t="s">
        <v>5341</v>
      </c>
      <c r="C584" s="9" t="s">
        <v>1126</v>
      </c>
      <c r="D584" s="9" t="s">
        <v>139</v>
      </c>
      <c r="E584" s="9" t="s">
        <v>1127</v>
      </c>
      <c r="F584" s="9" t="s">
        <v>1128</v>
      </c>
      <c r="G584" s="9" t="s">
        <v>142</v>
      </c>
      <c r="H584" s="9" t="s">
        <v>139</v>
      </c>
      <c r="I584" s="9" t="s">
        <v>411</v>
      </c>
      <c r="J584" s="9" t="s">
        <v>139</v>
      </c>
      <c r="K584" s="10">
        <v>37142.534918981481</v>
      </c>
    </row>
    <row r="585" spans="1:11" x14ac:dyDescent="0.25">
      <c r="A585" s="8">
        <v>1082</v>
      </c>
      <c r="B585" s="9" t="s">
        <v>5342</v>
      </c>
      <c r="C585" s="9" t="s">
        <v>1129</v>
      </c>
      <c r="D585" s="9" t="s">
        <v>139</v>
      </c>
      <c r="E585" s="9" t="s">
        <v>1130</v>
      </c>
      <c r="F585" s="9" t="s">
        <v>1131</v>
      </c>
      <c r="G585" s="9" t="s">
        <v>142</v>
      </c>
      <c r="H585" s="9" t="s">
        <v>139</v>
      </c>
      <c r="I585" s="9" t="s">
        <v>411</v>
      </c>
      <c r="J585" s="9" t="s">
        <v>139</v>
      </c>
      <c r="K585" s="10">
        <v>37142.53707175926</v>
      </c>
    </row>
    <row r="586" spans="1:11" x14ac:dyDescent="0.25">
      <c r="A586" s="8">
        <v>1085</v>
      </c>
      <c r="B586" s="9" t="s">
        <v>5343</v>
      </c>
      <c r="C586" s="9" t="s">
        <v>1132</v>
      </c>
      <c r="D586" s="9" t="s">
        <v>139</v>
      </c>
      <c r="E586" s="9" t="s">
        <v>1133</v>
      </c>
      <c r="F586" s="9" t="s">
        <v>1134</v>
      </c>
      <c r="G586" s="9" t="s">
        <v>142</v>
      </c>
      <c r="H586" s="9" t="s">
        <v>139</v>
      </c>
      <c r="I586" s="9" t="s">
        <v>411</v>
      </c>
      <c r="J586" s="9" t="s">
        <v>1135</v>
      </c>
      <c r="K586" s="10">
        <v>37142.802442129629</v>
      </c>
    </row>
    <row r="587" spans="1:11" x14ac:dyDescent="0.25">
      <c r="A587" s="8">
        <v>1086</v>
      </c>
      <c r="B587" s="9" t="s">
        <v>5344</v>
      </c>
      <c r="C587" s="9" t="s">
        <v>1136</v>
      </c>
      <c r="D587" s="9" t="s">
        <v>139</v>
      </c>
      <c r="E587" s="9" t="s">
        <v>1137</v>
      </c>
      <c r="F587" s="9" t="s">
        <v>1138</v>
      </c>
      <c r="G587" s="9" t="s">
        <v>873</v>
      </c>
      <c r="H587" s="9" t="s">
        <v>166</v>
      </c>
      <c r="I587" s="9" t="s">
        <v>411</v>
      </c>
      <c r="J587" s="9" t="s">
        <v>1139</v>
      </c>
      <c r="K587" s="10">
        <v>37143.551458333335</v>
      </c>
    </row>
    <row r="588" spans="1:11" x14ac:dyDescent="0.25">
      <c r="A588" s="8">
        <v>1087</v>
      </c>
      <c r="B588" s="9" t="s">
        <v>5345</v>
      </c>
      <c r="C588" s="9" t="s">
        <v>1140</v>
      </c>
      <c r="D588" s="9" t="s">
        <v>139</v>
      </c>
      <c r="E588" s="9" t="s">
        <v>1141</v>
      </c>
      <c r="F588" s="9" t="s">
        <v>1142</v>
      </c>
      <c r="G588" s="9" t="s">
        <v>142</v>
      </c>
      <c r="H588" s="9" t="s">
        <v>166</v>
      </c>
      <c r="I588" s="9" t="s">
        <v>411</v>
      </c>
      <c r="J588" s="9" t="s">
        <v>139</v>
      </c>
      <c r="K588" s="10">
        <v>37143.553043981483</v>
      </c>
    </row>
    <row r="589" spans="1:11" x14ac:dyDescent="0.25">
      <c r="A589" s="8">
        <v>1088</v>
      </c>
      <c r="B589" s="9" t="s">
        <v>5346</v>
      </c>
      <c r="C589" s="9" t="s">
        <v>1143</v>
      </c>
      <c r="D589" s="9" t="s">
        <v>139</v>
      </c>
      <c r="E589" s="9" t="s">
        <v>139</v>
      </c>
      <c r="F589" s="9" t="s">
        <v>1144</v>
      </c>
      <c r="G589" s="9" t="s">
        <v>424</v>
      </c>
      <c r="H589" s="9" t="s">
        <v>139</v>
      </c>
      <c r="I589" s="9" t="s">
        <v>411</v>
      </c>
      <c r="J589" s="9" t="s">
        <v>1145</v>
      </c>
      <c r="K589" s="10">
        <v>37143.555775462963</v>
      </c>
    </row>
    <row r="590" spans="1:11" x14ac:dyDescent="0.25">
      <c r="A590" s="8">
        <v>1089</v>
      </c>
      <c r="B590" s="9" t="s">
        <v>5347</v>
      </c>
      <c r="C590" s="9" t="s">
        <v>1146</v>
      </c>
      <c r="D590" s="9" t="s">
        <v>139</v>
      </c>
      <c r="E590" s="9" t="s">
        <v>280</v>
      </c>
      <c r="F590" s="9" t="s">
        <v>141</v>
      </c>
      <c r="G590" s="9" t="s">
        <v>142</v>
      </c>
      <c r="H590" s="9" t="s">
        <v>166</v>
      </c>
      <c r="I590" s="9" t="s">
        <v>411</v>
      </c>
      <c r="J590" s="9" t="s">
        <v>139</v>
      </c>
      <c r="K590" s="10">
        <v>37143.633958333332</v>
      </c>
    </row>
    <row r="591" spans="1:11" x14ac:dyDescent="0.25">
      <c r="A591" s="8">
        <v>1093</v>
      </c>
      <c r="B591" s="9" t="s">
        <v>5348</v>
      </c>
      <c r="C591" s="9" t="s">
        <v>1147</v>
      </c>
      <c r="D591" s="9" t="s">
        <v>1148</v>
      </c>
      <c r="E591" s="9" t="s">
        <v>1149</v>
      </c>
      <c r="F591" s="9" t="s">
        <v>8402</v>
      </c>
      <c r="G591" s="9" t="s">
        <v>8400</v>
      </c>
      <c r="H591" s="9" t="s">
        <v>139</v>
      </c>
      <c r="I591" s="9" t="s">
        <v>411</v>
      </c>
      <c r="J591" s="9" t="s">
        <v>139</v>
      </c>
      <c r="K591" s="10">
        <v>37145.614618055559</v>
      </c>
    </row>
    <row r="592" spans="1:11" x14ac:dyDescent="0.25">
      <c r="A592" s="8">
        <v>1094</v>
      </c>
      <c r="B592" s="9" t="s">
        <v>5349</v>
      </c>
      <c r="C592" s="9" t="s">
        <v>1150</v>
      </c>
      <c r="D592" s="9" t="s">
        <v>139</v>
      </c>
      <c r="E592" s="25">
        <v>97195</v>
      </c>
      <c r="F592" s="9" t="s">
        <v>8403</v>
      </c>
      <c r="G592" s="9" t="s">
        <v>1042</v>
      </c>
      <c r="H592" s="9" t="s">
        <v>139</v>
      </c>
      <c r="I592" s="9" t="s">
        <v>411</v>
      </c>
      <c r="J592" s="9" t="s">
        <v>139</v>
      </c>
      <c r="K592" s="10">
        <v>37145.655509259261</v>
      </c>
    </row>
    <row r="593" spans="1:11" x14ac:dyDescent="0.25">
      <c r="A593" s="8">
        <v>1095</v>
      </c>
      <c r="B593" s="9" t="s">
        <v>5350</v>
      </c>
      <c r="C593" s="9" t="s">
        <v>1152</v>
      </c>
      <c r="D593" s="9" t="s">
        <v>1153</v>
      </c>
      <c r="E593" s="9" t="s">
        <v>1154</v>
      </c>
      <c r="F593" s="9" t="s">
        <v>443</v>
      </c>
      <c r="G593" s="9" t="s">
        <v>444</v>
      </c>
      <c r="H593" s="9" t="s">
        <v>139</v>
      </c>
      <c r="I593" s="9" t="s">
        <v>411</v>
      </c>
      <c r="J593" s="9" t="s">
        <v>1155</v>
      </c>
      <c r="K593" s="10">
        <v>37145.744953703703</v>
      </c>
    </row>
    <row r="594" spans="1:11" x14ac:dyDescent="0.25">
      <c r="A594" s="8">
        <v>1096</v>
      </c>
      <c r="B594" s="9" t="s">
        <v>5351</v>
      </c>
      <c r="C594" s="9" t="s">
        <v>1156</v>
      </c>
      <c r="D594" s="9" t="s">
        <v>139</v>
      </c>
      <c r="E594" s="9" t="s">
        <v>1157</v>
      </c>
      <c r="F594" s="9" t="s">
        <v>1158</v>
      </c>
      <c r="G594" s="9" t="s">
        <v>142</v>
      </c>
      <c r="H594" s="9" t="s">
        <v>166</v>
      </c>
      <c r="I594" s="9" t="s">
        <v>411</v>
      </c>
      <c r="J594" s="9" t="s">
        <v>139</v>
      </c>
      <c r="K594" s="10">
        <v>37145.751203703701</v>
      </c>
    </row>
    <row r="595" spans="1:11" x14ac:dyDescent="0.25">
      <c r="A595" s="8">
        <v>1098</v>
      </c>
      <c r="B595" s="9" t="s">
        <v>5352</v>
      </c>
      <c r="C595" s="9" t="s">
        <v>1159</v>
      </c>
      <c r="D595" s="9" t="s">
        <v>1160</v>
      </c>
      <c r="E595" s="9" t="s">
        <v>1161</v>
      </c>
      <c r="F595" s="9" t="s">
        <v>1162</v>
      </c>
      <c r="G595" s="9" t="s">
        <v>142</v>
      </c>
      <c r="H595" s="9" t="s">
        <v>139</v>
      </c>
      <c r="I595" s="9" t="s">
        <v>411</v>
      </c>
      <c r="J595" s="9" t="s">
        <v>139</v>
      </c>
      <c r="K595" s="10">
        <v>37153.534629629627</v>
      </c>
    </row>
    <row r="596" spans="1:11" x14ac:dyDescent="0.25">
      <c r="A596" s="8">
        <v>1099</v>
      </c>
      <c r="B596" s="9" t="s">
        <v>8898</v>
      </c>
      <c r="C596" s="9" t="s">
        <v>1163</v>
      </c>
      <c r="D596" s="9" t="s">
        <v>139</v>
      </c>
      <c r="E596" s="9" t="s">
        <v>1164</v>
      </c>
      <c r="F596" s="9" t="s">
        <v>1165</v>
      </c>
      <c r="G596" s="9" t="s">
        <v>142</v>
      </c>
      <c r="H596" s="9" t="s">
        <v>139</v>
      </c>
      <c r="I596" s="9" t="s">
        <v>143</v>
      </c>
      <c r="J596" s="9" t="s">
        <v>139</v>
      </c>
      <c r="K596" s="10">
        <v>37153.810057870367</v>
      </c>
    </row>
    <row r="597" spans="1:11" x14ac:dyDescent="0.25">
      <c r="A597" s="8">
        <v>1101</v>
      </c>
      <c r="B597" s="9" t="s">
        <v>8899</v>
      </c>
      <c r="C597" s="9" t="s">
        <v>1166</v>
      </c>
      <c r="D597" s="9" t="s">
        <v>139</v>
      </c>
      <c r="E597" s="9" t="s">
        <v>218</v>
      </c>
      <c r="F597" s="9" t="s">
        <v>141</v>
      </c>
      <c r="G597" s="9" t="s">
        <v>142</v>
      </c>
      <c r="H597" s="9" t="s">
        <v>166</v>
      </c>
      <c r="I597" s="9" t="s">
        <v>143</v>
      </c>
      <c r="J597" s="9" t="s">
        <v>139</v>
      </c>
      <c r="K597" s="10">
        <v>37154.680138888885</v>
      </c>
    </row>
    <row r="598" spans="1:11" x14ac:dyDescent="0.25">
      <c r="A598" s="8">
        <v>1102</v>
      </c>
      <c r="B598" s="9" t="s">
        <v>5353</v>
      </c>
      <c r="C598" s="9" t="s">
        <v>1167</v>
      </c>
      <c r="D598" s="9" t="s">
        <v>139</v>
      </c>
      <c r="E598" s="9" t="s">
        <v>1168</v>
      </c>
      <c r="F598" s="9" t="s">
        <v>1169</v>
      </c>
      <c r="G598" s="9" t="s">
        <v>142</v>
      </c>
      <c r="H598" s="9" t="s">
        <v>241</v>
      </c>
      <c r="I598" s="9" t="s">
        <v>411</v>
      </c>
      <c r="J598" s="9" t="s">
        <v>139</v>
      </c>
      <c r="K598" s="10">
        <v>37167.553981481484</v>
      </c>
    </row>
    <row r="599" spans="1:11" x14ac:dyDescent="0.25">
      <c r="A599" s="8">
        <v>1103</v>
      </c>
      <c r="B599" s="9" t="s">
        <v>5354</v>
      </c>
      <c r="C599" s="9" t="s">
        <v>1170</v>
      </c>
      <c r="D599" s="9" t="s">
        <v>139</v>
      </c>
      <c r="E599" s="9" t="s">
        <v>948</v>
      </c>
      <c r="F599" s="9" t="s">
        <v>949</v>
      </c>
      <c r="G599" s="9" t="s">
        <v>142</v>
      </c>
      <c r="H599" s="9" t="s">
        <v>258</v>
      </c>
      <c r="I599" s="9" t="s">
        <v>411</v>
      </c>
      <c r="J599" s="9" t="s">
        <v>139</v>
      </c>
      <c r="K599" s="10">
        <v>37167.555659722224</v>
      </c>
    </row>
    <row r="600" spans="1:11" x14ac:dyDescent="0.25">
      <c r="A600" s="8">
        <v>1104</v>
      </c>
      <c r="B600" s="9" t="s">
        <v>5355</v>
      </c>
      <c r="C600" s="9" t="s">
        <v>139</v>
      </c>
      <c r="D600" s="9" t="s">
        <v>139</v>
      </c>
      <c r="E600" s="9">
        <v>75</v>
      </c>
      <c r="F600" s="9" t="s">
        <v>413</v>
      </c>
      <c r="G600" s="9" t="s">
        <v>142</v>
      </c>
      <c r="H600" s="9" t="s">
        <v>166</v>
      </c>
      <c r="I600" s="9" t="s">
        <v>411</v>
      </c>
      <c r="J600" s="9" t="s">
        <v>139</v>
      </c>
      <c r="K600" s="10">
        <v>37167.622465277775</v>
      </c>
    </row>
    <row r="601" spans="1:11" x14ac:dyDescent="0.25">
      <c r="A601" s="8">
        <v>1105</v>
      </c>
      <c r="B601" s="9" t="s">
        <v>5356</v>
      </c>
      <c r="C601" s="9" t="s">
        <v>1171</v>
      </c>
      <c r="D601" s="9" t="s">
        <v>139</v>
      </c>
      <c r="E601" s="9" t="s">
        <v>229</v>
      </c>
      <c r="F601" s="9" t="s">
        <v>141</v>
      </c>
      <c r="G601" s="9" t="s">
        <v>142</v>
      </c>
      <c r="H601" s="9" t="s">
        <v>139</v>
      </c>
      <c r="I601" s="9" t="s">
        <v>411</v>
      </c>
      <c r="J601" s="9" t="s">
        <v>139</v>
      </c>
      <c r="K601" s="10">
        <v>37168.604456018518</v>
      </c>
    </row>
    <row r="602" spans="1:11" x14ac:dyDescent="0.25">
      <c r="A602" s="8">
        <v>1106</v>
      </c>
      <c r="B602" s="9" t="s">
        <v>5357</v>
      </c>
      <c r="C602" s="9" t="s">
        <v>139</v>
      </c>
      <c r="D602" s="9" t="s">
        <v>139</v>
      </c>
      <c r="E602" s="9">
        <v>75</v>
      </c>
      <c r="F602" s="9" t="s">
        <v>413</v>
      </c>
      <c r="G602" s="9" t="s">
        <v>142</v>
      </c>
      <c r="H602" s="9" t="s">
        <v>139</v>
      </c>
      <c r="I602" s="9" t="s">
        <v>411</v>
      </c>
      <c r="J602" s="9" t="s">
        <v>139</v>
      </c>
      <c r="K602" s="10">
        <v>37168.613587962966</v>
      </c>
    </row>
    <row r="603" spans="1:11" x14ac:dyDescent="0.25">
      <c r="A603" s="8">
        <v>1107</v>
      </c>
      <c r="B603" s="9" t="s">
        <v>5358</v>
      </c>
      <c r="C603" s="9" t="s">
        <v>1172</v>
      </c>
      <c r="D603" s="9" t="s">
        <v>139</v>
      </c>
      <c r="E603" s="9" t="s">
        <v>1173</v>
      </c>
      <c r="F603" s="9" t="s">
        <v>1174</v>
      </c>
      <c r="G603" s="9" t="s">
        <v>1004</v>
      </c>
      <c r="H603" s="9" t="s">
        <v>139</v>
      </c>
      <c r="I603" s="9" t="s">
        <v>411</v>
      </c>
      <c r="J603" s="9" t="s">
        <v>139</v>
      </c>
      <c r="K603" s="10">
        <v>37168.634756944448</v>
      </c>
    </row>
    <row r="604" spans="1:11" x14ac:dyDescent="0.25">
      <c r="A604" s="8">
        <v>1108</v>
      </c>
      <c r="B604" s="9" t="s">
        <v>5359</v>
      </c>
      <c r="C604" s="9" t="s">
        <v>1175</v>
      </c>
      <c r="D604" s="9" t="s">
        <v>139</v>
      </c>
      <c r="E604" s="9" t="s">
        <v>815</v>
      </c>
      <c r="F604" s="9" t="s">
        <v>816</v>
      </c>
      <c r="G604" s="9" t="s">
        <v>142</v>
      </c>
      <c r="H604" s="9" t="s">
        <v>139</v>
      </c>
      <c r="I604" s="9" t="s">
        <v>411</v>
      </c>
      <c r="J604" s="9" t="s">
        <v>1176</v>
      </c>
      <c r="K604" s="10">
        <v>37168.769097222219</v>
      </c>
    </row>
    <row r="605" spans="1:11" x14ac:dyDescent="0.25">
      <c r="A605" s="8">
        <v>1111</v>
      </c>
      <c r="B605" s="9" t="s">
        <v>5360</v>
      </c>
      <c r="C605" s="9" t="s">
        <v>1177</v>
      </c>
      <c r="D605" s="9" t="s">
        <v>139</v>
      </c>
      <c r="E605" s="9" t="s">
        <v>1178</v>
      </c>
      <c r="F605" s="9" t="s">
        <v>1179</v>
      </c>
      <c r="G605" s="9" t="s">
        <v>1004</v>
      </c>
      <c r="H605" s="9" t="s">
        <v>139</v>
      </c>
      <c r="I605" s="9" t="s">
        <v>411</v>
      </c>
      <c r="J605" s="9" t="s">
        <v>139</v>
      </c>
      <c r="K605" s="10">
        <v>37169.539513888885</v>
      </c>
    </row>
    <row r="606" spans="1:11" x14ac:dyDescent="0.25">
      <c r="A606" s="8">
        <v>1112</v>
      </c>
      <c r="B606" s="9" t="s">
        <v>5361</v>
      </c>
      <c r="C606" s="9" t="s">
        <v>1180</v>
      </c>
      <c r="D606" s="9" t="s">
        <v>139</v>
      </c>
      <c r="E606" s="9" t="s">
        <v>1181</v>
      </c>
      <c r="F606" s="9" t="s">
        <v>1182</v>
      </c>
      <c r="G606" s="9" t="s">
        <v>882</v>
      </c>
      <c r="H606" s="9" t="s">
        <v>139</v>
      </c>
      <c r="I606" s="9" t="s">
        <v>411</v>
      </c>
      <c r="J606" s="9" t="s">
        <v>139</v>
      </c>
      <c r="K606" s="10">
        <v>37169.54409722222</v>
      </c>
    </row>
    <row r="607" spans="1:11" x14ac:dyDescent="0.25">
      <c r="A607" s="8">
        <v>1114</v>
      </c>
      <c r="B607" s="9" t="s">
        <v>5362</v>
      </c>
      <c r="C607" s="9" t="s">
        <v>1183</v>
      </c>
      <c r="D607" s="9" t="s">
        <v>139</v>
      </c>
      <c r="E607" s="9" t="s">
        <v>1184</v>
      </c>
      <c r="F607" s="9" t="s">
        <v>1185</v>
      </c>
      <c r="G607" s="9" t="s">
        <v>142</v>
      </c>
      <c r="H607" s="9" t="s">
        <v>241</v>
      </c>
      <c r="I607" s="9" t="s">
        <v>411</v>
      </c>
      <c r="J607" s="9" t="s">
        <v>139</v>
      </c>
      <c r="K607" s="10">
        <v>37169.554768518516</v>
      </c>
    </row>
    <row r="608" spans="1:11" x14ac:dyDescent="0.25">
      <c r="A608" s="8">
        <v>1116</v>
      </c>
      <c r="B608" s="9" t="s">
        <v>5363</v>
      </c>
      <c r="C608" s="9" t="s">
        <v>1186</v>
      </c>
      <c r="D608" s="9" t="s">
        <v>139</v>
      </c>
      <c r="E608" s="9" t="s">
        <v>1187</v>
      </c>
      <c r="F608" s="9" t="s">
        <v>971</v>
      </c>
      <c r="G608" s="9" t="s">
        <v>142</v>
      </c>
      <c r="H608" s="9" t="s">
        <v>139</v>
      </c>
      <c r="I608" s="9" t="s">
        <v>411</v>
      </c>
      <c r="J608" s="9" t="s">
        <v>139</v>
      </c>
      <c r="K608" s="10">
        <v>37169.558425925927</v>
      </c>
    </row>
    <row r="609" spans="1:11" x14ac:dyDescent="0.25">
      <c r="A609" s="8">
        <v>1122</v>
      </c>
      <c r="B609" s="9" t="s">
        <v>5364</v>
      </c>
      <c r="C609" s="9" t="s">
        <v>1188</v>
      </c>
      <c r="D609" s="9" t="s">
        <v>1189</v>
      </c>
      <c r="E609" s="9" t="s">
        <v>139</v>
      </c>
      <c r="F609" s="9" t="s">
        <v>8392</v>
      </c>
      <c r="G609" s="9" t="s">
        <v>444</v>
      </c>
      <c r="H609" s="9" t="s">
        <v>139</v>
      </c>
      <c r="I609" s="9" t="s">
        <v>411</v>
      </c>
      <c r="J609" s="9" t="s">
        <v>139</v>
      </c>
      <c r="K609" s="10">
        <v>37169.583032407405</v>
      </c>
    </row>
    <row r="610" spans="1:11" x14ac:dyDescent="0.25">
      <c r="A610" s="8">
        <v>1123</v>
      </c>
      <c r="B610" s="9" t="s">
        <v>5365</v>
      </c>
      <c r="C610" s="9" t="s">
        <v>1190</v>
      </c>
      <c r="D610" s="9" t="s">
        <v>139</v>
      </c>
      <c r="E610" s="9" t="s">
        <v>139</v>
      </c>
      <c r="F610" s="9" t="s">
        <v>1191</v>
      </c>
      <c r="G610" s="9" t="s">
        <v>444</v>
      </c>
      <c r="H610" s="9" t="s">
        <v>139</v>
      </c>
      <c r="I610" s="9" t="s">
        <v>411</v>
      </c>
      <c r="J610" s="9" t="s">
        <v>139</v>
      </c>
      <c r="K610" s="10">
        <v>37169.586886574078</v>
      </c>
    </row>
    <row r="611" spans="1:11" x14ac:dyDescent="0.25">
      <c r="A611" s="8">
        <v>1124</v>
      </c>
      <c r="B611" s="9" t="s">
        <v>5366</v>
      </c>
      <c r="C611" s="9" t="s">
        <v>1192</v>
      </c>
      <c r="D611" s="9" t="s">
        <v>1193</v>
      </c>
      <c r="E611" s="9" t="s">
        <v>139</v>
      </c>
      <c r="F611" s="9" t="s">
        <v>8393</v>
      </c>
      <c r="G611" s="9" t="s">
        <v>444</v>
      </c>
      <c r="H611" s="9" t="s">
        <v>258</v>
      </c>
      <c r="I611" s="9" t="s">
        <v>411</v>
      </c>
      <c r="J611" s="9" t="s">
        <v>139</v>
      </c>
      <c r="K611" s="10">
        <v>37169.590243055558</v>
      </c>
    </row>
    <row r="612" spans="1:11" x14ac:dyDescent="0.25">
      <c r="A612" s="8">
        <v>1126</v>
      </c>
      <c r="B612" s="9" t="s">
        <v>5367</v>
      </c>
      <c r="C612" s="9" t="s">
        <v>1194</v>
      </c>
      <c r="D612" s="9" t="s">
        <v>139</v>
      </c>
      <c r="E612" s="9" t="s">
        <v>1195</v>
      </c>
      <c r="F612" s="9" t="s">
        <v>1196</v>
      </c>
      <c r="G612" s="9" t="s">
        <v>1004</v>
      </c>
      <c r="H612" s="9" t="s">
        <v>139</v>
      </c>
      <c r="I612" s="9" t="s">
        <v>411</v>
      </c>
      <c r="J612" s="9" t="s">
        <v>139</v>
      </c>
      <c r="K612" s="10">
        <v>37169.597280092596</v>
      </c>
    </row>
    <row r="613" spans="1:11" x14ac:dyDescent="0.25">
      <c r="A613" s="8">
        <v>1127</v>
      </c>
      <c r="B613" s="9" t="s">
        <v>5368</v>
      </c>
      <c r="C613" s="9" t="s">
        <v>1197</v>
      </c>
      <c r="D613" s="9" t="s">
        <v>139</v>
      </c>
      <c r="E613" s="9" t="s">
        <v>1198</v>
      </c>
      <c r="F613" s="9" t="s">
        <v>1199</v>
      </c>
      <c r="G613" s="9" t="s">
        <v>142</v>
      </c>
      <c r="H613" s="9" t="s">
        <v>139</v>
      </c>
      <c r="I613" s="9" t="s">
        <v>411</v>
      </c>
      <c r="J613" s="9" t="s">
        <v>139</v>
      </c>
      <c r="K613" s="10">
        <v>37169.601087962961</v>
      </c>
    </row>
    <row r="614" spans="1:11" x14ac:dyDescent="0.25">
      <c r="A614" s="8">
        <v>1128</v>
      </c>
      <c r="B614" s="9" t="s">
        <v>5369</v>
      </c>
      <c r="C614" s="9" t="s">
        <v>1200</v>
      </c>
      <c r="D614" s="9" t="s">
        <v>139</v>
      </c>
      <c r="E614" s="9" t="s">
        <v>1201</v>
      </c>
      <c r="F614" s="9" t="s">
        <v>1202</v>
      </c>
      <c r="G614" s="9" t="s">
        <v>142</v>
      </c>
      <c r="H614" s="9" t="s">
        <v>241</v>
      </c>
      <c r="I614" s="9" t="s">
        <v>411</v>
      </c>
      <c r="J614" s="9" t="s">
        <v>139</v>
      </c>
      <c r="K614" s="10">
        <v>37169.639872685184</v>
      </c>
    </row>
    <row r="615" spans="1:11" x14ac:dyDescent="0.25">
      <c r="A615" s="8">
        <v>1129</v>
      </c>
      <c r="B615" s="9" t="s">
        <v>5370</v>
      </c>
      <c r="C615" s="9" t="s">
        <v>1203</v>
      </c>
      <c r="D615" s="9" t="s">
        <v>139</v>
      </c>
      <c r="E615" s="9" t="s">
        <v>1204</v>
      </c>
      <c r="F615" s="9" t="s">
        <v>1205</v>
      </c>
      <c r="G615" s="9" t="s">
        <v>142</v>
      </c>
      <c r="H615" s="9" t="s">
        <v>139</v>
      </c>
      <c r="I615" s="9" t="s">
        <v>411</v>
      </c>
      <c r="J615" s="9" t="s">
        <v>139</v>
      </c>
      <c r="K615" s="10">
        <v>37169.655659722222</v>
      </c>
    </row>
    <row r="616" spans="1:11" x14ac:dyDescent="0.25">
      <c r="A616" s="8">
        <v>1131</v>
      </c>
      <c r="B616" s="9" t="s">
        <v>5371</v>
      </c>
      <c r="C616" s="9" t="s">
        <v>1206</v>
      </c>
      <c r="D616" s="9" t="s">
        <v>1207</v>
      </c>
      <c r="E616" s="9" t="s">
        <v>1208</v>
      </c>
      <c r="F616" s="9" t="s">
        <v>1209</v>
      </c>
      <c r="G616" s="9" t="s">
        <v>142</v>
      </c>
      <c r="H616" s="9" t="s">
        <v>241</v>
      </c>
      <c r="I616" s="9" t="s">
        <v>411</v>
      </c>
      <c r="J616" s="9" t="s">
        <v>139</v>
      </c>
      <c r="K616" s="10">
        <v>37169.661053240743</v>
      </c>
    </row>
    <row r="617" spans="1:11" x14ac:dyDescent="0.25">
      <c r="A617" s="8">
        <v>1132</v>
      </c>
      <c r="B617" s="9" t="s">
        <v>5372</v>
      </c>
      <c r="C617" s="9" t="s">
        <v>1210</v>
      </c>
      <c r="D617" s="9" t="s">
        <v>139</v>
      </c>
      <c r="E617" s="9" t="s">
        <v>1211</v>
      </c>
      <c r="F617" s="9" t="s">
        <v>1212</v>
      </c>
      <c r="G617" s="9" t="s">
        <v>142</v>
      </c>
      <c r="H617" s="9" t="s">
        <v>139</v>
      </c>
      <c r="I617" s="9" t="s">
        <v>411</v>
      </c>
      <c r="J617" s="9" t="s">
        <v>139</v>
      </c>
      <c r="K617" s="10">
        <v>37169.724479166667</v>
      </c>
    </row>
    <row r="618" spans="1:11" x14ac:dyDescent="0.25">
      <c r="A618" s="8">
        <v>1133</v>
      </c>
      <c r="B618" s="9" t="s">
        <v>5373</v>
      </c>
      <c r="C618" s="9" t="s">
        <v>1213</v>
      </c>
      <c r="D618" s="9" t="s">
        <v>139</v>
      </c>
      <c r="E618" s="9" t="s">
        <v>1214</v>
      </c>
      <c r="F618" s="9" t="s">
        <v>1215</v>
      </c>
      <c r="G618" s="9" t="s">
        <v>444</v>
      </c>
      <c r="H618" s="9" t="s">
        <v>139</v>
      </c>
      <c r="I618" s="9" t="s">
        <v>411</v>
      </c>
      <c r="J618" s="9" t="s">
        <v>139</v>
      </c>
      <c r="K618" s="10">
        <v>37169.72760416667</v>
      </c>
    </row>
    <row r="619" spans="1:11" x14ac:dyDescent="0.25">
      <c r="A619" s="8">
        <v>1134</v>
      </c>
      <c r="B619" s="9" t="s">
        <v>5374</v>
      </c>
      <c r="C619" s="9" t="s">
        <v>1216</v>
      </c>
      <c r="D619" s="9" t="s">
        <v>139</v>
      </c>
      <c r="E619" s="9" t="s">
        <v>1217</v>
      </c>
      <c r="F619" s="9" t="s">
        <v>1218</v>
      </c>
      <c r="G619" s="9" t="s">
        <v>142</v>
      </c>
      <c r="H619" s="9" t="s">
        <v>139</v>
      </c>
      <c r="I619" s="9" t="s">
        <v>411</v>
      </c>
      <c r="J619" s="9" t="s">
        <v>139</v>
      </c>
      <c r="K619" s="10">
        <v>37169.731273148151</v>
      </c>
    </row>
    <row r="620" spans="1:11" x14ac:dyDescent="0.25">
      <c r="A620" s="8">
        <v>1135</v>
      </c>
      <c r="B620" s="9" t="s">
        <v>5375</v>
      </c>
      <c r="C620" s="9" t="s">
        <v>1219</v>
      </c>
      <c r="D620" s="9" t="s">
        <v>139</v>
      </c>
      <c r="E620" s="9" t="s">
        <v>1220</v>
      </c>
      <c r="F620" s="9" t="s">
        <v>1221</v>
      </c>
      <c r="G620" s="9" t="s">
        <v>142</v>
      </c>
      <c r="H620" s="9" t="s">
        <v>321</v>
      </c>
      <c r="I620" s="9" t="s">
        <v>411</v>
      </c>
      <c r="J620" s="9" t="s">
        <v>139</v>
      </c>
      <c r="K620" s="10">
        <v>37169.733182870368</v>
      </c>
    </row>
    <row r="621" spans="1:11" x14ac:dyDescent="0.25">
      <c r="A621" s="8">
        <v>1136</v>
      </c>
      <c r="B621" s="9" t="s">
        <v>5376</v>
      </c>
      <c r="C621" s="9" t="s">
        <v>1222</v>
      </c>
      <c r="D621" s="9" t="s">
        <v>139</v>
      </c>
      <c r="E621" s="9" t="s">
        <v>139</v>
      </c>
      <c r="F621" s="9" t="s">
        <v>1223</v>
      </c>
      <c r="G621" s="9" t="s">
        <v>424</v>
      </c>
      <c r="H621" s="9" t="s">
        <v>139</v>
      </c>
      <c r="I621" s="9" t="s">
        <v>411</v>
      </c>
      <c r="J621" s="9" t="s">
        <v>139</v>
      </c>
      <c r="K621" s="10">
        <v>37169.737314814818</v>
      </c>
    </row>
    <row r="622" spans="1:11" x14ac:dyDescent="0.25">
      <c r="A622" s="8">
        <v>1137</v>
      </c>
      <c r="B622" s="9" t="s">
        <v>8900</v>
      </c>
      <c r="C622" s="9" t="s">
        <v>1224</v>
      </c>
      <c r="D622" s="9" t="s">
        <v>139</v>
      </c>
      <c r="E622" s="9" t="s">
        <v>1225</v>
      </c>
      <c r="F622" s="9" t="s">
        <v>1226</v>
      </c>
      <c r="G622" s="9" t="s">
        <v>142</v>
      </c>
      <c r="H622" s="9" t="s">
        <v>139</v>
      </c>
      <c r="I622" s="9" t="s">
        <v>143</v>
      </c>
      <c r="J622" s="9" t="s">
        <v>139</v>
      </c>
      <c r="K622" s="10">
        <v>37170.703553240739</v>
      </c>
    </row>
    <row r="623" spans="1:11" x14ac:dyDescent="0.25">
      <c r="A623" s="8">
        <v>1138</v>
      </c>
      <c r="B623" s="9" t="s">
        <v>5377</v>
      </c>
      <c r="C623" s="9" t="s">
        <v>1227</v>
      </c>
      <c r="D623" s="9" t="s">
        <v>139</v>
      </c>
      <c r="E623" s="9" t="s">
        <v>1228</v>
      </c>
      <c r="F623" s="9" t="s">
        <v>1229</v>
      </c>
      <c r="G623" s="9" t="s">
        <v>444</v>
      </c>
      <c r="H623" s="9" t="s">
        <v>139</v>
      </c>
      <c r="I623" s="9" t="s">
        <v>411</v>
      </c>
      <c r="J623" s="9" t="s">
        <v>139</v>
      </c>
      <c r="K623" s="10">
        <v>37170.769166666665</v>
      </c>
    </row>
    <row r="624" spans="1:11" x14ac:dyDescent="0.25">
      <c r="A624" s="8">
        <v>1141</v>
      </c>
      <c r="B624" s="9" t="s">
        <v>5378</v>
      </c>
      <c r="C624" s="9" t="s">
        <v>1230</v>
      </c>
      <c r="D624" s="9" t="s">
        <v>139</v>
      </c>
      <c r="E624" s="9" t="s">
        <v>218</v>
      </c>
      <c r="F624" s="9" t="s">
        <v>141</v>
      </c>
      <c r="G624" s="9" t="s">
        <v>142</v>
      </c>
      <c r="H624" s="9" t="s">
        <v>139</v>
      </c>
      <c r="I624" s="9" t="s">
        <v>411</v>
      </c>
      <c r="J624" s="9" t="s">
        <v>139</v>
      </c>
      <c r="K624" s="10">
        <v>37172.430347222224</v>
      </c>
    </row>
    <row r="625" spans="1:11" x14ac:dyDescent="0.25">
      <c r="A625" s="8">
        <v>1142</v>
      </c>
      <c r="B625" s="9" t="s">
        <v>5379</v>
      </c>
      <c r="C625" s="9" t="s">
        <v>1231</v>
      </c>
      <c r="D625" s="9" t="s">
        <v>139</v>
      </c>
      <c r="E625" s="9" t="s">
        <v>1232</v>
      </c>
      <c r="F625" s="9" t="s">
        <v>1233</v>
      </c>
      <c r="G625" s="9" t="s">
        <v>142</v>
      </c>
      <c r="H625" s="9" t="s">
        <v>139</v>
      </c>
      <c r="I625" s="9" t="s">
        <v>411</v>
      </c>
      <c r="J625" s="9" t="s">
        <v>139</v>
      </c>
      <c r="K625" s="10">
        <v>37174.552303240744</v>
      </c>
    </row>
    <row r="626" spans="1:11" x14ac:dyDescent="0.25">
      <c r="A626" s="8">
        <v>1144</v>
      </c>
      <c r="B626" s="9" t="s">
        <v>5380</v>
      </c>
      <c r="C626" s="9" t="s">
        <v>1234</v>
      </c>
      <c r="D626" s="9" t="s">
        <v>139</v>
      </c>
      <c r="E626" s="9" t="s">
        <v>1235</v>
      </c>
      <c r="F626" s="9" t="s">
        <v>1236</v>
      </c>
      <c r="G626" s="9" t="s">
        <v>142</v>
      </c>
      <c r="H626" s="9" t="s">
        <v>166</v>
      </c>
      <c r="I626" s="9" t="s">
        <v>411</v>
      </c>
      <c r="J626" s="9" t="s">
        <v>139</v>
      </c>
      <c r="K626" s="10">
        <v>37176.549687500003</v>
      </c>
    </row>
    <row r="627" spans="1:11" x14ac:dyDescent="0.25">
      <c r="A627" s="8">
        <v>1145</v>
      </c>
      <c r="B627" s="9" t="s">
        <v>8901</v>
      </c>
      <c r="C627" s="9" t="s">
        <v>1237</v>
      </c>
      <c r="D627" s="9" t="s">
        <v>139</v>
      </c>
      <c r="E627" s="9" t="s">
        <v>218</v>
      </c>
      <c r="F627" s="9" t="s">
        <v>141</v>
      </c>
      <c r="G627" s="9" t="s">
        <v>142</v>
      </c>
      <c r="H627" s="9" t="s">
        <v>139</v>
      </c>
      <c r="I627" s="9" t="s">
        <v>143</v>
      </c>
      <c r="J627" s="9" t="s">
        <v>139</v>
      </c>
      <c r="K627" s="10">
        <v>37176.618541666663</v>
      </c>
    </row>
    <row r="628" spans="1:11" x14ac:dyDescent="0.25">
      <c r="A628" s="8">
        <v>1146</v>
      </c>
      <c r="B628" s="9" t="s">
        <v>8902</v>
      </c>
      <c r="C628" s="9" t="s">
        <v>1238</v>
      </c>
      <c r="D628" s="9" t="s">
        <v>139</v>
      </c>
      <c r="E628" s="9" t="s">
        <v>1239</v>
      </c>
      <c r="F628" s="9" t="s">
        <v>1240</v>
      </c>
      <c r="G628" s="9" t="s">
        <v>142</v>
      </c>
      <c r="H628" s="9" t="s">
        <v>139</v>
      </c>
      <c r="I628" s="9" t="s">
        <v>143</v>
      </c>
      <c r="J628" s="9" t="s">
        <v>139</v>
      </c>
      <c r="K628" s="10">
        <v>37182.563125000001</v>
      </c>
    </row>
    <row r="629" spans="1:11" x14ac:dyDescent="0.25">
      <c r="A629" s="8">
        <v>1147</v>
      </c>
      <c r="B629" s="9" t="s">
        <v>5381</v>
      </c>
      <c r="C629" s="9" t="s">
        <v>1241</v>
      </c>
      <c r="D629" s="9" t="s">
        <v>139</v>
      </c>
      <c r="E629" s="9" t="s">
        <v>328</v>
      </c>
      <c r="F629" s="9" t="s">
        <v>141</v>
      </c>
      <c r="G629" s="9" t="s">
        <v>142</v>
      </c>
      <c r="H629" s="9" t="s">
        <v>139</v>
      </c>
      <c r="I629" s="9" t="s">
        <v>411</v>
      </c>
      <c r="J629" s="9" t="s">
        <v>139</v>
      </c>
      <c r="K629" s="10">
        <v>37182.722118055557</v>
      </c>
    </row>
    <row r="630" spans="1:11" x14ac:dyDescent="0.25">
      <c r="A630" s="8">
        <v>1148</v>
      </c>
      <c r="B630" s="9" t="s">
        <v>5382</v>
      </c>
      <c r="C630" s="9" t="s">
        <v>1242</v>
      </c>
      <c r="D630" s="9" t="s">
        <v>139</v>
      </c>
      <c r="E630" s="9" t="s">
        <v>154</v>
      </c>
      <c r="F630" s="9" t="s">
        <v>155</v>
      </c>
      <c r="G630" s="9" t="s">
        <v>142</v>
      </c>
      <c r="H630" s="9" t="s">
        <v>166</v>
      </c>
      <c r="I630" s="9" t="s">
        <v>411</v>
      </c>
      <c r="J630" s="9" t="s">
        <v>139</v>
      </c>
      <c r="K630" s="10">
        <v>37184.770879629628</v>
      </c>
    </row>
    <row r="631" spans="1:11" x14ac:dyDescent="0.25">
      <c r="A631" s="8">
        <v>1149</v>
      </c>
      <c r="B631" s="9" t="s">
        <v>8903</v>
      </c>
      <c r="C631" s="9" t="s">
        <v>1243</v>
      </c>
      <c r="D631" s="9" t="s">
        <v>139</v>
      </c>
      <c r="E631" s="9" t="s">
        <v>328</v>
      </c>
      <c r="F631" s="9" t="s">
        <v>141</v>
      </c>
      <c r="G631" s="9" t="s">
        <v>142</v>
      </c>
      <c r="H631" s="9" t="s">
        <v>139</v>
      </c>
      <c r="I631" s="9" t="s">
        <v>143</v>
      </c>
      <c r="J631" s="9" t="s">
        <v>139</v>
      </c>
      <c r="K631" s="10">
        <v>37186.694351851853</v>
      </c>
    </row>
    <row r="632" spans="1:11" x14ac:dyDescent="0.25">
      <c r="A632" s="8">
        <v>1151</v>
      </c>
      <c r="B632" s="9" t="s">
        <v>8904</v>
      </c>
      <c r="C632" s="9" t="s">
        <v>1244</v>
      </c>
      <c r="D632" s="9" t="s">
        <v>139</v>
      </c>
      <c r="E632" s="9" t="s">
        <v>212</v>
      </c>
      <c r="F632" s="9" t="s">
        <v>141</v>
      </c>
      <c r="G632" s="9" t="s">
        <v>142</v>
      </c>
      <c r="H632" s="9" t="s">
        <v>139</v>
      </c>
      <c r="I632" s="9" t="s">
        <v>143</v>
      </c>
      <c r="J632" s="9" t="s">
        <v>139</v>
      </c>
      <c r="K632" s="10">
        <v>37189.730729166666</v>
      </c>
    </row>
    <row r="633" spans="1:11" x14ac:dyDescent="0.25">
      <c r="A633" s="8">
        <v>1152</v>
      </c>
      <c r="B633" s="9" t="s">
        <v>5383</v>
      </c>
      <c r="C633" s="9" t="s">
        <v>1245</v>
      </c>
      <c r="D633" s="9" t="s">
        <v>139</v>
      </c>
      <c r="E633" s="9" t="s">
        <v>1246</v>
      </c>
      <c r="F633" s="9" t="s">
        <v>1247</v>
      </c>
      <c r="G633" s="9" t="s">
        <v>142</v>
      </c>
      <c r="H633" s="9" t="s">
        <v>241</v>
      </c>
      <c r="I633" s="9" t="s">
        <v>411</v>
      </c>
      <c r="J633" s="9" t="s">
        <v>139</v>
      </c>
      <c r="K633" s="10">
        <v>37193.788645833331</v>
      </c>
    </row>
    <row r="634" spans="1:11" x14ac:dyDescent="0.25">
      <c r="A634" s="8">
        <v>1153</v>
      </c>
      <c r="B634" s="9" t="s">
        <v>5384</v>
      </c>
      <c r="C634" s="9" t="s">
        <v>1248</v>
      </c>
      <c r="D634" s="9" t="s">
        <v>1249</v>
      </c>
      <c r="E634" s="9" t="s">
        <v>1250</v>
      </c>
      <c r="F634" s="9" t="s">
        <v>1251</v>
      </c>
      <c r="G634" s="9" t="s">
        <v>142</v>
      </c>
      <c r="H634" s="9" t="s">
        <v>166</v>
      </c>
      <c r="I634" s="9" t="s">
        <v>411</v>
      </c>
      <c r="J634" s="9" t="s">
        <v>139</v>
      </c>
      <c r="K634" s="10">
        <v>37195.486655092594</v>
      </c>
    </row>
    <row r="635" spans="1:11" x14ac:dyDescent="0.25">
      <c r="A635" s="8">
        <v>1154</v>
      </c>
      <c r="B635" s="9" t="s">
        <v>8905</v>
      </c>
      <c r="C635" s="9" t="s">
        <v>1253</v>
      </c>
      <c r="D635" s="9" t="s">
        <v>139</v>
      </c>
      <c r="E635" s="9" t="s">
        <v>280</v>
      </c>
      <c r="F635" s="9" t="s">
        <v>141</v>
      </c>
      <c r="G635" s="9" t="s">
        <v>142</v>
      </c>
      <c r="H635" s="9" t="s">
        <v>139</v>
      </c>
      <c r="I635" s="9" t="s">
        <v>143</v>
      </c>
      <c r="J635" s="9" t="s">
        <v>139</v>
      </c>
      <c r="K635" s="10">
        <v>37200.870532407411</v>
      </c>
    </row>
    <row r="636" spans="1:11" x14ac:dyDescent="0.25">
      <c r="A636" s="8">
        <v>1155</v>
      </c>
      <c r="B636" s="9" t="s">
        <v>5385</v>
      </c>
      <c r="C636" s="9" t="s">
        <v>1254</v>
      </c>
      <c r="D636" s="9" t="s">
        <v>139</v>
      </c>
      <c r="E636" s="9" t="s">
        <v>1255</v>
      </c>
      <c r="F636" s="9" t="s">
        <v>1256</v>
      </c>
      <c r="G636" s="9" t="s">
        <v>142</v>
      </c>
      <c r="H636" s="9" t="s">
        <v>139</v>
      </c>
      <c r="I636" s="9" t="s">
        <v>411</v>
      </c>
      <c r="J636" s="9" t="s">
        <v>139</v>
      </c>
      <c r="K636" s="10">
        <v>37201.847615740742</v>
      </c>
    </row>
    <row r="637" spans="1:11" x14ac:dyDescent="0.25">
      <c r="A637" s="8">
        <v>1156</v>
      </c>
      <c r="B637" s="9" t="s">
        <v>5386</v>
      </c>
      <c r="C637" s="9" t="s">
        <v>1257</v>
      </c>
      <c r="D637" s="9" t="s">
        <v>139</v>
      </c>
      <c r="E637" s="9" t="s">
        <v>1258</v>
      </c>
      <c r="F637" s="9" t="s">
        <v>1259</v>
      </c>
      <c r="G637" s="9" t="s">
        <v>142</v>
      </c>
      <c r="H637" s="9" t="s">
        <v>241</v>
      </c>
      <c r="I637" s="9" t="s">
        <v>411</v>
      </c>
      <c r="J637" s="9" t="s">
        <v>139</v>
      </c>
      <c r="K637" s="10">
        <v>37209.608344907407</v>
      </c>
    </row>
    <row r="638" spans="1:11" x14ac:dyDescent="0.25">
      <c r="A638" s="8">
        <v>1157</v>
      </c>
      <c r="B638" s="9" t="s">
        <v>8906</v>
      </c>
      <c r="C638" s="9" t="s">
        <v>1260</v>
      </c>
      <c r="D638" s="9" t="s">
        <v>139</v>
      </c>
      <c r="E638" s="9" t="s">
        <v>280</v>
      </c>
      <c r="F638" s="9" t="s">
        <v>141</v>
      </c>
      <c r="G638" s="9" t="s">
        <v>142</v>
      </c>
      <c r="H638" s="9" t="s">
        <v>241</v>
      </c>
      <c r="I638" s="9" t="s">
        <v>143</v>
      </c>
      <c r="J638" s="9" t="s">
        <v>139</v>
      </c>
      <c r="K638" s="10">
        <v>37211.587916666664</v>
      </c>
    </row>
    <row r="639" spans="1:11" x14ac:dyDescent="0.25">
      <c r="A639" s="8">
        <v>1158</v>
      </c>
      <c r="B639" s="9" t="s">
        <v>5387</v>
      </c>
      <c r="C639" s="9" t="s">
        <v>1261</v>
      </c>
      <c r="D639" s="9" t="s">
        <v>139</v>
      </c>
      <c r="E639" s="9" t="s">
        <v>1262</v>
      </c>
      <c r="F639" s="9" t="s">
        <v>1263</v>
      </c>
      <c r="G639" s="9" t="s">
        <v>142</v>
      </c>
      <c r="H639" s="9" t="s">
        <v>166</v>
      </c>
      <c r="I639" s="9" t="s">
        <v>411</v>
      </c>
      <c r="J639" s="9" t="s">
        <v>1264</v>
      </c>
      <c r="K639" s="10">
        <v>37217.571840277778</v>
      </c>
    </row>
    <row r="640" spans="1:11" x14ac:dyDescent="0.25">
      <c r="A640" s="8">
        <v>1159</v>
      </c>
      <c r="B640" s="9" t="s">
        <v>5388</v>
      </c>
      <c r="C640" s="9" t="s">
        <v>1265</v>
      </c>
      <c r="D640" s="9" t="s">
        <v>139</v>
      </c>
      <c r="E640" s="9" t="s">
        <v>1266</v>
      </c>
      <c r="F640" s="9" t="s">
        <v>1267</v>
      </c>
      <c r="G640" s="9" t="s">
        <v>142</v>
      </c>
      <c r="H640" s="9" t="s">
        <v>166</v>
      </c>
      <c r="I640" s="9" t="s">
        <v>411</v>
      </c>
      <c r="J640" s="9" t="s">
        <v>139</v>
      </c>
      <c r="K640" s="10">
        <v>37218.599236111113</v>
      </c>
    </row>
    <row r="641" spans="1:11" x14ac:dyDescent="0.25">
      <c r="A641" s="8">
        <v>1161</v>
      </c>
      <c r="B641" s="9" t="s">
        <v>5389</v>
      </c>
      <c r="C641" s="9" t="s">
        <v>1268</v>
      </c>
      <c r="D641" s="9" t="s">
        <v>139</v>
      </c>
      <c r="E641" s="9" t="s">
        <v>147</v>
      </c>
      <c r="F641" s="9" t="s">
        <v>141</v>
      </c>
      <c r="G641" s="9" t="s">
        <v>142</v>
      </c>
      <c r="H641" s="9" t="s">
        <v>139</v>
      </c>
      <c r="I641" s="9" t="s">
        <v>411</v>
      </c>
      <c r="J641" s="9" t="s">
        <v>139</v>
      </c>
      <c r="K641" s="10">
        <v>37224.794548611113</v>
      </c>
    </row>
    <row r="642" spans="1:11" x14ac:dyDescent="0.25">
      <c r="A642" s="8">
        <v>1162</v>
      </c>
      <c r="B642" s="9" t="s">
        <v>8907</v>
      </c>
      <c r="C642" s="9" t="s">
        <v>1269</v>
      </c>
      <c r="D642" s="9" t="s">
        <v>139</v>
      </c>
      <c r="E642" s="9" t="s">
        <v>1270</v>
      </c>
      <c r="F642" s="9" t="s">
        <v>1271</v>
      </c>
      <c r="G642" s="9" t="s">
        <v>142</v>
      </c>
      <c r="H642" s="9" t="s">
        <v>139</v>
      </c>
      <c r="I642" s="9" t="s">
        <v>143</v>
      </c>
      <c r="J642" s="9" t="s">
        <v>139</v>
      </c>
      <c r="K642" s="10">
        <v>37225.704398148147</v>
      </c>
    </row>
    <row r="643" spans="1:11" x14ac:dyDescent="0.25">
      <c r="A643" s="8">
        <v>1164</v>
      </c>
      <c r="B643" s="9" t="s">
        <v>5390</v>
      </c>
      <c r="C643" s="9" t="s">
        <v>1272</v>
      </c>
      <c r="D643" s="9" t="s">
        <v>1273</v>
      </c>
      <c r="E643" s="9" t="s">
        <v>1274</v>
      </c>
      <c r="F643" s="9" t="s">
        <v>1275</v>
      </c>
      <c r="G643" s="9" t="s">
        <v>142</v>
      </c>
      <c r="H643" s="9" t="s">
        <v>241</v>
      </c>
      <c r="I643" s="9" t="s">
        <v>411</v>
      </c>
      <c r="J643" s="9" t="s">
        <v>139</v>
      </c>
      <c r="K643" s="10">
        <v>37226.693668981483</v>
      </c>
    </row>
    <row r="644" spans="1:11" x14ac:dyDescent="0.25">
      <c r="A644" s="8">
        <v>1165</v>
      </c>
      <c r="B644" s="9" t="s">
        <v>5391</v>
      </c>
      <c r="C644" s="9" t="s">
        <v>1276</v>
      </c>
      <c r="D644" s="9" t="s">
        <v>139</v>
      </c>
      <c r="E644" s="9" t="s">
        <v>1277</v>
      </c>
      <c r="F644" s="9" t="s">
        <v>1278</v>
      </c>
      <c r="G644" s="9" t="s">
        <v>142</v>
      </c>
      <c r="H644" s="9" t="s">
        <v>139</v>
      </c>
      <c r="I644" s="9" t="s">
        <v>411</v>
      </c>
      <c r="J644" s="9" t="s">
        <v>139</v>
      </c>
      <c r="K644" s="10">
        <v>37226.698159722226</v>
      </c>
    </row>
    <row r="645" spans="1:11" x14ac:dyDescent="0.25">
      <c r="A645" s="8">
        <v>1167</v>
      </c>
      <c r="B645" s="9" t="s">
        <v>5392</v>
      </c>
      <c r="C645" s="9" t="s">
        <v>1279</v>
      </c>
      <c r="D645" s="9" t="s">
        <v>139</v>
      </c>
      <c r="E645" s="9" t="s">
        <v>1280</v>
      </c>
      <c r="F645" s="9" t="s">
        <v>1281</v>
      </c>
      <c r="G645" s="9" t="s">
        <v>142</v>
      </c>
      <c r="H645" s="9" t="s">
        <v>139</v>
      </c>
      <c r="I645" s="9" t="s">
        <v>411</v>
      </c>
      <c r="J645" s="9" t="s">
        <v>139</v>
      </c>
      <c r="K645" s="10">
        <v>37226.701180555552</v>
      </c>
    </row>
    <row r="646" spans="1:11" x14ac:dyDescent="0.25">
      <c r="A646" s="8">
        <v>1168</v>
      </c>
      <c r="B646" s="9" t="s">
        <v>5393</v>
      </c>
      <c r="C646" s="9" t="s">
        <v>1282</v>
      </c>
      <c r="D646" s="9" t="s">
        <v>139</v>
      </c>
      <c r="E646" s="9" t="s">
        <v>1283</v>
      </c>
      <c r="F646" s="9" t="s">
        <v>1284</v>
      </c>
      <c r="G646" s="9" t="s">
        <v>142</v>
      </c>
      <c r="H646" s="9" t="s">
        <v>139</v>
      </c>
      <c r="I646" s="9" t="s">
        <v>411</v>
      </c>
      <c r="J646" s="9" t="s">
        <v>139</v>
      </c>
      <c r="K646" s="10">
        <v>37226.702615740738</v>
      </c>
    </row>
    <row r="647" spans="1:11" x14ac:dyDescent="0.25">
      <c r="A647" s="8">
        <v>1170</v>
      </c>
      <c r="B647" s="9" t="s">
        <v>5394</v>
      </c>
      <c r="C647" s="9" t="s">
        <v>1285</v>
      </c>
      <c r="D647" s="9" t="s">
        <v>139</v>
      </c>
      <c r="E647" s="9" t="s">
        <v>1286</v>
      </c>
      <c r="F647" s="9" t="s">
        <v>1287</v>
      </c>
      <c r="G647" s="9" t="s">
        <v>142</v>
      </c>
      <c r="H647" s="9" t="s">
        <v>139</v>
      </c>
      <c r="I647" s="9" t="s">
        <v>411</v>
      </c>
      <c r="J647" s="9" t="s">
        <v>139</v>
      </c>
      <c r="K647" s="10">
        <v>37226.705995370372</v>
      </c>
    </row>
    <row r="648" spans="1:11" x14ac:dyDescent="0.25">
      <c r="A648" s="8">
        <v>1171</v>
      </c>
      <c r="B648" s="9" t="s">
        <v>5395</v>
      </c>
      <c r="C648" s="9" t="s">
        <v>1288</v>
      </c>
      <c r="D648" s="9" t="s">
        <v>139</v>
      </c>
      <c r="E648" s="9" t="s">
        <v>1289</v>
      </c>
      <c r="F648" s="9" t="s">
        <v>1290</v>
      </c>
      <c r="G648" s="9" t="s">
        <v>142</v>
      </c>
      <c r="H648" s="9" t="s">
        <v>139</v>
      </c>
      <c r="I648" s="9" t="s">
        <v>411</v>
      </c>
      <c r="J648" s="9" t="s">
        <v>139</v>
      </c>
      <c r="K648" s="10">
        <v>37228.545231481483</v>
      </c>
    </row>
    <row r="649" spans="1:11" x14ac:dyDescent="0.25">
      <c r="A649" s="8">
        <v>1172</v>
      </c>
      <c r="B649" s="9" t="s">
        <v>5396</v>
      </c>
      <c r="C649" s="9" t="s">
        <v>1291</v>
      </c>
      <c r="D649" s="9" t="s">
        <v>139</v>
      </c>
      <c r="E649" s="9" t="s">
        <v>229</v>
      </c>
      <c r="F649" s="9" t="s">
        <v>141</v>
      </c>
      <c r="G649" s="9" t="s">
        <v>142</v>
      </c>
      <c r="H649" s="9" t="s">
        <v>139</v>
      </c>
      <c r="I649" s="9" t="s">
        <v>411</v>
      </c>
      <c r="J649" s="9" t="s">
        <v>139</v>
      </c>
      <c r="K649" s="10">
        <v>37230.466365740744</v>
      </c>
    </row>
    <row r="650" spans="1:11" x14ac:dyDescent="0.25">
      <c r="A650" s="8">
        <v>1176</v>
      </c>
      <c r="B650" s="9" t="s">
        <v>5397</v>
      </c>
      <c r="C650" s="9" t="s">
        <v>1292</v>
      </c>
      <c r="D650" s="9" t="s">
        <v>139</v>
      </c>
      <c r="E650" s="9" t="s">
        <v>1293</v>
      </c>
      <c r="F650" s="9" t="s">
        <v>1294</v>
      </c>
      <c r="G650" s="9" t="s">
        <v>142</v>
      </c>
      <c r="H650" s="9" t="s">
        <v>258</v>
      </c>
      <c r="I650" s="9" t="s">
        <v>411</v>
      </c>
      <c r="J650" s="9" t="s">
        <v>139</v>
      </c>
      <c r="K650" s="10">
        <v>37230.719293981485</v>
      </c>
    </row>
    <row r="651" spans="1:11" x14ac:dyDescent="0.25">
      <c r="A651" s="8">
        <v>1178</v>
      </c>
      <c r="B651" s="9" t="s">
        <v>5398</v>
      </c>
      <c r="C651" s="9" t="s">
        <v>1295</v>
      </c>
      <c r="D651" s="9" t="s">
        <v>139</v>
      </c>
      <c r="E651" s="9" t="s">
        <v>1296</v>
      </c>
      <c r="F651" s="9" t="s">
        <v>1297</v>
      </c>
      <c r="G651" s="9" t="s">
        <v>142</v>
      </c>
      <c r="H651" s="9" t="s">
        <v>241</v>
      </c>
      <c r="I651" s="9" t="s">
        <v>411</v>
      </c>
      <c r="J651" s="9" t="s">
        <v>139</v>
      </c>
      <c r="K651" s="10">
        <v>37230.720486111109</v>
      </c>
    </row>
    <row r="652" spans="1:11" x14ac:dyDescent="0.25">
      <c r="A652" s="8">
        <v>1180</v>
      </c>
      <c r="B652" s="9" t="s">
        <v>5399</v>
      </c>
      <c r="C652" s="9" t="s">
        <v>1298</v>
      </c>
      <c r="D652" s="9" t="s">
        <v>139</v>
      </c>
      <c r="E652" s="9" t="s">
        <v>277</v>
      </c>
      <c r="F652" s="9" t="s">
        <v>278</v>
      </c>
      <c r="G652" s="9" t="s">
        <v>142</v>
      </c>
      <c r="H652" s="9" t="s">
        <v>166</v>
      </c>
      <c r="I652" s="9" t="s">
        <v>411</v>
      </c>
      <c r="J652" s="9" t="s">
        <v>139</v>
      </c>
      <c r="K652" s="10">
        <v>37230.721550925926</v>
      </c>
    </row>
    <row r="653" spans="1:11" x14ac:dyDescent="0.25">
      <c r="A653" s="8">
        <v>1181</v>
      </c>
      <c r="B653" s="9" t="s">
        <v>5400</v>
      </c>
      <c r="C653" s="9" t="s">
        <v>1299</v>
      </c>
      <c r="D653" s="9" t="s">
        <v>139</v>
      </c>
      <c r="E653" s="9" t="s">
        <v>1300</v>
      </c>
      <c r="F653" s="9" t="s">
        <v>1301</v>
      </c>
      <c r="G653" s="9" t="s">
        <v>142</v>
      </c>
      <c r="H653" s="9" t="s">
        <v>166</v>
      </c>
      <c r="I653" s="9" t="s">
        <v>411</v>
      </c>
      <c r="J653" s="9" t="s">
        <v>139</v>
      </c>
      <c r="K653" s="10">
        <v>37230.722511574073</v>
      </c>
    </row>
    <row r="654" spans="1:11" x14ac:dyDescent="0.25">
      <c r="A654" s="8">
        <v>1185</v>
      </c>
      <c r="B654" s="9" t="s">
        <v>5401</v>
      </c>
      <c r="C654" s="9" t="s">
        <v>1302</v>
      </c>
      <c r="D654" s="9" t="s">
        <v>139</v>
      </c>
      <c r="E654" s="9" t="s">
        <v>1303</v>
      </c>
      <c r="F654" s="9" t="s">
        <v>1304</v>
      </c>
      <c r="G654" s="9" t="s">
        <v>142</v>
      </c>
      <c r="H654" s="9" t="s">
        <v>241</v>
      </c>
      <c r="I654" s="9" t="s">
        <v>411</v>
      </c>
      <c r="J654" s="9" t="s">
        <v>139</v>
      </c>
      <c r="K654" s="10">
        <v>37230.728113425925</v>
      </c>
    </row>
    <row r="655" spans="1:11" x14ac:dyDescent="0.25">
      <c r="A655" s="8">
        <v>1186</v>
      </c>
      <c r="B655" s="9" t="s">
        <v>5402</v>
      </c>
      <c r="C655" s="9" t="s">
        <v>1305</v>
      </c>
      <c r="D655" s="9" t="s">
        <v>139</v>
      </c>
      <c r="E655" s="9" t="s">
        <v>1306</v>
      </c>
      <c r="F655" s="9" t="s">
        <v>1307</v>
      </c>
      <c r="G655" s="9" t="s">
        <v>142</v>
      </c>
      <c r="H655" s="9" t="s">
        <v>241</v>
      </c>
      <c r="I655" s="9" t="s">
        <v>411</v>
      </c>
      <c r="J655" s="9" t="s">
        <v>139</v>
      </c>
      <c r="K655" s="10">
        <v>37230.729016203702</v>
      </c>
    </row>
    <row r="656" spans="1:11" x14ac:dyDescent="0.25">
      <c r="A656" s="8">
        <v>1187</v>
      </c>
      <c r="B656" s="9" t="s">
        <v>5403</v>
      </c>
      <c r="C656" s="9" t="s">
        <v>1308</v>
      </c>
      <c r="D656" s="9" t="s">
        <v>139</v>
      </c>
      <c r="E656" s="9" t="s">
        <v>1309</v>
      </c>
      <c r="F656" s="9" t="s">
        <v>1310</v>
      </c>
      <c r="G656" s="9" t="s">
        <v>142</v>
      </c>
      <c r="H656" s="9" t="s">
        <v>241</v>
      </c>
      <c r="I656" s="9" t="s">
        <v>411</v>
      </c>
      <c r="J656" s="9" t="s">
        <v>139</v>
      </c>
      <c r="K656" s="10">
        <v>37230.730150462965</v>
      </c>
    </row>
    <row r="657" spans="1:11" x14ac:dyDescent="0.25">
      <c r="A657" s="8">
        <v>1188</v>
      </c>
      <c r="B657" s="9" t="s">
        <v>5404</v>
      </c>
      <c r="C657" s="9" t="s">
        <v>1312</v>
      </c>
      <c r="D657" s="9" t="s">
        <v>139</v>
      </c>
      <c r="E657" s="9" t="s">
        <v>1309</v>
      </c>
      <c r="F657" s="9" t="s">
        <v>1313</v>
      </c>
      <c r="G657" s="9" t="s">
        <v>142</v>
      </c>
      <c r="H657" s="9" t="s">
        <v>166</v>
      </c>
      <c r="I657" s="9" t="s">
        <v>411</v>
      </c>
      <c r="J657" s="9" t="s">
        <v>139</v>
      </c>
      <c r="K657" s="10">
        <v>37230.730925925927</v>
      </c>
    </row>
    <row r="658" spans="1:11" x14ac:dyDescent="0.25">
      <c r="A658" s="8">
        <v>1192</v>
      </c>
      <c r="B658" s="9" t="s">
        <v>5405</v>
      </c>
      <c r="C658" s="9" t="s">
        <v>1314</v>
      </c>
      <c r="D658" s="9" t="s">
        <v>139</v>
      </c>
      <c r="E658" s="9" t="s">
        <v>1315</v>
      </c>
      <c r="F658" s="9" t="s">
        <v>1316</v>
      </c>
      <c r="G658" s="9" t="s">
        <v>142</v>
      </c>
      <c r="H658" s="9" t="s">
        <v>258</v>
      </c>
      <c r="I658" s="9" t="s">
        <v>411</v>
      </c>
      <c r="J658" s="9" t="s">
        <v>139</v>
      </c>
      <c r="K658" s="10">
        <v>37230.733576388891</v>
      </c>
    </row>
    <row r="659" spans="1:11" x14ac:dyDescent="0.25">
      <c r="A659" s="8">
        <v>1194</v>
      </c>
      <c r="B659" s="9" t="s">
        <v>5406</v>
      </c>
      <c r="C659" s="9" t="s">
        <v>1317</v>
      </c>
      <c r="D659" s="9" t="s">
        <v>139</v>
      </c>
      <c r="E659" s="9" t="s">
        <v>1296</v>
      </c>
      <c r="F659" s="9" t="s">
        <v>1297</v>
      </c>
      <c r="G659" s="9" t="s">
        <v>142</v>
      </c>
      <c r="H659" s="9" t="s">
        <v>139</v>
      </c>
      <c r="I659" s="9" t="s">
        <v>411</v>
      </c>
      <c r="J659" s="9" t="s">
        <v>139</v>
      </c>
      <c r="K659" s="10">
        <v>37230.734733796293</v>
      </c>
    </row>
    <row r="660" spans="1:11" x14ac:dyDescent="0.25">
      <c r="A660" s="8">
        <v>1198</v>
      </c>
      <c r="B660" s="9" t="s">
        <v>5407</v>
      </c>
      <c r="C660" s="9" t="s">
        <v>1318</v>
      </c>
      <c r="D660" s="9" t="s">
        <v>139</v>
      </c>
      <c r="E660" s="9" t="s">
        <v>1246</v>
      </c>
      <c r="F660" s="9" t="s">
        <v>1247</v>
      </c>
      <c r="G660" s="9" t="s">
        <v>142</v>
      </c>
      <c r="H660" s="9" t="s">
        <v>241</v>
      </c>
      <c r="I660" s="9" t="s">
        <v>411</v>
      </c>
      <c r="J660" s="9" t="s">
        <v>139</v>
      </c>
      <c r="K660" s="10">
        <v>37230.737453703703</v>
      </c>
    </row>
    <row r="661" spans="1:11" x14ac:dyDescent="0.25">
      <c r="A661" s="8">
        <v>1199</v>
      </c>
      <c r="B661" s="9" t="s">
        <v>5408</v>
      </c>
      <c r="C661" s="9" t="s">
        <v>1319</v>
      </c>
      <c r="D661" s="9" t="s">
        <v>139</v>
      </c>
      <c r="E661" s="9" t="s">
        <v>1320</v>
      </c>
      <c r="F661" s="9" t="s">
        <v>1321</v>
      </c>
      <c r="G661" s="9" t="s">
        <v>142</v>
      </c>
      <c r="H661" s="9" t="s">
        <v>241</v>
      </c>
      <c r="I661" s="9" t="s">
        <v>411</v>
      </c>
      <c r="J661" s="9" t="s">
        <v>139</v>
      </c>
      <c r="K661" s="10">
        <v>37230.737858796296</v>
      </c>
    </row>
    <row r="662" spans="1:11" x14ac:dyDescent="0.25">
      <c r="A662" s="8">
        <v>1200</v>
      </c>
      <c r="B662" s="9" t="s">
        <v>5409</v>
      </c>
      <c r="C662" s="9" t="s">
        <v>1322</v>
      </c>
      <c r="D662" s="9" t="s">
        <v>139</v>
      </c>
      <c r="E662" s="9" t="s">
        <v>1323</v>
      </c>
      <c r="F662" s="9" t="s">
        <v>1324</v>
      </c>
      <c r="G662" s="9" t="s">
        <v>142</v>
      </c>
      <c r="H662" s="9" t="s">
        <v>166</v>
      </c>
      <c r="I662" s="9" t="s">
        <v>411</v>
      </c>
      <c r="J662" s="9" t="s">
        <v>139</v>
      </c>
      <c r="K662" s="10">
        <v>37230.738402777781</v>
      </c>
    </row>
    <row r="663" spans="1:11" x14ac:dyDescent="0.25">
      <c r="A663" s="8">
        <v>1203</v>
      </c>
      <c r="B663" s="9" t="s">
        <v>5410</v>
      </c>
      <c r="C663" s="9" t="s">
        <v>1325</v>
      </c>
      <c r="D663" s="9" t="s">
        <v>139</v>
      </c>
      <c r="E663" s="9" t="s">
        <v>1323</v>
      </c>
      <c r="F663" s="9" t="s">
        <v>1324</v>
      </c>
      <c r="G663" s="9" t="s">
        <v>142</v>
      </c>
      <c r="H663" s="9" t="s">
        <v>166</v>
      </c>
      <c r="I663" s="9" t="s">
        <v>411</v>
      </c>
      <c r="J663" s="9" t="s">
        <v>139</v>
      </c>
      <c r="K663" s="10">
        <v>37230.741238425922</v>
      </c>
    </row>
    <row r="664" spans="1:11" x14ac:dyDescent="0.25">
      <c r="A664" s="8">
        <v>1207</v>
      </c>
      <c r="B664" s="9" t="s">
        <v>5411</v>
      </c>
      <c r="C664" s="9" t="s">
        <v>139</v>
      </c>
      <c r="D664" s="9" t="s">
        <v>139</v>
      </c>
      <c r="E664" s="9">
        <v>75</v>
      </c>
      <c r="F664" s="9" t="s">
        <v>413</v>
      </c>
      <c r="G664" s="9" t="s">
        <v>142</v>
      </c>
      <c r="H664" s="9" t="s">
        <v>139</v>
      </c>
      <c r="I664" s="9" t="s">
        <v>411</v>
      </c>
      <c r="J664" s="9" t="s">
        <v>139</v>
      </c>
      <c r="K664" s="10">
        <v>37232.746053240742</v>
      </c>
    </row>
    <row r="665" spans="1:11" x14ac:dyDescent="0.25">
      <c r="A665" s="8">
        <v>1210</v>
      </c>
      <c r="B665" s="9" t="s">
        <v>8908</v>
      </c>
      <c r="C665" s="9" t="s">
        <v>1326</v>
      </c>
      <c r="D665" s="9" t="s">
        <v>139</v>
      </c>
      <c r="E665" s="9" t="s">
        <v>149</v>
      </c>
      <c r="F665" s="9" t="s">
        <v>141</v>
      </c>
      <c r="G665" s="9" t="s">
        <v>142</v>
      </c>
      <c r="H665" s="9" t="s">
        <v>139</v>
      </c>
      <c r="I665" s="9" t="s">
        <v>143</v>
      </c>
      <c r="J665" s="9" t="s">
        <v>139</v>
      </c>
      <c r="K665" s="10">
        <v>37237.720682870371</v>
      </c>
    </row>
    <row r="666" spans="1:11" x14ac:dyDescent="0.25">
      <c r="A666" s="8">
        <v>1212</v>
      </c>
      <c r="B666" s="9" t="s">
        <v>8909</v>
      </c>
      <c r="C666" s="9" t="s">
        <v>1327</v>
      </c>
      <c r="D666" s="9" t="s">
        <v>139</v>
      </c>
      <c r="E666" s="9" t="s">
        <v>1328</v>
      </c>
      <c r="F666" s="9" t="s">
        <v>1329</v>
      </c>
      <c r="G666" s="9" t="s">
        <v>142</v>
      </c>
      <c r="H666" s="9" t="s">
        <v>166</v>
      </c>
      <c r="I666" s="9" t="s">
        <v>143</v>
      </c>
      <c r="J666" s="9" t="s">
        <v>139</v>
      </c>
      <c r="K666" s="10">
        <v>37239.557997685188</v>
      </c>
    </row>
    <row r="667" spans="1:11" x14ac:dyDescent="0.25">
      <c r="A667" s="8">
        <v>1213</v>
      </c>
      <c r="B667" s="9" t="s">
        <v>5412</v>
      </c>
      <c r="C667" s="9" t="s">
        <v>1330</v>
      </c>
      <c r="D667" s="9" t="s">
        <v>139</v>
      </c>
      <c r="E667" s="9" t="s">
        <v>147</v>
      </c>
      <c r="F667" s="9" t="s">
        <v>141</v>
      </c>
      <c r="G667" s="9" t="s">
        <v>142</v>
      </c>
      <c r="H667" s="9" t="s">
        <v>139</v>
      </c>
      <c r="I667" s="9" t="s">
        <v>411</v>
      </c>
      <c r="J667" s="9" t="s">
        <v>1331</v>
      </c>
      <c r="K667" s="10">
        <v>37241.514050925929</v>
      </c>
    </row>
    <row r="668" spans="1:11" x14ac:dyDescent="0.25">
      <c r="A668" s="8">
        <v>1214</v>
      </c>
      <c r="B668" s="9" t="s">
        <v>8910</v>
      </c>
      <c r="C668" s="9" t="s">
        <v>1332</v>
      </c>
      <c r="D668" s="9" t="s">
        <v>139</v>
      </c>
      <c r="E668" s="9" t="s">
        <v>163</v>
      </c>
      <c r="F668" s="9" t="s">
        <v>141</v>
      </c>
      <c r="G668" s="9" t="s">
        <v>142</v>
      </c>
      <c r="H668" s="9" t="s">
        <v>139</v>
      </c>
      <c r="I668" s="9" t="s">
        <v>143</v>
      </c>
      <c r="J668" s="9" t="s">
        <v>139</v>
      </c>
      <c r="K668" s="10">
        <v>37242.586481481485</v>
      </c>
    </row>
    <row r="669" spans="1:11" x14ac:dyDescent="0.25">
      <c r="A669" s="8">
        <v>1215</v>
      </c>
      <c r="B669" s="9" t="s">
        <v>5413</v>
      </c>
      <c r="C669" s="9" t="s">
        <v>1333</v>
      </c>
      <c r="D669" s="9" t="s">
        <v>1334</v>
      </c>
      <c r="E669" s="9" t="s">
        <v>1335</v>
      </c>
      <c r="F669" s="9" t="s">
        <v>1336</v>
      </c>
      <c r="G669" s="9" t="s">
        <v>142</v>
      </c>
      <c r="H669" s="9" t="s">
        <v>139</v>
      </c>
      <c r="I669" s="9" t="s">
        <v>411</v>
      </c>
      <c r="J669" s="9" t="s">
        <v>139</v>
      </c>
      <c r="K669" s="10">
        <v>37242.671736111108</v>
      </c>
    </row>
    <row r="670" spans="1:11" x14ac:dyDescent="0.25">
      <c r="A670" s="8">
        <v>1216</v>
      </c>
      <c r="B670" s="9" t="s">
        <v>8911</v>
      </c>
      <c r="C670" s="9" t="s">
        <v>1337</v>
      </c>
      <c r="D670" s="9" t="s">
        <v>139</v>
      </c>
      <c r="E670" s="9" t="s">
        <v>328</v>
      </c>
      <c r="F670" s="9" t="s">
        <v>141</v>
      </c>
      <c r="G670" s="9" t="s">
        <v>142</v>
      </c>
      <c r="H670" s="9" t="s">
        <v>139</v>
      </c>
      <c r="I670" s="9" t="s">
        <v>143</v>
      </c>
      <c r="J670" s="9" t="s">
        <v>139</v>
      </c>
      <c r="K670" s="10">
        <v>37242.806851851848</v>
      </c>
    </row>
    <row r="671" spans="1:11" x14ac:dyDescent="0.25">
      <c r="A671" s="8">
        <v>1219</v>
      </c>
      <c r="B671" s="9" t="s">
        <v>8912</v>
      </c>
      <c r="C671" s="9" t="s">
        <v>1338</v>
      </c>
      <c r="D671" s="9" t="s">
        <v>139</v>
      </c>
      <c r="E671" s="9" t="s">
        <v>1339</v>
      </c>
      <c r="F671" s="9" t="s">
        <v>1340</v>
      </c>
      <c r="G671" s="9" t="s">
        <v>142</v>
      </c>
      <c r="H671" s="9" t="s">
        <v>139</v>
      </c>
      <c r="I671" s="9" t="s">
        <v>143</v>
      </c>
      <c r="J671" s="9" t="s">
        <v>139</v>
      </c>
      <c r="K671" s="10">
        <v>37260.522719907407</v>
      </c>
    </row>
    <row r="672" spans="1:11" x14ac:dyDescent="0.25">
      <c r="A672" s="8">
        <v>1220</v>
      </c>
      <c r="B672" s="9" t="s">
        <v>8913</v>
      </c>
      <c r="C672" s="9" t="s">
        <v>1341</v>
      </c>
      <c r="D672" s="9" t="s">
        <v>139</v>
      </c>
      <c r="E672" s="9" t="s">
        <v>1342</v>
      </c>
      <c r="F672" s="9" t="s">
        <v>1343</v>
      </c>
      <c r="G672" s="9" t="s">
        <v>142</v>
      </c>
      <c r="H672" s="9" t="s">
        <v>321</v>
      </c>
      <c r="I672" s="9" t="s">
        <v>143</v>
      </c>
      <c r="J672" s="9" t="s">
        <v>139</v>
      </c>
      <c r="K672" s="10">
        <v>37260.526273148149</v>
      </c>
    </row>
    <row r="673" spans="1:11" x14ac:dyDescent="0.25">
      <c r="A673" s="8">
        <v>1222</v>
      </c>
      <c r="B673" s="9" t="s">
        <v>8914</v>
      </c>
      <c r="C673" s="9" t="s">
        <v>1344</v>
      </c>
      <c r="D673" s="9" t="s">
        <v>139</v>
      </c>
      <c r="E673" s="9" t="s">
        <v>1345</v>
      </c>
      <c r="F673" s="9" t="s">
        <v>1346</v>
      </c>
      <c r="G673" s="9" t="s">
        <v>142</v>
      </c>
      <c r="H673" s="9" t="s">
        <v>139</v>
      </c>
      <c r="I673" s="9" t="s">
        <v>143</v>
      </c>
      <c r="J673" s="9" t="s">
        <v>139</v>
      </c>
      <c r="K673" s="10">
        <v>37260.529780092591</v>
      </c>
    </row>
    <row r="674" spans="1:11" x14ac:dyDescent="0.25">
      <c r="A674" s="8">
        <v>1223</v>
      </c>
      <c r="B674" s="9" t="s">
        <v>8915</v>
      </c>
      <c r="C674" s="9" t="s">
        <v>1347</v>
      </c>
      <c r="D674" s="9" t="s">
        <v>139</v>
      </c>
      <c r="E674" s="9" t="s">
        <v>328</v>
      </c>
      <c r="F674" s="9" t="s">
        <v>141</v>
      </c>
      <c r="G674" s="9" t="s">
        <v>142</v>
      </c>
      <c r="H674" s="9" t="s">
        <v>139</v>
      </c>
      <c r="I674" s="9" t="s">
        <v>143</v>
      </c>
      <c r="J674" s="9" t="s">
        <v>139</v>
      </c>
      <c r="K674" s="10">
        <v>37260.531574074077</v>
      </c>
    </row>
    <row r="675" spans="1:11" x14ac:dyDescent="0.25">
      <c r="A675" s="8">
        <v>1225</v>
      </c>
      <c r="B675" s="9" t="s">
        <v>8916</v>
      </c>
      <c r="C675" s="9" t="s">
        <v>1348</v>
      </c>
      <c r="D675" s="9" t="s">
        <v>139</v>
      </c>
      <c r="E675" s="9" t="s">
        <v>202</v>
      </c>
      <c r="F675" s="9" t="s">
        <v>141</v>
      </c>
      <c r="G675" s="9" t="s">
        <v>142</v>
      </c>
      <c r="H675" s="9" t="s">
        <v>241</v>
      </c>
      <c r="I675" s="9" t="s">
        <v>143</v>
      </c>
      <c r="J675" s="9" t="s">
        <v>139</v>
      </c>
      <c r="K675" s="10">
        <v>37260.53460648148</v>
      </c>
    </row>
    <row r="676" spans="1:11" x14ac:dyDescent="0.25">
      <c r="A676" s="8">
        <v>1226</v>
      </c>
      <c r="B676" s="9" t="s">
        <v>8917</v>
      </c>
      <c r="C676" s="9" t="s">
        <v>1349</v>
      </c>
      <c r="D676" s="9" t="s">
        <v>139</v>
      </c>
      <c r="E676" s="9" t="s">
        <v>1350</v>
      </c>
      <c r="F676" s="9" t="s">
        <v>1351</v>
      </c>
      <c r="G676" s="9" t="s">
        <v>142</v>
      </c>
      <c r="H676" s="9" t="s">
        <v>139</v>
      </c>
      <c r="I676" s="9" t="s">
        <v>143</v>
      </c>
      <c r="J676" s="9" t="s">
        <v>139</v>
      </c>
      <c r="K676" s="10">
        <v>37260.537523148145</v>
      </c>
    </row>
    <row r="677" spans="1:11" x14ac:dyDescent="0.25">
      <c r="A677" s="8">
        <v>1227</v>
      </c>
      <c r="B677" s="9" t="s">
        <v>8918</v>
      </c>
      <c r="C677" s="9" t="s">
        <v>1352</v>
      </c>
      <c r="D677" s="9" t="s">
        <v>139</v>
      </c>
      <c r="E677" s="9" t="s">
        <v>292</v>
      </c>
      <c r="F677" s="9" t="s">
        <v>293</v>
      </c>
      <c r="G677" s="9" t="s">
        <v>142</v>
      </c>
      <c r="H677" s="9" t="s">
        <v>139</v>
      </c>
      <c r="I677" s="9" t="s">
        <v>143</v>
      </c>
      <c r="J677" s="9" t="s">
        <v>139</v>
      </c>
      <c r="K677" s="10">
        <v>37260.538912037038</v>
      </c>
    </row>
    <row r="678" spans="1:11" x14ac:dyDescent="0.25">
      <c r="A678" s="8">
        <v>1228</v>
      </c>
      <c r="B678" s="9" t="s">
        <v>8919</v>
      </c>
      <c r="C678" s="9" t="s">
        <v>1353</v>
      </c>
      <c r="D678" s="9" t="s">
        <v>139</v>
      </c>
      <c r="E678" s="9" t="s">
        <v>182</v>
      </c>
      <c r="F678" s="9" t="s">
        <v>1354</v>
      </c>
      <c r="G678" s="9" t="s">
        <v>142</v>
      </c>
      <c r="H678" s="9" t="s">
        <v>139</v>
      </c>
      <c r="I678" s="9" t="s">
        <v>143</v>
      </c>
      <c r="J678" s="9" t="s">
        <v>139</v>
      </c>
      <c r="K678" s="10">
        <v>37260.541261574072</v>
      </c>
    </row>
    <row r="679" spans="1:11" x14ac:dyDescent="0.25">
      <c r="A679" s="8">
        <v>1231</v>
      </c>
      <c r="B679" s="9" t="s">
        <v>8920</v>
      </c>
      <c r="C679" s="9" t="s">
        <v>1355</v>
      </c>
      <c r="D679" s="9" t="s">
        <v>139</v>
      </c>
      <c r="E679" s="9" t="s">
        <v>1356</v>
      </c>
      <c r="F679" s="9" t="s">
        <v>1357</v>
      </c>
      <c r="G679" s="9" t="s">
        <v>142</v>
      </c>
      <c r="H679" s="9" t="s">
        <v>321</v>
      </c>
      <c r="I679" s="9" t="s">
        <v>143</v>
      </c>
      <c r="J679" s="9" t="s">
        <v>139</v>
      </c>
      <c r="K679" s="10">
        <v>37260.549085648148</v>
      </c>
    </row>
    <row r="680" spans="1:11" x14ac:dyDescent="0.25">
      <c r="A680" s="8">
        <v>1232</v>
      </c>
      <c r="B680" s="9" t="s">
        <v>8921</v>
      </c>
      <c r="C680" s="9" t="s">
        <v>1358</v>
      </c>
      <c r="D680" s="9" t="s">
        <v>139</v>
      </c>
      <c r="E680" s="9" t="s">
        <v>1359</v>
      </c>
      <c r="F680" s="9" t="s">
        <v>1360</v>
      </c>
      <c r="G680" s="9" t="s">
        <v>142</v>
      </c>
      <c r="H680" s="9" t="s">
        <v>139</v>
      </c>
      <c r="I680" s="9" t="s">
        <v>143</v>
      </c>
      <c r="J680" s="9" t="s">
        <v>139</v>
      </c>
      <c r="K680" s="10">
        <v>37260.551076388889</v>
      </c>
    </row>
    <row r="681" spans="1:11" x14ac:dyDescent="0.25">
      <c r="A681" s="8">
        <v>1233</v>
      </c>
      <c r="B681" s="9" t="s">
        <v>8922</v>
      </c>
      <c r="C681" s="9" t="s">
        <v>1361</v>
      </c>
      <c r="D681" s="9" t="s">
        <v>139</v>
      </c>
      <c r="E681" s="9" t="s">
        <v>267</v>
      </c>
      <c r="F681" s="9" t="s">
        <v>141</v>
      </c>
      <c r="G681" s="9" t="s">
        <v>142</v>
      </c>
      <c r="H681" s="9" t="s">
        <v>139</v>
      </c>
      <c r="I681" s="9" t="s">
        <v>143</v>
      </c>
      <c r="J681" s="9" t="s">
        <v>139</v>
      </c>
      <c r="K681" s="10">
        <v>37260.566030092596</v>
      </c>
    </row>
    <row r="682" spans="1:11" x14ac:dyDescent="0.25">
      <c r="A682" s="8">
        <v>1236</v>
      </c>
      <c r="B682" s="9" t="s">
        <v>8923</v>
      </c>
      <c r="C682" s="9" t="s">
        <v>1362</v>
      </c>
      <c r="D682" s="9" t="s">
        <v>139</v>
      </c>
      <c r="E682" s="9" t="s">
        <v>229</v>
      </c>
      <c r="F682" s="9" t="s">
        <v>141</v>
      </c>
      <c r="G682" s="9" t="s">
        <v>142</v>
      </c>
      <c r="H682" s="9" t="s">
        <v>139</v>
      </c>
      <c r="I682" s="9" t="s">
        <v>143</v>
      </c>
      <c r="J682" s="9" t="s">
        <v>139</v>
      </c>
      <c r="K682" s="10">
        <v>37260.578587962962</v>
      </c>
    </row>
    <row r="683" spans="1:11" x14ac:dyDescent="0.25">
      <c r="A683" s="8">
        <v>1238</v>
      </c>
      <c r="B683" s="9" t="s">
        <v>8924</v>
      </c>
      <c r="C683" s="9" t="s">
        <v>1363</v>
      </c>
      <c r="D683" s="9" t="s">
        <v>139</v>
      </c>
      <c r="E683" s="9" t="s">
        <v>1364</v>
      </c>
      <c r="F683" s="9" t="s">
        <v>1365</v>
      </c>
      <c r="G683" s="9" t="s">
        <v>142</v>
      </c>
      <c r="H683" s="9" t="s">
        <v>258</v>
      </c>
      <c r="I683" s="9" t="s">
        <v>143</v>
      </c>
      <c r="J683" s="9" t="s">
        <v>139</v>
      </c>
      <c r="K683" s="10">
        <v>37260.581886574073</v>
      </c>
    </row>
    <row r="684" spans="1:11" x14ac:dyDescent="0.25">
      <c r="A684" s="8">
        <v>1239</v>
      </c>
      <c r="B684" s="9" t="s">
        <v>8925</v>
      </c>
      <c r="C684" s="9" t="s">
        <v>1366</v>
      </c>
      <c r="D684" s="9" t="s">
        <v>139</v>
      </c>
      <c r="E684" s="9" t="s">
        <v>825</v>
      </c>
      <c r="F684" s="9" t="s">
        <v>826</v>
      </c>
      <c r="G684" s="9" t="s">
        <v>142</v>
      </c>
      <c r="H684" s="9" t="s">
        <v>258</v>
      </c>
      <c r="I684" s="9" t="s">
        <v>143</v>
      </c>
      <c r="J684" s="9" t="s">
        <v>139</v>
      </c>
      <c r="K684" s="10">
        <v>37260.584421296298</v>
      </c>
    </row>
    <row r="685" spans="1:11" x14ac:dyDescent="0.25">
      <c r="A685" s="8">
        <v>1240</v>
      </c>
      <c r="B685" s="9" t="s">
        <v>8926</v>
      </c>
      <c r="C685" s="9" t="s">
        <v>1367</v>
      </c>
      <c r="D685" s="9" t="s">
        <v>139</v>
      </c>
      <c r="E685" s="9" t="s">
        <v>218</v>
      </c>
      <c r="F685" s="9" t="s">
        <v>141</v>
      </c>
      <c r="G685" s="9" t="s">
        <v>142</v>
      </c>
      <c r="H685" s="9" t="s">
        <v>139</v>
      </c>
      <c r="I685" s="9" t="s">
        <v>143</v>
      </c>
      <c r="J685" s="9" t="s">
        <v>139</v>
      </c>
      <c r="K685" s="10">
        <v>37260.589166666665</v>
      </c>
    </row>
    <row r="686" spans="1:11" x14ac:dyDescent="0.25">
      <c r="A686" s="8">
        <v>1241</v>
      </c>
      <c r="B686" s="9" t="s">
        <v>8927</v>
      </c>
      <c r="C686" s="9" t="s">
        <v>1368</v>
      </c>
      <c r="D686" s="9" t="s">
        <v>139</v>
      </c>
      <c r="E686" s="9" t="s">
        <v>328</v>
      </c>
      <c r="F686" s="9" t="s">
        <v>141</v>
      </c>
      <c r="G686" s="9" t="s">
        <v>142</v>
      </c>
      <c r="H686" s="9" t="s">
        <v>166</v>
      </c>
      <c r="I686" s="9" t="s">
        <v>143</v>
      </c>
      <c r="J686" s="9" t="s">
        <v>139</v>
      </c>
      <c r="K686" s="10">
        <v>37261.51358796296</v>
      </c>
    </row>
    <row r="687" spans="1:11" x14ac:dyDescent="0.25">
      <c r="A687" s="8">
        <v>1244</v>
      </c>
      <c r="B687" s="9" t="s">
        <v>8928</v>
      </c>
      <c r="C687" s="9" t="s">
        <v>1369</v>
      </c>
      <c r="D687" s="9" t="s">
        <v>139</v>
      </c>
      <c r="E687" s="9" t="s">
        <v>194</v>
      </c>
      <c r="F687" s="9" t="s">
        <v>195</v>
      </c>
      <c r="G687" s="9" t="s">
        <v>142</v>
      </c>
      <c r="H687" s="9" t="s">
        <v>139</v>
      </c>
      <c r="I687" s="9" t="s">
        <v>143</v>
      </c>
      <c r="J687" s="9" t="s">
        <v>139</v>
      </c>
      <c r="K687" s="10">
        <v>37261.525266203702</v>
      </c>
    </row>
    <row r="688" spans="1:11" x14ac:dyDescent="0.25">
      <c r="A688" s="8">
        <v>1245</v>
      </c>
      <c r="B688" s="9" t="s">
        <v>8929</v>
      </c>
      <c r="C688" s="9" t="s">
        <v>1370</v>
      </c>
      <c r="D688" s="9" t="s">
        <v>139</v>
      </c>
      <c r="E688" s="9" t="s">
        <v>1371</v>
      </c>
      <c r="F688" s="9" t="s">
        <v>1372</v>
      </c>
      <c r="G688" s="9" t="s">
        <v>142</v>
      </c>
      <c r="H688" s="9" t="s">
        <v>139</v>
      </c>
      <c r="I688" s="9" t="s">
        <v>143</v>
      </c>
      <c r="J688" s="9" t="s">
        <v>139</v>
      </c>
      <c r="K688" s="10">
        <v>37261.526701388888</v>
      </c>
    </row>
    <row r="689" spans="1:11" x14ac:dyDescent="0.25">
      <c r="A689" s="8">
        <v>1246</v>
      </c>
      <c r="B689" s="9" t="s">
        <v>8930</v>
      </c>
      <c r="C689" s="9" t="s">
        <v>1373</v>
      </c>
      <c r="D689" s="9" t="s">
        <v>139</v>
      </c>
      <c r="E689" s="9" t="s">
        <v>260</v>
      </c>
      <c r="F689" s="9" t="s">
        <v>261</v>
      </c>
      <c r="G689" s="9" t="s">
        <v>142</v>
      </c>
      <c r="H689" s="9" t="s">
        <v>139</v>
      </c>
      <c r="I689" s="9" t="s">
        <v>143</v>
      </c>
      <c r="J689" s="9" t="s">
        <v>139</v>
      </c>
      <c r="K689" s="10">
        <v>37261.528101851851</v>
      </c>
    </row>
    <row r="690" spans="1:11" x14ac:dyDescent="0.25">
      <c r="A690" s="8">
        <v>1247</v>
      </c>
      <c r="B690" s="9" t="s">
        <v>8931</v>
      </c>
      <c r="C690" s="9" t="s">
        <v>1374</v>
      </c>
      <c r="D690" s="9" t="s">
        <v>139</v>
      </c>
      <c r="E690" s="9" t="s">
        <v>229</v>
      </c>
      <c r="F690" s="9" t="s">
        <v>141</v>
      </c>
      <c r="G690" s="9" t="s">
        <v>142</v>
      </c>
      <c r="H690" s="9" t="s">
        <v>258</v>
      </c>
      <c r="I690" s="9" t="s">
        <v>143</v>
      </c>
      <c r="J690" s="9" t="s">
        <v>139</v>
      </c>
      <c r="K690" s="10">
        <v>37261.529803240737</v>
      </c>
    </row>
    <row r="691" spans="1:11" x14ac:dyDescent="0.25">
      <c r="A691" s="8">
        <v>1248</v>
      </c>
      <c r="B691" s="9" t="s">
        <v>8932</v>
      </c>
      <c r="C691" s="9" t="s">
        <v>1375</v>
      </c>
      <c r="D691" s="9" t="s">
        <v>139</v>
      </c>
      <c r="E691" s="9" t="s">
        <v>1376</v>
      </c>
      <c r="F691" s="9" t="s">
        <v>1377</v>
      </c>
      <c r="G691" s="9" t="s">
        <v>142</v>
      </c>
      <c r="H691" s="9" t="s">
        <v>258</v>
      </c>
      <c r="I691" s="9" t="s">
        <v>143</v>
      </c>
      <c r="J691" s="9" t="s">
        <v>139</v>
      </c>
      <c r="K691" s="10">
        <v>37261.530891203707</v>
      </c>
    </row>
    <row r="692" spans="1:11" x14ac:dyDescent="0.25">
      <c r="A692" s="8">
        <v>1249</v>
      </c>
      <c r="B692" s="9" t="s">
        <v>8933</v>
      </c>
      <c r="C692" s="9" t="s">
        <v>1378</v>
      </c>
      <c r="D692" s="9" t="s">
        <v>139</v>
      </c>
      <c r="E692" s="9" t="s">
        <v>1371</v>
      </c>
      <c r="F692" s="9" t="s">
        <v>1379</v>
      </c>
      <c r="G692" s="9" t="s">
        <v>142</v>
      </c>
      <c r="H692" s="9" t="s">
        <v>321</v>
      </c>
      <c r="I692" s="9" t="s">
        <v>143</v>
      </c>
      <c r="J692" s="9" t="s">
        <v>139</v>
      </c>
      <c r="K692" s="10">
        <v>37261.532743055555</v>
      </c>
    </row>
    <row r="693" spans="1:11" x14ac:dyDescent="0.25">
      <c r="A693" s="8">
        <v>1250</v>
      </c>
      <c r="B693" s="9" t="s">
        <v>8934</v>
      </c>
      <c r="C693" s="9" t="s">
        <v>1380</v>
      </c>
      <c r="D693" s="9" t="s">
        <v>139</v>
      </c>
      <c r="E693" s="9" t="s">
        <v>328</v>
      </c>
      <c r="F693" s="9" t="s">
        <v>141</v>
      </c>
      <c r="G693" s="9" t="s">
        <v>142</v>
      </c>
      <c r="H693" s="9" t="s">
        <v>321</v>
      </c>
      <c r="I693" s="9" t="s">
        <v>143</v>
      </c>
      <c r="J693" s="9" t="s">
        <v>139</v>
      </c>
      <c r="K693" s="10">
        <v>37261.53833333333</v>
      </c>
    </row>
    <row r="694" spans="1:11" x14ac:dyDescent="0.25">
      <c r="A694" s="8">
        <v>1251</v>
      </c>
      <c r="B694" s="9" t="s">
        <v>8935</v>
      </c>
      <c r="C694" s="9" t="s">
        <v>1381</v>
      </c>
      <c r="D694" s="9" t="s">
        <v>139</v>
      </c>
      <c r="E694" s="9" t="s">
        <v>718</v>
      </c>
      <c r="F694" s="9" t="s">
        <v>1382</v>
      </c>
      <c r="G694" s="9" t="s">
        <v>142</v>
      </c>
      <c r="H694" s="9" t="s">
        <v>139</v>
      </c>
      <c r="I694" s="9" t="s">
        <v>143</v>
      </c>
      <c r="J694" s="9" t="s">
        <v>139</v>
      </c>
      <c r="K694" s="10">
        <v>37261.541400462964</v>
      </c>
    </row>
    <row r="695" spans="1:11" x14ac:dyDescent="0.25">
      <c r="A695" s="8">
        <v>1252</v>
      </c>
      <c r="B695" s="9" t="s">
        <v>8936</v>
      </c>
      <c r="C695" s="9" t="s">
        <v>1383</v>
      </c>
      <c r="D695" s="9" t="s">
        <v>139</v>
      </c>
      <c r="E695" s="9" t="s">
        <v>229</v>
      </c>
      <c r="F695" s="9" t="s">
        <v>141</v>
      </c>
      <c r="G695" s="9" t="s">
        <v>142</v>
      </c>
      <c r="H695" s="9" t="s">
        <v>241</v>
      </c>
      <c r="I695" s="9" t="s">
        <v>143</v>
      </c>
      <c r="J695" s="9" t="s">
        <v>139</v>
      </c>
      <c r="K695" s="10">
        <v>37261.543576388889</v>
      </c>
    </row>
    <row r="696" spans="1:11" x14ac:dyDescent="0.25">
      <c r="A696" s="8">
        <v>1253</v>
      </c>
      <c r="B696" s="9" t="s">
        <v>8937</v>
      </c>
      <c r="C696" s="9" t="s">
        <v>1362</v>
      </c>
      <c r="D696" s="9" t="s">
        <v>139</v>
      </c>
      <c r="E696" s="9" t="s">
        <v>229</v>
      </c>
      <c r="F696" s="9" t="s">
        <v>141</v>
      </c>
      <c r="G696" s="9" t="s">
        <v>142</v>
      </c>
      <c r="H696" s="9" t="s">
        <v>139</v>
      </c>
      <c r="I696" s="9" t="s">
        <v>143</v>
      </c>
      <c r="J696" s="9" t="s">
        <v>139</v>
      </c>
      <c r="K696" s="10">
        <v>37261.544722222221</v>
      </c>
    </row>
    <row r="697" spans="1:11" x14ac:dyDescent="0.25">
      <c r="A697" s="8">
        <v>1254</v>
      </c>
      <c r="B697" s="9" t="s">
        <v>8938</v>
      </c>
      <c r="C697" s="9" t="s">
        <v>1384</v>
      </c>
      <c r="D697" s="9" t="s">
        <v>139</v>
      </c>
      <c r="E697" s="9" t="s">
        <v>1385</v>
      </c>
      <c r="F697" s="9" t="s">
        <v>1386</v>
      </c>
      <c r="G697" s="9" t="s">
        <v>142</v>
      </c>
      <c r="H697" s="9" t="s">
        <v>139</v>
      </c>
      <c r="I697" s="9" t="s">
        <v>143</v>
      </c>
      <c r="J697" s="9" t="s">
        <v>139</v>
      </c>
      <c r="K697" s="10">
        <v>37261.54583333333</v>
      </c>
    </row>
    <row r="698" spans="1:11" x14ac:dyDescent="0.25">
      <c r="A698" s="8">
        <v>1255</v>
      </c>
      <c r="B698" s="9" t="s">
        <v>8939</v>
      </c>
      <c r="C698" s="9" t="s">
        <v>1387</v>
      </c>
      <c r="D698" s="9" t="s">
        <v>139</v>
      </c>
      <c r="E698" s="9" t="s">
        <v>229</v>
      </c>
      <c r="F698" s="9" t="s">
        <v>141</v>
      </c>
      <c r="G698" s="9" t="s">
        <v>142</v>
      </c>
      <c r="H698" s="9" t="s">
        <v>241</v>
      </c>
      <c r="I698" s="9" t="s">
        <v>143</v>
      </c>
      <c r="J698" s="9" t="s">
        <v>139</v>
      </c>
      <c r="K698" s="10">
        <v>37261.547569444447</v>
      </c>
    </row>
    <row r="699" spans="1:11" x14ac:dyDescent="0.25">
      <c r="A699" s="8">
        <v>1256</v>
      </c>
      <c r="B699" s="9" t="s">
        <v>8940</v>
      </c>
      <c r="C699" s="9" t="s">
        <v>1388</v>
      </c>
      <c r="D699" s="9" t="s">
        <v>139</v>
      </c>
      <c r="E699" s="9" t="s">
        <v>345</v>
      </c>
      <c r="F699" s="9" t="s">
        <v>346</v>
      </c>
      <c r="G699" s="9" t="s">
        <v>142</v>
      </c>
      <c r="H699" s="9" t="s">
        <v>139</v>
      </c>
      <c r="I699" s="9" t="s">
        <v>143</v>
      </c>
      <c r="J699" s="9" t="s">
        <v>139</v>
      </c>
      <c r="K699" s="10">
        <v>37261.549155092594</v>
      </c>
    </row>
    <row r="700" spans="1:11" x14ac:dyDescent="0.25">
      <c r="A700" s="8">
        <v>1257</v>
      </c>
      <c r="B700" s="9" t="s">
        <v>8941</v>
      </c>
      <c r="C700" s="9" t="s">
        <v>1389</v>
      </c>
      <c r="D700" s="9" t="s">
        <v>139</v>
      </c>
      <c r="E700" s="9" t="s">
        <v>180</v>
      </c>
      <c r="F700" s="9" t="s">
        <v>141</v>
      </c>
      <c r="G700" s="9" t="s">
        <v>142</v>
      </c>
      <c r="H700" s="9" t="s">
        <v>139</v>
      </c>
      <c r="I700" s="9" t="s">
        <v>143</v>
      </c>
      <c r="J700" s="9" t="s">
        <v>139</v>
      </c>
      <c r="K700" s="10">
        <v>37261.550451388888</v>
      </c>
    </row>
    <row r="701" spans="1:11" x14ac:dyDescent="0.25">
      <c r="A701" s="8">
        <v>1258</v>
      </c>
      <c r="B701" s="9" t="s">
        <v>8942</v>
      </c>
      <c r="C701" s="9" t="s">
        <v>1390</v>
      </c>
      <c r="D701" s="9" t="s">
        <v>139</v>
      </c>
      <c r="E701" s="9" t="s">
        <v>821</v>
      </c>
      <c r="F701" s="9" t="s">
        <v>822</v>
      </c>
      <c r="G701" s="9" t="s">
        <v>142</v>
      </c>
      <c r="H701" s="9" t="s">
        <v>258</v>
      </c>
      <c r="I701" s="9" t="s">
        <v>143</v>
      </c>
      <c r="J701" s="9" t="s">
        <v>139</v>
      </c>
      <c r="K701" s="10">
        <v>37261.552708333336</v>
      </c>
    </row>
    <row r="702" spans="1:11" x14ac:dyDescent="0.25">
      <c r="A702" s="8">
        <v>1259</v>
      </c>
      <c r="B702" s="9" t="s">
        <v>8943</v>
      </c>
      <c r="C702" s="9" t="s">
        <v>1391</v>
      </c>
      <c r="D702" s="9" t="s">
        <v>139</v>
      </c>
      <c r="E702" s="9" t="s">
        <v>1392</v>
      </c>
      <c r="F702" s="9" t="s">
        <v>1393</v>
      </c>
      <c r="G702" s="9" t="s">
        <v>142</v>
      </c>
      <c r="H702" s="9" t="s">
        <v>139</v>
      </c>
      <c r="I702" s="9" t="s">
        <v>143</v>
      </c>
      <c r="J702" s="9" t="s">
        <v>139</v>
      </c>
      <c r="K702" s="10">
        <v>37261.554444444446</v>
      </c>
    </row>
    <row r="703" spans="1:11" x14ac:dyDescent="0.25">
      <c r="A703" s="8">
        <v>1260</v>
      </c>
      <c r="B703" s="9" t="s">
        <v>8944</v>
      </c>
      <c r="C703" s="9" t="s">
        <v>1394</v>
      </c>
      <c r="D703" s="9" t="s">
        <v>139</v>
      </c>
      <c r="E703" s="9" t="s">
        <v>229</v>
      </c>
      <c r="F703" s="9" t="s">
        <v>141</v>
      </c>
      <c r="G703" s="9" t="s">
        <v>142</v>
      </c>
      <c r="H703" s="9" t="s">
        <v>321</v>
      </c>
      <c r="I703" s="9" t="s">
        <v>143</v>
      </c>
      <c r="J703" s="9" t="s">
        <v>139</v>
      </c>
      <c r="K703" s="10">
        <v>37261.557210648149</v>
      </c>
    </row>
    <row r="704" spans="1:11" x14ac:dyDescent="0.25">
      <c r="A704" s="8">
        <v>1261</v>
      </c>
      <c r="B704" s="9" t="s">
        <v>8945</v>
      </c>
      <c r="C704" s="9" t="s">
        <v>1395</v>
      </c>
      <c r="D704" s="9" t="s">
        <v>139</v>
      </c>
      <c r="E704" s="9" t="s">
        <v>1396</v>
      </c>
      <c r="F704" s="9" t="s">
        <v>1397</v>
      </c>
      <c r="G704" s="9" t="s">
        <v>142</v>
      </c>
      <c r="H704" s="9" t="s">
        <v>139</v>
      </c>
      <c r="I704" s="9" t="s">
        <v>143</v>
      </c>
      <c r="J704" s="9" t="s">
        <v>139</v>
      </c>
      <c r="K704" s="10">
        <v>37261.560104166667</v>
      </c>
    </row>
    <row r="705" spans="1:11" x14ac:dyDescent="0.25">
      <c r="A705" s="8">
        <v>1262</v>
      </c>
      <c r="B705" s="9" t="s">
        <v>8946</v>
      </c>
      <c r="C705" s="9" t="s">
        <v>1398</v>
      </c>
      <c r="D705" s="9" t="s">
        <v>139</v>
      </c>
      <c r="E705" s="9" t="s">
        <v>180</v>
      </c>
      <c r="F705" s="9" t="s">
        <v>141</v>
      </c>
      <c r="G705" s="9" t="s">
        <v>142</v>
      </c>
      <c r="H705" s="9" t="s">
        <v>139</v>
      </c>
      <c r="I705" s="9" t="s">
        <v>143</v>
      </c>
      <c r="J705" s="9" t="s">
        <v>139</v>
      </c>
      <c r="K705" s="10">
        <v>37261.719976851855</v>
      </c>
    </row>
    <row r="706" spans="1:11" x14ac:dyDescent="0.25">
      <c r="A706" s="8">
        <v>1263</v>
      </c>
      <c r="B706" s="9" t="s">
        <v>5414</v>
      </c>
      <c r="C706" s="9" t="s">
        <v>1399</v>
      </c>
      <c r="D706" s="9" t="s">
        <v>139</v>
      </c>
      <c r="E706" s="9" t="s">
        <v>1400</v>
      </c>
      <c r="F706" s="9" t="s">
        <v>1401</v>
      </c>
      <c r="G706" s="9" t="s">
        <v>1402</v>
      </c>
      <c r="H706" s="9" t="s">
        <v>139</v>
      </c>
      <c r="I706" s="9" t="s">
        <v>411</v>
      </c>
      <c r="J706" s="9" t="s">
        <v>139</v>
      </c>
      <c r="K706" s="10">
        <v>37267.611597222225</v>
      </c>
    </row>
    <row r="707" spans="1:11" x14ac:dyDescent="0.25">
      <c r="A707" s="8">
        <v>1264</v>
      </c>
      <c r="B707" s="9" t="s">
        <v>5415</v>
      </c>
      <c r="C707" s="9" t="s">
        <v>1403</v>
      </c>
      <c r="D707" s="9" t="s">
        <v>139</v>
      </c>
      <c r="E707" s="9" t="s">
        <v>1404</v>
      </c>
      <c r="F707" s="9" t="s">
        <v>1405</v>
      </c>
      <c r="G707" s="9" t="s">
        <v>142</v>
      </c>
      <c r="H707" s="9" t="s">
        <v>139</v>
      </c>
      <c r="I707" s="9" t="s">
        <v>411</v>
      </c>
      <c r="J707" s="9" t="s">
        <v>139</v>
      </c>
      <c r="K707" s="10">
        <v>37267.706064814818</v>
      </c>
    </row>
    <row r="708" spans="1:11" x14ac:dyDescent="0.25">
      <c r="A708" s="8">
        <v>1266</v>
      </c>
      <c r="B708" s="9" t="s">
        <v>5416</v>
      </c>
      <c r="C708" s="9" t="s">
        <v>1406</v>
      </c>
      <c r="D708" s="9" t="s">
        <v>139</v>
      </c>
      <c r="E708" s="9" t="s">
        <v>1407</v>
      </c>
      <c r="F708" s="9" t="s">
        <v>1408</v>
      </c>
      <c r="G708" s="9" t="s">
        <v>1409</v>
      </c>
      <c r="H708" s="9" t="s">
        <v>241</v>
      </c>
      <c r="I708" s="9" t="s">
        <v>411</v>
      </c>
      <c r="J708" s="9" t="s">
        <v>139</v>
      </c>
      <c r="K708" s="10">
        <v>37269.542696759258</v>
      </c>
    </row>
    <row r="709" spans="1:11" x14ac:dyDescent="0.25">
      <c r="A709" s="8">
        <v>1267</v>
      </c>
      <c r="B709" s="9" t="s">
        <v>5417</v>
      </c>
      <c r="C709" s="9" t="s">
        <v>1410</v>
      </c>
      <c r="D709" s="9" t="s">
        <v>139</v>
      </c>
      <c r="E709" s="9" t="s">
        <v>1411</v>
      </c>
      <c r="F709" s="9" t="s">
        <v>1412</v>
      </c>
      <c r="G709" s="9" t="s">
        <v>873</v>
      </c>
      <c r="H709" s="9" t="s">
        <v>139</v>
      </c>
      <c r="I709" s="9" t="s">
        <v>411</v>
      </c>
      <c r="J709" s="9" t="s">
        <v>139</v>
      </c>
      <c r="K709" s="10">
        <v>37269.648645833331</v>
      </c>
    </row>
    <row r="710" spans="1:11" x14ac:dyDescent="0.25">
      <c r="A710" s="8">
        <v>1270</v>
      </c>
      <c r="B710" s="9" t="s">
        <v>5418</v>
      </c>
      <c r="C710" s="9" t="s">
        <v>1413</v>
      </c>
      <c r="D710" s="9" t="s">
        <v>139</v>
      </c>
      <c r="E710" s="9" t="s">
        <v>1414</v>
      </c>
      <c r="F710" s="9" t="s">
        <v>1415</v>
      </c>
      <c r="G710" s="9" t="s">
        <v>142</v>
      </c>
      <c r="H710" s="9" t="s">
        <v>139</v>
      </c>
      <c r="I710" s="9" t="s">
        <v>411</v>
      </c>
      <c r="J710" s="9" t="s">
        <v>1416</v>
      </c>
      <c r="K710" s="10">
        <v>37269.776458333334</v>
      </c>
    </row>
    <row r="711" spans="1:11" x14ac:dyDescent="0.25">
      <c r="A711" s="8">
        <v>1271</v>
      </c>
      <c r="B711" s="9" t="s">
        <v>5419</v>
      </c>
      <c r="C711" s="9" t="s">
        <v>1417</v>
      </c>
      <c r="D711" s="9" t="s">
        <v>139</v>
      </c>
      <c r="E711" s="9" t="s">
        <v>1418</v>
      </c>
      <c r="F711" s="9" t="s">
        <v>1419</v>
      </c>
      <c r="G711" s="9" t="s">
        <v>142</v>
      </c>
      <c r="H711" s="9" t="s">
        <v>166</v>
      </c>
      <c r="I711" s="9" t="s">
        <v>411</v>
      </c>
      <c r="J711" s="9" t="s">
        <v>139</v>
      </c>
      <c r="K711" s="10">
        <v>37270.546944444446</v>
      </c>
    </row>
    <row r="712" spans="1:11" x14ac:dyDescent="0.25">
      <c r="A712" s="8">
        <v>1272</v>
      </c>
      <c r="B712" s="9" t="s">
        <v>5420</v>
      </c>
      <c r="C712" s="9" t="s">
        <v>1420</v>
      </c>
      <c r="D712" s="9" t="s">
        <v>1421</v>
      </c>
      <c r="E712" s="9" t="s">
        <v>1422</v>
      </c>
      <c r="F712" s="9" t="s">
        <v>1423</v>
      </c>
      <c r="G712" s="9" t="s">
        <v>142</v>
      </c>
      <c r="H712" s="9" t="s">
        <v>139</v>
      </c>
      <c r="I712" s="9" t="s">
        <v>411</v>
      </c>
      <c r="J712" s="9" t="s">
        <v>139</v>
      </c>
      <c r="K712" s="10">
        <v>37270.775949074072</v>
      </c>
    </row>
    <row r="713" spans="1:11" x14ac:dyDescent="0.25">
      <c r="A713" s="8">
        <v>1273</v>
      </c>
      <c r="B713" s="9" t="s">
        <v>8947</v>
      </c>
      <c r="C713" s="9" t="s">
        <v>1424</v>
      </c>
      <c r="D713" s="9" t="s">
        <v>139</v>
      </c>
      <c r="E713" s="9" t="s">
        <v>191</v>
      </c>
      <c r="F713" s="9" t="s">
        <v>141</v>
      </c>
      <c r="G713" s="9" t="s">
        <v>142</v>
      </c>
      <c r="H713" s="9" t="s">
        <v>139</v>
      </c>
      <c r="I713" s="9" t="s">
        <v>143</v>
      </c>
      <c r="J713" s="9" t="s">
        <v>139</v>
      </c>
      <c r="K713" s="10">
        <v>37280.56046296296</v>
      </c>
    </row>
    <row r="714" spans="1:11" x14ac:dyDescent="0.25">
      <c r="A714" s="8">
        <v>1275</v>
      </c>
      <c r="B714" s="9" t="s">
        <v>5421</v>
      </c>
      <c r="C714" s="9" t="s">
        <v>1425</v>
      </c>
      <c r="D714" s="9" t="s">
        <v>139</v>
      </c>
      <c r="E714" s="9" t="s">
        <v>1426</v>
      </c>
      <c r="F714" s="9" t="s">
        <v>1427</v>
      </c>
      <c r="G714" s="9" t="s">
        <v>142</v>
      </c>
      <c r="H714" s="9" t="s">
        <v>139</v>
      </c>
      <c r="I714" s="9" t="s">
        <v>411</v>
      </c>
      <c r="J714" s="9" t="s">
        <v>139</v>
      </c>
      <c r="K714" s="10">
        <v>37280.730162037034</v>
      </c>
    </row>
    <row r="715" spans="1:11" x14ac:dyDescent="0.25">
      <c r="A715" s="8">
        <v>1277</v>
      </c>
      <c r="B715" s="9" t="s">
        <v>5422</v>
      </c>
      <c r="C715" s="9" t="s">
        <v>1428</v>
      </c>
      <c r="D715" s="9" t="s">
        <v>139</v>
      </c>
      <c r="E715" s="9" t="s">
        <v>1429</v>
      </c>
      <c r="F715" s="9" t="s">
        <v>1430</v>
      </c>
      <c r="G715" s="9" t="s">
        <v>142</v>
      </c>
      <c r="H715" s="9" t="s">
        <v>139</v>
      </c>
      <c r="I715" s="9" t="s">
        <v>411</v>
      </c>
      <c r="J715" s="9" t="s">
        <v>1431</v>
      </c>
      <c r="K715" s="10">
        <v>37280.737222222226</v>
      </c>
    </row>
    <row r="716" spans="1:11" x14ac:dyDescent="0.25">
      <c r="A716" s="8">
        <v>1278</v>
      </c>
      <c r="B716" s="9" t="s">
        <v>5423</v>
      </c>
      <c r="C716" s="9" t="s">
        <v>1432</v>
      </c>
      <c r="D716" s="9" t="s">
        <v>1433</v>
      </c>
      <c r="E716" s="9" t="s">
        <v>1434</v>
      </c>
      <c r="F716" s="9" t="s">
        <v>1435</v>
      </c>
      <c r="G716" s="9" t="s">
        <v>142</v>
      </c>
      <c r="H716" s="9" t="s">
        <v>166</v>
      </c>
      <c r="I716" s="9" t="s">
        <v>411</v>
      </c>
      <c r="J716" s="9" t="s">
        <v>139</v>
      </c>
      <c r="K716" s="10">
        <v>37280.741030092591</v>
      </c>
    </row>
    <row r="717" spans="1:11" x14ac:dyDescent="0.25">
      <c r="A717" s="8">
        <v>1280</v>
      </c>
      <c r="B717" s="9" t="s">
        <v>5424</v>
      </c>
      <c r="C717" s="9" t="s">
        <v>1436</v>
      </c>
      <c r="D717" s="9" t="s">
        <v>139</v>
      </c>
      <c r="E717" s="9" t="s">
        <v>596</v>
      </c>
      <c r="F717" s="9" t="s">
        <v>597</v>
      </c>
      <c r="G717" s="9" t="s">
        <v>142</v>
      </c>
      <c r="H717" s="9" t="s">
        <v>166</v>
      </c>
      <c r="I717" s="9" t="s">
        <v>411</v>
      </c>
      <c r="J717" s="9" t="s">
        <v>139</v>
      </c>
      <c r="K717" s="10">
        <v>37280.747106481482</v>
      </c>
    </row>
    <row r="718" spans="1:11" x14ac:dyDescent="0.25">
      <c r="A718" s="8">
        <v>1284</v>
      </c>
      <c r="B718" s="9" t="s">
        <v>5425</v>
      </c>
      <c r="C718" s="9" t="s">
        <v>1437</v>
      </c>
      <c r="D718" s="9" t="s">
        <v>139</v>
      </c>
      <c r="E718" s="9" t="s">
        <v>1438</v>
      </c>
      <c r="F718" s="9" t="s">
        <v>1439</v>
      </c>
      <c r="G718" s="9" t="s">
        <v>142</v>
      </c>
      <c r="H718" s="9" t="s">
        <v>241</v>
      </c>
      <c r="I718" s="9" t="s">
        <v>411</v>
      </c>
      <c r="J718" s="9" t="s">
        <v>139</v>
      </c>
      <c r="K718" s="10">
        <v>37280.762430555558</v>
      </c>
    </row>
    <row r="719" spans="1:11" x14ac:dyDescent="0.25">
      <c r="A719" s="8">
        <v>1286</v>
      </c>
      <c r="B719" s="9" t="s">
        <v>5426</v>
      </c>
      <c r="C719" s="9" t="s">
        <v>1440</v>
      </c>
      <c r="D719" s="9" t="s">
        <v>139</v>
      </c>
      <c r="E719" s="9" t="s">
        <v>948</v>
      </c>
      <c r="F719" s="9" t="s">
        <v>949</v>
      </c>
      <c r="G719" s="9" t="s">
        <v>142</v>
      </c>
      <c r="H719" s="9" t="s">
        <v>139</v>
      </c>
      <c r="I719" s="9" t="s">
        <v>411</v>
      </c>
      <c r="J719" s="9" t="s">
        <v>139</v>
      </c>
      <c r="K719" s="10">
        <v>37281.684236111112</v>
      </c>
    </row>
    <row r="720" spans="1:11" x14ac:dyDescent="0.25">
      <c r="A720" s="8">
        <v>1287</v>
      </c>
      <c r="B720" s="9" t="s">
        <v>8948</v>
      </c>
      <c r="C720" s="9" t="s">
        <v>1441</v>
      </c>
      <c r="D720" s="9" t="s">
        <v>139</v>
      </c>
      <c r="E720" s="9" t="s">
        <v>274</v>
      </c>
      <c r="F720" s="9" t="s">
        <v>1442</v>
      </c>
      <c r="G720" s="9" t="s">
        <v>142</v>
      </c>
      <c r="H720" s="9" t="s">
        <v>258</v>
      </c>
      <c r="I720" s="9" t="s">
        <v>143</v>
      </c>
      <c r="J720" s="9" t="s">
        <v>139</v>
      </c>
      <c r="K720" s="10">
        <v>37282.478136574071</v>
      </c>
    </row>
    <row r="721" spans="1:11" x14ac:dyDescent="0.25">
      <c r="A721" s="8">
        <v>1288</v>
      </c>
      <c r="B721" s="9" t="s">
        <v>8949</v>
      </c>
      <c r="C721" s="9" t="s">
        <v>1443</v>
      </c>
      <c r="D721" s="9" t="s">
        <v>139</v>
      </c>
      <c r="E721" s="9" t="s">
        <v>328</v>
      </c>
      <c r="F721" s="9" t="s">
        <v>141</v>
      </c>
      <c r="G721" s="9" t="s">
        <v>142</v>
      </c>
      <c r="H721" s="9" t="s">
        <v>139</v>
      </c>
      <c r="I721" s="9" t="s">
        <v>143</v>
      </c>
      <c r="J721" s="9" t="s">
        <v>139</v>
      </c>
      <c r="K721" s="10">
        <v>37282.479629629626</v>
      </c>
    </row>
    <row r="722" spans="1:11" x14ac:dyDescent="0.25">
      <c r="A722" s="8">
        <v>1289</v>
      </c>
      <c r="B722" s="9" t="s">
        <v>8950</v>
      </c>
      <c r="C722" s="9" t="s">
        <v>1444</v>
      </c>
      <c r="D722" s="9" t="s">
        <v>139</v>
      </c>
      <c r="E722" s="9" t="s">
        <v>328</v>
      </c>
      <c r="F722" s="9" t="s">
        <v>141</v>
      </c>
      <c r="G722" s="9" t="s">
        <v>142</v>
      </c>
      <c r="H722" s="9" t="s">
        <v>139</v>
      </c>
      <c r="I722" s="9" t="s">
        <v>143</v>
      </c>
      <c r="J722" s="9" t="s">
        <v>139</v>
      </c>
      <c r="K722" s="10">
        <v>37282.480740740742</v>
      </c>
    </row>
    <row r="723" spans="1:11" x14ac:dyDescent="0.25">
      <c r="A723" s="8">
        <v>1290</v>
      </c>
      <c r="B723" s="9" t="s">
        <v>8951</v>
      </c>
      <c r="C723" s="9" t="s">
        <v>1445</v>
      </c>
      <c r="D723" s="9" t="s">
        <v>139</v>
      </c>
      <c r="E723" s="9" t="s">
        <v>229</v>
      </c>
      <c r="F723" s="9" t="s">
        <v>141</v>
      </c>
      <c r="G723" s="9" t="s">
        <v>142</v>
      </c>
      <c r="H723" s="9" t="s">
        <v>139</v>
      </c>
      <c r="I723" s="9" t="s">
        <v>143</v>
      </c>
      <c r="J723" s="9" t="s">
        <v>139</v>
      </c>
      <c r="K723" s="10">
        <v>37282.481666666667</v>
      </c>
    </row>
    <row r="724" spans="1:11" x14ac:dyDescent="0.25">
      <c r="A724" s="8">
        <v>1291</v>
      </c>
      <c r="B724" s="9" t="s">
        <v>8952</v>
      </c>
      <c r="C724" s="9" t="s">
        <v>1446</v>
      </c>
      <c r="D724" s="9" t="s">
        <v>139</v>
      </c>
      <c r="E724" s="9" t="s">
        <v>769</v>
      </c>
      <c r="F724" s="9" t="s">
        <v>141</v>
      </c>
      <c r="G724" s="9" t="s">
        <v>142</v>
      </c>
      <c r="H724" s="9" t="s">
        <v>258</v>
      </c>
      <c r="I724" s="9" t="s">
        <v>143</v>
      </c>
      <c r="J724" s="9" t="s">
        <v>139</v>
      </c>
      <c r="K724" s="10">
        <v>37282.73333333333</v>
      </c>
    </row>
    <row r="725" spans="1:11" x14ac:dyDescent="0.25">
      <c r="A725" s="8">
        <v>1293</v>
      </c>
      <c r="B725" s="9" t="s">
        <v>8953</v>
      </c>
      <c r="C725" s="9" t="s">
        <v>1447</v>
      </c>
      <c r="D725" s="9" t="s">
        <v>139</v>
      </c>
      <c r="E725" s="9" t="s">
        <v>1448</v>
      </c>
      <c r="F725" s="9" t="s">
        <v>1449</v>
      </c>
      <c r="G725" s="9" t="s">
        <v>142</v>
      </c>
      <c r="H725" s="9" t="s">
        <v>139</v>
      </c>
      <c r="I725" s="9" t="s">
        <v>143</v>
      </c>
      <c r="J725" s="9" t="s">
        <v>139</v>
      </c>
      <c r="K725" s="10">
        <v>37287.573113425926</v>
      </c>
    </row>
    <row r="726" spans="1:11" x14ac:dyDescent="0.25">
      <c r="A726" s="8">
        <v>1297</v>
      </c>
      <c r="B726" s="9" t="s">
        <v>8954</v>
      </c>
      <c r="C726" s="9" t="s">
        <v>1450</v>
      </c>
      <c r="D726" s="9" t="s">
        <v>139</v>
      </c>
      <c r="E726" s="9" t="s">
        <v>229</v>
      </c>
      <c r="F726" s="9" t="s">
        <v>141</v>
      </c>
      <c r="G726" s="9" t="s">
        <v>142</v>
      </c>
      <c r="H726" s="9" t="s">
        <v>139</v>
      </c>
      <c r="I726" s="9" t="s">
        <v>143</v>
      </c>
      <c r="J726" s="9" t="s">
        <v>139</v>
      </c>
      <c r="K726" s="10">
        <v>37289.483391203707</v>
      </c>
    </row>
    <row r="727" spans="1:11" x14ac:dyDescent="0.25">
      <c r="A727" s="8">
        <v>1299</v>
      </c>
      <c r="B727" s="9" t="s">
        <v>8955</v>
      </c>
      <c r="C727" s="9" t="s">
        <v>1451</v>
      </c>
      <c r="D727" s="9" t="s">
        <v>139</v>
      </c>
      <c r="E727" s="9" t="s">
        <v>229</v>
      </c>
      <c r="F727" s="9" t="s">
        <v>141</v>
      </c>
      <c r="G727" s="9" t="s">
        <v>142</v>
      </c>
      <c r="H727" s="9" t="s">
        <v>139</v>
      </c>
      <c r="I727" s="9" t="s">
        <v>143</v>
      </c>
      <c r="J727" s="9" t="s">
        <v>139</v>
      </c>
      <c r="K727" s="10">
        <v>37289.707384259258</v>
      </c>
    </row>
    <row r="728" spans="1:11" x14ac:dyDescent="0.25">
      <c r="A728" s="8">
        <v>1301</v>
      </c>
      <c r="B728" s="9" t="s">
        <v>8956</v>
      </c>
      <c r="C728" s="9" t="s">
        <v>1452</v>
      </c>
      <c r="D728" s="9" t="s">
        <v>139</v>
      </c>
      <c r="E728" s="9">
        <v>92000</v>
      </c>
      <c r="F728" s="9" t="s">
        <v>8391</v>
      </c>
      <c r="G728" s="9" t="s">
        <v>142</v>
      </c>
      <c r="H728" s="9" t="s">
        <v>139</v>
      </c>
      <c r="I728" s="9" t="s">
        <v>143</v>
      </c>
      <c r="J728" s="9" t="s">
        <v>139</v>
      </c>
      <c r="K728" s="10">
        <v>37293.48810185185</v>
      </c>
    </row>
    <row r="729" spans="1:11" x14ac:dyDescent="0.25">
      <c r="A729" s="8">
        <v>1302</v>
      </c>
      <c r="B729" s="9" t="s">
        <v>8957</v>
      </c>
      <c r="C729" s="9" t="s">
        <v>1453</v>
      </c>
      <c r="D729" s="9" t="s">
        <v>139</v>
      </c>
      <c r="E729" s="9" t="s">
        <v>229</v>
      </c>
      <c r="F729" s="9" t="s">
        <v>141</v>
      </c>
      <c r="G729" s="9" t="s">
        <v>142</v>
      </c>
      <c r="H729" s="9" t="s">
        <v>258</v>
      </c>
      <c r="I729" s="9" t="s">
        <v>143</v>
      </c>
      <c r="J729" s="9" t="s">
        <v>139</v>
      </c>
      <c r="K729" s="10">
        <v>37293.499398148146</v>
      </c>
    </row>
    <row r="730" spans="1:11" x14ac:dyDescent="0.25">
      <c r="A730" s="8">
        <v>1303</v>
      </c>
      <c r="B730" s="9" t="s">
        <v>5427</v>
      </c>
      <c r="C730" s="9" t="s">
        <v>1454</v>
      </c>
      <c r="D730" s="9" t="s">
        <v>139</v>
      </c>
      <c r="E730" s="9" t="s">
        <v>1455</v>
      </c>
      <c r="F730" s="9" t="s">
        <v>1456</v>
      </c>
      <c r="G730" s="9" t="s">
        <v>142</v>
      </c>
      <c r="H730" s="9" t="s">
        <v>139</v>
      </c>
      <c r="I730" s="9" t="s">
        <v>411</v>
      </c>
      <c r="J730" s="9" t="s">
        <v>1457</v>
      </c>
      <c r="K730" s="10">
        <v>37293.533703703702</v>
      </c>
    </row>
    <row r="731" spans="1:11" x14ac:dyDescent="0.25">
      <c r="A731" s="8">
        <v>1304</v>
      </c>
      <c r="B731" s="9" t="s">
        <v>5428</v>
      </c>
      <c r="C731" s="9" t="s">
        <v>1458</v>
      </c>
      <c r="D731" s="9" t="s">
        <v>139</v>
      </c>
      <c r="E731" s="9" t="s">
        <v>1459</v>
      </c>
      <c r="F731" s="9" t="s">
        <v>1460</v>
      </c>
      <c r="G731" s="9" t="s">
        <v>142</v>
      </c>
      <c r="H731" s="9" t="s">
        <v>166</v>
      </c>
      <c r="I731" s="9" t="s">
        <v>411</v>
      </c>
      <c r="J731" s="9" t="s">
        <v>139</v>
      </c>
      <c r="K731" s="10">
        <v>37293.540162037039</v>
      </c>
    </row>
    <row r="732" spans="1:11" x14ac:dyDescent="0.25">
      <c r="A732" s="8">
        <v>1307</v>
      </c>
      <c r="B732" s="9" t="s">
        <v>8958</v>
      </c>
      <c r="C732" s="9" t="s">
        <v>1461</v>
      </c>
      <c r="D732" s="9" t="s">
        <v>1462</v>
      </c>
      <c r="E732" s="9" t="s">
        <v>229</v>
      </c>
      <c r="F732" s="9" t="s">
        <v>141</v>
      </c>
      <c r="G732" s="9" t="s">
        <v>142</v>
      </c>
      <c r="H732" s="9" t="s">
        <v>139</v>
      </c>
      <c r="I732" s="9" t="s">
        <v>143</v>
      </c>
      <c r="J732" s="9" t="s">
        <v>139</v>
      </c>
      <c r="K732" s="10">
        <v>37294.565729166665</v>
      </c>
    </row>
    <row r="733" spans="1:11" x14ac:dyDescent="0.25">
      <c r="A733" s="8">
        <v>1308</v>
      </c>
      <c r="B733" s="9" t="s">
        <v>5429</v>
      </c>
      <c r="C733" s="9" t="s">
        <v>1463</v>
      </c>
      <c r="D733" s="9" t="s">
        <v>139</v>
      </c>
      <c r="E733" s="9" t="s">
        <v>1464</v>
      </c>
      <c r="F733" s="9" t="s">
        <v>1465</v>
      </c>
      <c r="G733" s="9" t="s">
        <v>142</v>
      </c>
      <c r="H733" s="9" t="s">
        <v>139</v>
      </c>
      <c r="I733" s="9" t="s">
        <v>411</v>
      </c>
      <c r="J733" s="9" t="s">
        <v>139</v>
      </c>
      <c r="K733" s="10">
        <v>37294.630624999998</v>
      </c>
    </row>
    <row r="734" spans="1:11" x14ac:dyDescent="0.25">
      <c r="A734" s="8">
        <v>1309</v>
      </c>
      <c r="B734" s="9" t="s">
        <v>8959</v>
      </c>
      <c r="C734" s="9" t="s">
        <v>1466</v>
      </c>
      <c r="D734" s="9" t="s">
        <v>1467</v>
      </c>
      <c r="E734" s="9" t="s">
        <v>1468</v>
      </c>
      <c r="F734" s="9" t="s">
        <v>1469</v>
      </c>
      <c r="G734" s="9" t="s">
        <v>142</v>
      </c>
      <c r="H734" s="9" t="s">
        <v>139</v>
      </c>
      <c r="I734" s="9" t="s">
        <v>143</v>
      </c>
      <c r="J734" s="9" t="s">
        <v>139</v>
      </c>
      <c r="K734" s="10">
        <v>37295.770057870373</v>
      </c>
    </row>
    <row r="735" spans="1:11" x14ac:dyDescent="0.25">
      <c r="A735" s="8">
        <v>1310</v>
      </c>
      <c r="B735" s="9" t="s">
        <v>5430</v>
      </c>
      <c r="C735" s="9" t="s">
        <v>1470</v>
      </c>
      <c r="D735" s="9" t="s">
        <v>1471</v>
      </c>
      <c r="E735" s="9" t="s">
        <v>1472</v>
      </c>
      <c r="F735" s="9" t="s">
        <v>1473</v>
      </c>
      <c r="G735" s="9" t="s">
        <v>142</v>
      </c>
      <c r="H735" s="9" t="s">
        <v>139</v>
      </c>
      <c r="I735" s="9" t="s">
        <v>411</v>
      </c>
      <c r="J735" s="9" t="s">
        <v>139</v>
      </c>
      <c r="K735" s="10">
        <v>37300.737627314818</v>
      </c>
    </row>
    <row r="736" spans="1:11" x14ac:dyDescent="0.25">
      <c r="A736" s="8">
        <v>1312</v>
      </c>
      <c r="B736" s="9" t="s">
        <v>8960</v>
      </c>
      <c r="C736" s="9" t="s">
        <v>1474</v>
      </c>
      <c r="D736" s="9" t="s">
        <v>139</v>
      </c>
      <c r="E736" s="9" t="s">
        <v>229</v>
      </c>
      <c r="F736" s="9" t="s">
        <v>141</v>
      </c>
      <c r="G736" s="9" t="s">
        <v>142</v>
      </c>
      <c r="H736" s="9" t="s">
        <v>139</v>
      </c>
      <c r="I736" s="9" t="s">
        <v>143</v>
      </c>
      <c r="J736" s="9" t="s">
        <v>139</v>
      </c>
      <c r="K736" s="10">
        <v>37302.468981481485</v>
      </c>
    </row>
    <row r="737" spans="1:11" x14ac:dyDescent="0.25">
      <c r="A737" s="8">
        <v>1313</v>
      </c>
      <c r="B737" s="9" t="s">
        <v>8961</v>
      </c>
      <c r="C737" s="9" t="s">
        <v>1475</v>
      </c>
      <c r="D737" s="9" t="s">
        <v>139</v>
      </c>
      <c r="E737" s="9" t="s">
        <v>1476</v>
      </c>
      <c r="F737" s="9" t="s">
        <v>1477</v>
      </c>
      <c r="G737" s="9" t="s">
        <v>142</v>
      </c>
      <c r="H737" s="9" t="s">
        <v>139</v>
      </c>
      <c r="I737" s="9" t="s">
        <v>143</v>
      </c>
      <c r="J737" s="9" t="s">
        <v>139</v>
      </c>
      <c r="K737" s="10">
        <v>37302.469814814816</v>
      </c>
    </row>
    <row r="738" spans="1:11" x14ac:dyDescent="0.25">
      <c r="A738" s="8">
        <v>1314</v>
      </c>
      <c r="B738" s="9" t="s">
        <v>8962</v>
      </c>
      <c r="C738" s="9" t="s">
        <v>1478</v>
      </c>
      <c r="D738" s="9" t="s">
        <v>139</v>
      </c>
      <c r="E738" s="9" t="s">
        <v>229</v>
      </c>
      <c r="F738" s="9" t="s">
        <v>141</v>
      </c>
      <c r="G738" s="9" t="s">
        <v>142</v>
      </c>
      <c r="H738" s="9" t="s">
        <v>258</v>
      </c>
      <c r="I738" s="9" t="s">
        <v>143</v>
      </c>
      <c r="J738" s="9" t="s">
        <v>139</v>
      </c>
      <c r="K738" s="10">
        <v>37302.470925925925</v>
      </c>
    </row>
    <row r="739" spans="1:11" x14ac:dyDescent="0.25">
      <c r="A739" s="8">
        <v>1315</v>
      </c>
      <c r="B739" s="9" t="s">
        <v>8963</v>
      </c>
      <c r="C739" s="9" t="s">
        <v>1479</v>
      </c>
      <c r="D739" s="9" t="s">
        <v>139</v>
      </c>
      <c r="E739" s="9" t="s">
        <v>1480</v>
      </c>
      <c r="F739" s="9" t="s">
        <v>1481</v>
      </c>
      <c r="G739" s="9" t="s">
        <v>142</v>
      </c>
      <c r="H739" s="9" t="s">
        <v>241</v>
      </c>
      <c r="I739" s="9" t="s">
        <v>143</v>
      </c>
      <c r="J739" s="9" t="s">
        <v>139</v>
      </c>
      <c r="K739" s="10">
        <v>37302.734872685185</v>
      </c>
    </row>
    <row r="740" spans="1:11" x14ac:dyDescent="0.25">
      <c r="A740" s="8">
        <v>1316</v>
      </c>
      <c r="B740" s="9" t="s">
        <v>8964</v>
      </c>
      <c r="C740" s="9" t="s">
        <v>1482</v>
      </c>
      <c r="D740" s="9" t="s">
        <v>139</v>
      </c>
      <c r="E740" s="9" t="s">
        <v>229</v>
      </c>
      <c r="F740" s="9" t="s">
        <v>141</v>
      </c>
      <c r="G740" s="9" t="s">
        <v>142</v>
      </c>
      <c r="H740" s="9" t="s">
        <v>139</v>
      </c>
      <c r="I740" s="9" t="s">
        <v>143</v>
      </c>
      <c r="J740" s="9" t="s">
        <v>139</v>
      </c>
      <c r="K740" s="10">
        <v>37303.784259259257</v>
      </c>
    </row>
    <row r="741" spans="1:11" x14ac:dyDescent="0.25">
      <c r="A741" s="8">
        <v>1317</v>
      </c>
      <c r="B741" s="9" t="s">
        <v>8965</v>
      </c>
      <c r="C741" s="9" t="s">
        <v>1483</v>
      </c>
      <c r="D741" s="9" t="s">
        <v>139</v>
      </c>
      <c r="E741" s="9" t="s">
        <v>229</v>
      </c>
      <c r="F741" s="9" t="s">
        <v>141</v>
      </c>
      <c r="G741" s="9" t="s">
        <v>142</v>
      </c>
      <c r="H741" s="9" t="s">
        <v>139</v>
      </c>
      <c r="I741" s="9" t="s">
        <v>143</v>
      </c>
      <c r="J741" s="9" t="s">
        <v>139</v>
      </c>
      <c r="K741" s="10">
        <v>37303.816307870373</v>
      </c>
    </row>
    <row r="742" spans="1:11" x14ac:dyDescent="0.25">
      <c r="A742" s="8">
        <v>1320</v>
      </c>
      <c r="B742" s="9" t="s">
        <v>8966</v>
      </c>
      <c r="C742" s="9" t="s">
        <v>1484</v>
      </c>
      <c r="D742" s="9" t="s">
        <v>139</v>
      </c>
      <c r="E742" s="9" t="s">
        <v>229</v>
      </c>
      <c r="F742" s="9" t="s">
        <v>141</v>
      </c>
      <c r="G742" s="9" t="s">
        <v>142</v>
      </c>
      <c r="H742" s="9" t="s">
        <v>139</v>
      </c>
      <c r="I742" s="9" t="s">
        <v>143</v>
      </c>
      <c r="J742" s="9" t="s">
        <v>139</v>
      </c>
      <c r="K742" s="10">
        <v>37308.831388888888</v>
      </c>
    </row>
    <row r="743" spans="1:11" x14ac:dyDescent="0.25">
      <c r="A743" s="8">
        <v>1321</v>
      </c>
      <c r="B743" s="9" t="s">
        <v>8967</v>
      </c>
      <c r="C743" s="9" t="s">
        <v>1485</v>
      </c>
      <c r="D743" s="9" t="s">
        <v>139</v>
      </c>
      <c r="E743" s="9" t="s">
        <v>306</v>
      </c>
      <c r="F743" s="9" t="s">
        <v>141</v>
      </c>
      <c r="G743" s="9" t="s">
        <v>142</v>
      </c>
      <c r="H743" s="9" t="s">
        <v>166</v>
      </c>
      <c r="I743" s="9" t="s">
        <v>143</v>
      </c>
      <c r="J743" s="9" t="s">
        <v>139</v>
      </c>
      <c r="K743" s="10">
        <v>37309.727870370371</v>
      </c>
    </row>
    <row r="744" spans="1:11" x14ac:dyDescent="0.25">
      <c r="A744" s="8">
        <v>1322</v>
      </c>
      <c r="B744" s="9" t="s">
        <v>5431</v>
      </c>
      <c r="C744" s="9" t="s">
        <v>1486</v>
      </c>
      <c r="D744" s="9" t="s">
        <v>139</v>
      </c>
      <c r="E744" s="9" t="s">
        <v>1487</v>
      </c>
      <c r="F744" s="9" t="s">
        <v>1488</v>
      </c>
      <c r="G744" s="9" t="s">
        <v>1409</v>
      </c>
      <c r="H744" s="9" t="s">
        <v>139</v>
      </c>
      <c r="I744" s="9" t="s">
        <v>411</v>
      </c>
      <c r="J744" s="9" t="s">
        <v>139</v>
      </c>
      <c r="K744" s="10">
        <v>37309.753194444442</v>
      </c>
    </row>
    <row r="745" spans="1:11" x14ac:dyDescent="0.25">
      <c r="A745" s="8">
        <v>1323</v>
      </c>
      <c r="B745" s="9" t="s">
        <v>8968</v>
      </c>
      <c r="C745" s="9" t="s">
        <v>1489</v>
      </c>
      <c r="D745" s="9" t="s">
        <v>139</v>
      </c>
      <c r="E745" s="9" t="s">
        <v>229</v>
      </c>
      <c r="F745" s="9" t="s">
        <v>141</v>
      </c>
      <c r="G745" s="9" t="s">
        <v>142</v>
      </c>
      <c r="H745" s="9" t="s">
        <v>139</v>
      </c>
      <c r="I745" s="9" t="s">
        <v>143</v>
      </c>
      <c r="J745" s="9" t="s">
        <v>139</v>
      </c>
      <c r="K745" s="10">
        <v>37309.817037037035</v>
      </c>
    </row>
    <row r="746" spans="1:11" x14ac:dyDescent="0.25">
      <c r="A746" s="8">
        <v>1325</v>
      </c>
      <c r="B746" s="9" t="s">
        <v>8969</v>
      </c>
      <c r="C746" s="9" t="s">
        <v>1490</v>
      </c>
      <c r="D746" s="9" t="s">
        <v>1491</v>
      </c>
      <c r="E746" s="9" t="s">
        <v>1492</v>
      </c>
      <c r="F746" s="9" t="s">
        <v>1493</v>
      </c>
      <c r="G746" s="9" t="s">
        <v>142</v>
      </c>
      <c r="H746" s="9" t="s">
        <v>258</v>
      </c>
      <c r="I746" s="9" t="s">
        <v>143</v>
      </c>
      <c r="J746" s="9" t="s">
        <v>139</v>
      </c>
      <c r="K746" s="10">
        <v>37310.529861111114</v>
      </c>
    </row>
    <row r="747" spans="1:11" x14ac:dyDescent="0.25">
      <c r="A747" s="8">
        <v>1326</v>
      </c>
      <c r="B747" s="9" t="s">
        <v>8970</v>
      </c>
      <c r="C747" s="9" t="s">
        <v>1494</v>
      </c>
      <c r="D747" s="9" t="s">
        <v>139</v>
      </c>
      <c r="E747" s="9" t="s">
        <v>180</v>
      </c>
      <c r="F747" s="9" t="s">
        <v>141</v>
      </c>
      <c r="G747" s="9" t="s">
        <v>142</v>
      </c>
      <c r="H747" s="9" t="s">
        <v>241</v>
      </c>
      <c r="I747" s="9" t="s">
        <v>143</v>
      </c>
      <c r="J747" s="9" t="s">
        <v>139</v>
      </c>
      <c r="K747" s="10">
        <v>37310.810636574075</v>
      </c>
    </row>
    <row r="748" spans="1:11" x14ac:dyDescent="0.25">
      <c r="A748" s="8">
        <v>1328</v>
      </c>
      <c r="B748" s="9" t="s">
        <v>5432</v>
      </c>
      <c r="C748" s="9" t="s">
        <v>1495</v>
      </c>
      <c r="D748" s="9" t="s">
        <v>1496</v>
      </c>
      <c r="E748" s="9" t="s">
        <v>1497</v>
      </c>
      <c r="F748" s="9" t="s">
        <v>1498</v>
      </c>
      <c r="G748" s="9" t="s">
        <v>142</v>
      </c>
      <c r="H748" s="9" t="s">
        <v>139</v>
      </c>
      <c r="I748" s="9" t="s">
        <v>411</v>
      </c>
      <c r="J748" s="9" t="s">
        <v>139</v>
      </c>
      <c r="K748" s="10">
        <v>37315.516134259262</v>
      </c>
    </row>
    <row r="749" spans="1:11" x14ac:dyDescent="0.25">
      <c r="A749" s="8">
        <v>1329</v>
      </c>
      <c r="B749" s="9" t="s">
        <v>8971</v>
      </c>
      <c r="C749" s="9" t="s">
        <v>139</v>
      </c>
      <c r="D749" s="9" t="s">
        <v>139</v>
      </c>
      <c r="E749" s="9">
        <v>75</v>
      </c>
      <c r="F749" s="9" t="s">
        <v>413</v>
      </c>
      <c r="G749" s="9" t="s">
        <v>142</v>
      </c>
      <c r="H749" s="9" t="s">
        <v>139</v>
      </c>
      <c r="I749" s="9" t="s">
        <v>143</v>
      </c>
      <c r="J749" s="9" t="s">
        <v>139</v>
      </c>
      <c r="K749" s="10">
        <v>37315.832627314812</v>
      </c>
    </row>
    <row r="750" spans="1:11" x14ac:dyDescent="0.25">
      <c r="A750" s="8">
        <v>1334</v>
      </c>
      <c r="B750" s="9" t="s">
        <v>8972</v>
      </c>
      <c r="C750" s="9" t="s">
        <v>139</v>
      </c>
      <c r="D750" s="9" t="s">
        <v>139</v>
      </c>
      <c r="E750" s="9">
        <v>75</v>
      </c>
      <c r="F750" s="9" t="s">
        <v>413</v>
      </c>
      <c r="G750" s="9" t="s">
        <v>142</v>
      </c>
      <c r="H750" s="9" t="s">
        <v>139</v>
      </c>
      <c r="I750" s="9" t="s">
        <v>143</v>
      </c>
      <c r="J750" s="9" t="s">
        <v>139</v>
      </c>
      <c r="K750" s="10">
        <v>37320.466099537036</v>
      </c>
    </row>
    <row r="751" spans="1:11" x14ac:dyDescent="0.25">
      <c r="A751" s="8">
        <v>1335</v>
      </c>
      <c r="B751" s="9" t="s">
        <v>8973</v>
      </c>
      <c r="C751" s="9" t="s">
        <v>415</v>
      </c>
      <c r="D751" s="9" t="s">
        <v>139</v>
      </c>
      <c r="E751" s="9" t="s">
        <v>416</v>
      </c>
      <c r="F751" s="9" t="s">
        <v>417</v>
      </c>
      <c r="G751" s="9" t="s">
        <v>142</v>
      </c>
      <c r="H751" s="9" t="s">
        <v>139</v>
      </c>
      <c r="I751" s="9" t="s">
        <v>143</v>
      </c>
      <c r="J751" s="9" t="s">
        <v>139</v>
      </c>
      <c r="K751" s="10">
        <v>37320.927569444444</v>
      </c>
    </row>
    <row r="752" spans="1:11" x14ac:dyDescent="0.25">
      <c r="A752" s="8">
        <v>1337</v>
      </c>
      <c r="B752" s="9" t="s">
        <v>5433</v>
      </c>
      <c r="C752" s="9" t="s">
        <v>1499</v>
      </c>
      <c r="D752" s="9" t="s">
        <v>139</v>
      </c>
      <c r="E752" s="9" t="s">
        <v>1500</v>
      </c>
      <c r="F752" s="9" t="s">
        <v>1501</v>
      </c>
      <c r="G752" s="9" t="s">
        <v>142</v>
      </c>
      <c r="H752" s="9" t="s">
        <v>241</v>
      </c>
      <c r="I752" s="9" t="s">
        <v>411</v>
      </c>
      <c r="J752" s="9" t="s">
        <v>139</v>
      </c>
      <c r="K752" s="10">
        <v>37323.703067129631</v>
      </c>
    </row>
    <row r="753" spans="1:11" x14ac:dyDescent="0.25">
      <c r="A753" s="8">
        <v>1338</v>
      </c>
      <c r="B753" s="9" t="s">
        <v>5434</v>
      </c>
      <c r="C753" s="9" t="s">
        <v>1502</v>
      </c>
      <c r="D753" s="9" t="s">
        <v>139</v>
      </c>
      <c r="E753" s="9" t="s">
        <v>1503</v>
      </c>
      <c r="F753" s="9" t="s">
        <v>1504</v>
      </c>
      <c r="G753" s="9" t="s">
        <v>142</v>
      </c>
      <c r="H753" s="9" t="s">
        <v>166</v>
      </c>
      <c r="I753" s="9" t="s">
        <v>411</v>
      </c>
      <c r="J753" s="9" t="s">
        <v>139</v>
      </c>
      <c r="K753" s="10">
        <v>37323.708078703705</v>
      </c>
    </row>
    <row r="754" spans="1:11" x14ac:dyDescent="0.25">
      <c r="A754" s="8">
        <v>1340</v>
      </c>
      <c r="B754" s="9" t="s">
        <v>8974</v>
      </c>
      <c r="C754" s="9" t="s">
        <v>1505</v>
      </c>
      <c r="D754" s="9" t="s">
        <v>139</v>
      </c>
      <c r="E754" s="9" t="s">
        <v>865</v>
      </c>
      <c r="F754" s="9" t="s">
        <v>866</v>
      </c>
      <c r="G754" s="9" t="s">
        <v>142</v>
      </c>
      <c r="H754" s="9" t="s">
        <v>139</v>
      </c>
      <c r="I754" s="9" t="s">
        <v>143</v>
      </c>
      <c r="J754" s="9" t="s">
        <v>139</v>
      </c>
      <c r="K754" s="10">
        <v>37324.558182870373</v>
      </c>
    </row>
    <row r="755" spans="1:11" x14ac:dyDescent="0.25">
      <c r="A755" s="8">
        <v>1341</v>
      </c>
      <c r="B755" s="9" t="s">
        <v>8975</v>
      </c>
      <c r="C755" s="9" t="s">
        <v>1506</v>
      </c>
      <c r="D755" s="9" t="s">
        <v>139</v>
      </c>
      <c r="E755" s="9" t="s">
        <v>163</v>
      </c>
      <c r="F755" s="9" t="s">
        <v>141</v>
      </c>
      <c r="G755" s="9" t="s">
        <v>142</v>
      </c>
      <c r="H755" s="9" t="s">
        <v>139</v>
      </c>
      <c r="I755" s="9" t="s">
        <v>143</v>
      </c>
      <c r="J755" s="9" t="s">
        <v>139</v>
      </c>
      <c r="K755" s="10">
        <v>37324.813888888886</v>
      </c>
    </row>
    <row r="756" spans="1:11" x14ac:dyDescent="0.25">
      <c r="A756" s="8">
        <v>1343</v>
      </c>
      <c r="B756" s="9" t="s">
        <v>8976</v>
      </c>
      <c r="C756" s="9" t="s">
        <v>1507</v>
      </c>
      <c r="D756" s="9" t="s">
        <v>139</v>
      </c>
      <c r="E756" s="9" t="s">
        <v>1508</v>
      </c>
      <c r="F756" s="9" t="s">
        <v>1509</v>
      </c>
      <c r="G756" s="9" t="s">
        <v>142</v>
      </c>
      <c r="H756" s="9" t="s">
        <v>241</v>
      </c>
      <c r="I756" s="9" t="s">
        <v>143</v>
      </c>
      <c r="J756" s="9" t="s">
        <v>139</v>
      </c>
      <c r="K756" s="10">
        <v>37329.536180555559</v>
      </c>
    </row>
    <row r="757" spans="1:11" x14ac:dyDescent="0.25">
      <c r="A757" s="8">
        <v>1345</v>
      </c>
      <c r="B757" s="9" t="s">
        <v>5435</v>
      </c>
      <c r="C757" s="9" t="s">
        <v>1510</v>
      </c>
      <c r="D757" s="9" t="s">
        <v>139</v>
      </c>
      <c r="E757" s="25">
        <v>97198</v>
      </c>
      <c r="F757" s="9" t="s">
        <v>1151</v>
      </c>
      <c r="G757" s="9" t="s">
        <v>1042</v>
      </c>
      <c r="H757" s="9" t="s">
        <v>258</v>
      </c>
      <c r="I757" s="9" t="s">
        <v>411</v>
      </c>
      <c r="J757" s="9" t="s">
        <v>139</v>
      </c>
      <c r="K757" s="10">
        <v>37331.580868055556</v>
      </c>
    </row>
    <row r="758" spans="1:11" x14ac:dyDescent="0.25">
      <c r="A758" s="8">
        <v>1347</v>
      </c>
      <c r="B758" s="9" t="s">
        <v>8977</v>
      </c>
      <c r="C758" s="9" t="s">
        <v>1511</v>
      </c>
      <c r="D758" s="9" t="s">
        <v>139</v>
      </c>
      <c r="E758" s="9" t="s">
        <v>606</v>
      </c>
      <c r="F758" s="9" t="s">
        <v>1512</v>
      </c>
      <c r="G758" s="9" t="s">
        <v>142</v>
      </c>
      <c r="H758" s="9" t="s">
        <v>241</v>
      </c>
      <c r="I758" s="9" t="s">
        <v>143</v>
      </c>
      <c r="J758" s="9" t="s">
        <v>139</v>
      </c>
      <c r="K758" s="10">
        <v>37336.573148148149</v>
      </c>
    </row>
    <row r="759" spans="1:11" x14ac:dyDescent="0.25">
      <c r="A759" s="8">
        <v>1348</v>
      </c>
      <c r="B759" s="9" t="s">
        <v>8978</v>
      </c>
      <c r="C759" s="9" t="s">
        <v>139</v>
      </c>
      <c r="D759" s="9" t="s">
        <v>139</v>
      </c>
      <c r="E759" s="9">
        <v>75</v>
      </c>
      <c r="F759" s="9" t="s">
        <v>413</v>
      </c>
      <c r="G759" s="9" t="s">
        <v>142</v>
      </c>
      <c r="H759" s="9" t="s">
        <v>139</v>
      </c>
      <c r="I759" s="9" t="s">
        <v>143</v>
      </c>
      <c r="J759" s="9" t="s">
        <v>139</v>
      </c>
      <c r="K759" s="10">
        <v>37336.821932870371</v>
      </c>
    </row>
    <row r="760" spans="1:11" x14ac:dyDescent="0.25">
      <c r="A760" s="8">
        <v>1352</v>
      </c>
      <c r="B760" s="9" t="s">
        <v>8979</v>
      </c>
      <c r="C760" s="9" t="s">
        <v>1513</v>
      </c>
      <c r="D760" s="9" t="s">
        <v>139</v>
      </c>
      <c r="E760" s="9" t="s">
        <v>218</v>
      </c>
      <c r="F760" s="9" t="s">
        <v>141</v>
      </c>
      <c r="G760" s="9" t="s">
        <v>142</v>
      </c>
      <c r="H760" s="9" t="s">
        <v>166</v>
      </c>
      <c r="I760" s="9" t="s">
        <v>143</v>
      </c>
      <c r="J760" s="9" t="s">
        <v>139</v>
      </c>
      <c r="K760" s="10">
        <v>37337.60056712963</v>
      </c>
    </row>
    <row r="761" spans="1:11" x14ac:dyDescent="0.25">
      <c r="A761" s="8">
        <v>1355</v>
      </c>
      <c r="B761" s="9" t="s">
        <v>5436</v>
      </c>
      <c r="C761" s="9" t="s">
        <v>1514</v>
      </c>
      <c r="D761" s="9" t="s">
        <v>139</v>
      </c>
      <c r="E761" s="9" t="s">
        <v>1515</v>
      </c>
      <c r="F761" s="9" t="s">
        <v>1516</v>
      </c>
      <c r="G761" s="9" t="s">
        <v>142</v>
      </c>
      <c r="H761" s="9" t="s">
        <v>139</v>
      </c>
      <c r="I761" s="9" t="s">
        <v>411</v>
      </c>
      <c r="J761" s="9" t="s">
        <v>139</v>
      </c>
      <c r="K761" s="10">
        <v>37338.499016203707</v>
      </c>
    </row>
    <row r="762" spans="1:11" x14ac:dyDescent="0.25">
      <c r="A762" s="8">
        <v>1361</v>
      </c>
      <c r="B762" s="9" t="s">
        <v>5437</v>
      </c>
      <c r="C762" s="9" t="s">
        <v>1517</v>
      </c>
      <c r="D762" s="9" t="s">
        <v>139</v>
      </c>
      <c r="E762" s="9" t="s">
        <v>154</v>
      </c>
      <c r="F762" s="9" t="s">
        <v>155</v>
      </c>
      <c r="G762" s="9" t="s">
        <v>142</v>
      </c>
      <c r="H762" s="9" t="s">
        <v>139</v>
      </c>
      <c r="I762" s="9" t="s">
        <v>411</v>
      </c>
      <c r="J762" s="9" t="s">
        <v>139</v>
      </c>
      <c r="K762" s="10">
        <v>37343.78230324074</v>
      </c>
    </row>
    <row r="763" spans="1:11" x14ac:dyDescent="0.25">
      <c r="A763" s="8">
        <v>1362</v>
      </c>
      <c r="B763" s="9" t="s">
        <v>8980</v>
      </c>
      <c r="C763" s="9" t="s">
        <v>1518</v>
      </c>
      <c r="D763" s="9" t="s">
        <v>139</v>
      </c>
      <c r="E763" s="9" t="s">
        <v>229</v>
      </c>
      <c r="F763" s="9" t="s">
        <v>141</v>
      </c>
      <c r="G763" s="9" t="s">
        <v>142</v>
      </c>
      <c r="H763" s="9" t="s">
        <v>166</v>
      </c>
      <c r="I763" s="9" t="s">
        <v>143</v>
      </c>
      <c r="J763" s="9" t="s">
        <v>139</v>
      </c>
      <c r="K763" s="10">
        <v>37345.480486111112</v>
      </c>
    </row>
    <row r="764" spans="1:11" x14ac:dyDescent="0.25">
      <c r="A764" s="8">
        <v>1366</v>
      </c>
      <c r="B764" s="9" t="s">
        <v>8981</v>
      </c>
      <c r="C764" s="9" t="s">
        <v>1519</v>
      </c>
      <c r="D764" s="9" t="s">
        <v>139</v>
      </c>
      <c r="E764" s="9" t="s">
        <v>191</v>
      </c>
      <c r="F764" s="9" t="s">
        <v>141</v>
      </c>
      <c r="G764" s="9" t="s">
        <v>142</v>
      </c>
      <c r="H764" s="9" t="s">
        <v>139</v>
      </c>
      <c r="I764" s="9" t="s">
        <v>143</v>
      </c>
      <c r="J764" s="9" t="s">
        <v>139</v>
      </c>
      <c r="K764" s="10">
        <v>37350.732118055559</v>
      </c>
    </row>
    <row r="765" spans="1:11" x14ac:dyDescent="0.25">
      <c r="A765" s="8">
        <v>1367</v>
      </c>
      <c r="B765" s="9" t="s">
        <v>8982</v>
      </c>
      <c r="C765" s="9" t="s">
        <v>1520</v>
      </c>
      <c r="D765" s="9" t="s">
        <v>139</v>
      </c>
      <c r="E765" s="9" t="s">
        <v>218</v>
      </c>
      <c r="F765" s="9" t="s">
        <v>141</v>
      </c>
      <c r="G765" s="9" t="s">
        <v>142</v>
      </c>
      <c r="H765" s="9" t="s">
        <v>139</v>
      </c>
      <c r="I765" s="9" t="s">
        <v>143</v>
      </c>
      <c r="J765" s="9" t="s">
        <v>139</v>
      </c>
      <c r="K765" s="10">
        <v>37350.734386574077</v>
      </c>
    </row>
    <row r="766" spans="1:11" x14ac:dyDescent="0.25">
      <c r="A766" s="8">
        <v>1370</v>
      </c>
      <c r="B766" s="9" t="s">
        <v>8983</v>
      </c>
      <c r="C766" s="9" t="s">
        <v>1521</v>
      </c>
      <c r="D766" s="9" t="s">
        <v>139</v>
      </c>
      <c r="E766" s="9" t="s">
        <v>218</v>
      </c>
      <c r="F766" s="9" t="s">
        <v>141</v>
      </c>
      <c r="G766" s="9" t="s">
        <v>142</v>
      </c>
      <c r="H766" s="9" t="s">
        <v>139</v>
      </c>
      <c r="I766" s="9" t="s">
        <v>143</v>
      </c>
      <c r="J766" s="9" t="s">
        <v>139</v>
      </c>
      <c r="K766" s="10">
        <v>37351.617384259262</v>
      </c>
    </row>
    <row r="767" spans="1:11" x14ac:dyDescent="0.25">
      <c r="A767" s="8">
        <v>1371</v>
      </c>
      <c r="B767" s="9" t="s">
        <v>5438</v>
      </c>
      <c r="C767" s="9" t="s">
        <v>1522</v>
      </c>
      <c r="D767" s="9" t="s">
        <v>139</v>
      </c>
      <c r="E767" s="9" t="s">
        <v>1523</v>
      </c>
      <c r="F767" s="9" t="s">
        <v>1524</v>
      </c>
      <c r="G767" s="9" t="s">
        <v>142</v>
      </c>
      <c r="H767" s="9" t="s">
        <v>139</v>
      </c>
      <c r="I767" s="9" t="s">
        <v>411</v>
      </c>
      <c r="J767" s="9" t="s">
        <v>139</v>
      </c>
      <c r="K767" s="10">
        <v>37351.7577662037</v>
      </c>
    </row>
    <row r="768" spans="1:11" x14ac:dyDescent="0.25">
      <c r="A768" s="8">
        <v>1372</v>
      </c>
      <c r="B768" s="9" t="s">
        <v>8984</v>
      </c>
      <c r="C768" s="9" t="s">
        <v>1525</v>
      </c>
      <c r="D768" s="9" t="s">
        <v>139</v>
      </c>
      <c r="E768" s="9" t="s">
        <v>328</v>
      </c>
      <c r="F768" s="9" t="s">
        <v>141</v>
      </c>
      <c r="G768" s="9" t="s">
        <v>142</v>
      </c>
      <c r="H768" s="9" t="s">
        <v>139</v>
      </c>
      <c r="I768" s="9" t="s">
        <v>143</v>
      </c>
      <c r="J768" s="9" t="s">
        <v>139</v>
      </c>
      <c r="K768" s="10">
        <v>37352.600706018522</v>
      </c>
    </row>
    <row r="769" spans="1:11" x14ac:dyDescent="0.25">
      <c r="A769" s="8">
        <v>1373</v>
      </c>
      <c r="B769" s="9" t="s">
        <v>8985</v>
      </c>
      <c r="C769" s="9" t="s">
        <v>1526</v>
      </c>
      <c r="D769" s="9" t="s">
        <v>139</v>
      </c>
      <c r="E769" s="9" t="s">
        <v>1527</v>
      </c>
      <c r="F769" s="9" t="s">
        <v>1528</v>
      </c>
      <c r="G769" s="9" t="s">
        <v>873</v>
      </c>
      <c r="H769" s="9" t="s">
        <v>241</v>
      </c>
      <c r="I769" s="9" t="s">
        <v>143</v>
      </c>
      <c r="J769" s="9" t="s">
        <v>139</v>
      </c>
      <c r="K769" s="10">
        <v>37352.743877314817</v>
      </c>
    </row>
    <row r="770" spans="1:11" x14ac:dyDescent="0.25">
      <c r="A770" s="8">
        <v>1376</v>
      </c>
      <c r="B770" s="9" t="s">
        <v>8986</v>
      </c>
      <c r="C770" s="9" t="s">
        <v>139</v>
      </c>
      <c r="D770" s="9" t="s">
        <v>139</v>
      </c>
      <c r="E770" s="9">
        <v>75</v>
      </c>
      <c r="F770" s="9" t="s">
        <v>413</v>
      </c>
      <c r="G770" s="9" t="s">
        <v>142</v>
      </c>
      <c r="H770" s="9" t="s">
        <v>241</v>
      </c>
      <c r="I770" s="9" t="s">
        <v>143</v>
      </c>
      <c r="J770" s="9" t="s">
        <v>139</v>
      </c>
      <c r="K770" s="10">
        <v>37359.676504629628</v>
      </c>
    </row>
    <row r="771" spans="1:11" x14ac:dyDescent="0.25">
      <c r="A771" s="8">
        <v>1377</v>
      </c>
      <c r="B771" s="9" t="s">
        <v>8987</v>
      </c>
      <c r="C771" s="9" t="s">
        <v>1529</v>
      </c>
      <c r="D771" s="9" t="s">
        <v>139</v>
      </c>
      <c r="E771" s="9" t="s">
        <v>229</v>
      </c>
      <c r="F771" s="9" t="s">
        <v>141</v>
      </c>
      <c r="G771" s="9" t="s">
        <v>142</v>
      </c>
      <c r="H771" s="9" t="s">
        <v>166</v>
      </c>
      <c r="I771" s="9" t="s">
        <v>143</v>
      </c>
      <c r="J771" s="9" t="s">
        <v>139</v>
      </c>
      <c r="K771" s="10">
        <v>37365.82104166667</v>
      </c>
    </row>
    <row r="772" spans="1:11" x14ac:dyDescent="0.25">
      <c r="A772" s="8">
        <v>1378</v>
      </c>
      <c r="B772" s="9" t="s">
        <v>8988</v>
      </c>
      <c r="C772" s="9" t="s">
        <v>1530</v>
      </c>
      <c r="D772" s="9" t="s">
        <v>139</v>
      </c>
      <c r="E772" s="9" t="s">
        <v>140</v>
      </c>
      <c r="F772" s="9" t="s">
        <v>141</v>
      </c>
      <c r="G772" s="9" t="s">
        <v>142</v>
      </c>
      <c r="H772" s="9" t="s">
        <v>139</v>
      </c>
      <c r="I772" s="9" t="s">
        <v>143</v>
      </c>
      <c r="J772" s="9" t="s">
        <v>139</v>
      </c>
      <c r="K772" s="10">
        <v>37365.822256944448</v>
      </c>
    </row>
    <row r="773" spans="1:11" x14ac:dyDescent="0.25">
      <c r="A773" s="8">
        <v>1379</v>
      </c>
      <c r="B773" s="9" t="s">
        <v>5439</v>
      </c>
      <c r="C773" s="9" t="s">
        <v>1531</v>
      </c>
      <c r="D773" s="9" t="s">
        <v>139</v>
      </c>
      <c r="E773" s="9" t="s">
        <v>1532</v>
      </c>
      <c r="F773" s="9" t="s">
        <v>1533</v>
      </c>
      <c r="G773" s="9" t="s">
        <v>142</v>
      </c>
      <c r="H773" s="9" t="s">
        <v>139</v>
      </c>
      <c r="I773" s="9" t="s">
        <v>411</v>
      </c>
      <c r="J773" s="9" t="s">
        <v>139</v>
      </c>
      <c r="K773" s="10">
        <v>37366.635150462964</v>
      </c>
    </row>
    <row r="774" spans="1:11" x14ac:dyDescent="0.25">
      <c r="A774" s="8">
        <v>1380</v>
      </c>
      <c r="B774" s="9" t="s">
        <v>8989</v>
      </c>
      <c r="C774" s="9" t="s">
        <v>1534</v>
      </c>
      <c r="D774" s="9" t="s">
        <v>139</v>
      </c>
      <c r="E774" s="9" t="s">
        <v>229</v>
      </c>
      <c r="F774" s="9" t="s">
        <v>141</v>
      </c>
      <c r="G774" s="9" t="s">
        <v>142</v>
      </c>
      <c r="H774" s="9" t="s">
        <v>321</v>
      </c>
      <c r="I774" s="9" t="s">
        <v>143</v>
      </c>
      <c r="J774" s="9" t="s">
        <v>139</v>
      </c>
      <c r="K774" s="10">
        <v>37366.718865740739</v>
      </c>
    </row>
    <row r="775" spans="1:11" x14ac:dyDescent="0.25">
      <c r="A775" s="8">
        <v>1381</v>
      </c>
      <c r="B775" s="9" t="s">
        <v>8990</v>
      </c>
      <c r="C775" s="9" t="s">
        <v>1535</v>
      </c>
      <c r="D775" s="9" t="s">
        <v>1536</v>
      </c>
      <c r="E775" s="9" t="s">
        <v>180</v>
      </c>
      <c r="F775" s="9" t="s">
        <v>141</v>
      </c>
      <c r="G775" s="9" t="s">
        <v>142</v>
      </c>
      <c r="H775" s="9" t="s">
        <v>166</v>
      </c>
      <c r="I775" s="9" t="s">
        <v>143</v>
      </c>
      <c r="J775" s="9" t="s">
        <v>139</v>
      </c>
      <c r="K775" s="10">
        <v>37366.761574074073</v>
      </c>
    </row>
    <row r="776" spans="1:11" x14ac:dyDescent="0.25">
      <c r="A776" s="8">
        <v>1382</v>
      </c>
      <c r="B776" s="9" t="s">
        <v>5440</v>
      </c>
      <c r="C776" s="9" t="s">
        <v>1537</v>
      </c>
      <c r="D776" s="9" t="s">
        <v>139</v>
      </c>
      <c r="E776" s="9" t="s">
        <v>1296</v>
      </c>
      <c r="F776" s="9" t="s">
        <v>1538</v>
      </c>
      <c r="G776" s="9" t="s">
        <v>142</v>
      </c>
      <c r="H776" s="9" t="s">
        <v>139</v>
      </c>
      <c r="I776" s="9" t="s">
        <v>411</v>
      </c>
      <c r="J776" s="9" t="s">
        <v>139</v>
      </c>
      <c r="K776" s="10">
        <v>37368.534398148149</v>
      </c>
    </row>
    <row r="777" spans="1:11" x14ac:dyDescent="0.25">
      <c r="A777" s="8">
        <v>1384</v>
      </c>
      <c r="B777" s="9" t="s">
        <v>5441</v>
      </c>
      <c r="C777" s="9" t="s">
        <v>1539</v>
      </c>
      <c r="D777" s="9" t="s">
        <v>139</v>
      </c>
      <c r="E777" s="9" t="s">
        <v>1540</v>
      </c>
      <c r="F777" s="9" t="s">
        <v>1541</v>
      </c>
      <c r="G777" s="9" t="s">
        <v>142</v>
      </c>
      <c r="H777" s="9" t="s">
        <v>166</v>
      </c>
      <c r="I777" s="9" t="s">
        <v>411</v>
      </c>
      <c r="J777" s="9" t="s">
        <v>139</v>
      </c>
      <c r="K777" s="10">
        <v>37370.47283564815</v>
      </c>
    </row>
    <row r="778" spans="1:11" x14ac:dyDescent="0.25">
      <c r="A778" s="8">
        <v>1385</v>
      </c>
      <c r="B778" s="9" t="s">
        <v>8991</v>
      </c>
      <c r="C778" s="9" t="s">
        <v>1542</v>
      </c>
      <c r="D778" s="9" t="s">
        <v>139</v>
      </c>
      <c r="E778" s="9" t="s">
        <v>229</v>
      </c>
      <c r="F778" s="9" t="s">
        <v>141</v>
      </c>
      <c r="G778" s="9" t="s">
        <v>142</v>
      </c>
      <c r="H778" s="9" t="s">
        <v>241</v>
      </c>
      <c r="I778" s="9" t="s">
        <v>143</v>
      </c>
      <c r="J778" s="9" t="s">
        <v>139</v>
      </c>
      <c r="K778" s="10">
        <v>37372.57267361111</v>
      </c>
    </row>
    <row r="779" spans="1:11" x14ac:dyDescent="0.25">
      <c r="A779" s="8">
        <v>1386</v>
      </c>
      <c r="B779" s="9" t="s">
        <v>8992</v>
      </c>
      <c r="C779" s="9" t="s">
        <v>1543</v>
      </c>
      <c r="D779" s="9" t="s">
        <v>139</v>
      </c>
      <c r="E779" s="9" t="s">
        <v>180</v>
      </c>
      <c r="F779" s="9" t="s">
        <v>141</v>
      </c>
      <c r="G779" s="9" t="s">
        <v>142</v>
      </c>
      <c r="H779" s="9" t="s">
        <v>241</v>
      </c>
      <c r="I779" s="9" t="s">
        <v>143</v>
      </c>
      <c r="J779" s="9" t="s">
        <v>139</v>
      </c>
      <c r="K779" s="10">
        <v>37372.574444444443</v>
      </c>
    </row>
    <row r="780" spans="1:11" x14ac:dyDescent="0.25">
      <c r="A780" s="8">
        <v>1388</v>
      </c>
      <c r="B780" s="9" t="s">
        <v>8993</v>
      </c>
      <c r="C780" s="9" t="s">
        <v>139</v>
      </c>
      <c r="D780" s="9" t="s">
        <v>139</v>
      </c>
      <c r="E780" s="9">
        <v>75</v>
      </c>
      <c r="F780" s="9" t="s">
        <v>413</v>
      </c>
      <c r="G780" s="9" t="s">
        <v>142</v>
      </c>
      <c r="H780" s="9" t="s">
        <v>166</v>
      </c>
      <c r="I780" s="9" t="s">
        <v>143</v>
      </c>
      <c r="J780" s="9" t="s">
        <v>139</v>
      </c>
      <c r="K780" s="10">
        <v>37373.510949074072</v>
      </c>
    </row>
    <row r="781" spans="1:11" x14ac:dyDescent="0.25">
      <c r="A781" s="8">
        <v>1389</v>
      </c>
      <c r="B781" s="9" t="s">
        <v>8994</v>
      </c>
      <c r="C781" s="9" t="s">
        <v>1544</v>
      </c>
      <c r="D781" s="9" t="s">
        <v>139</v>
      </c>
      <c r="E781" s="9" t="s">
        <v>1545</v>
      </c>
      <c r="F781" s="9" t="s">
        <v>1546</v>
      </c>
      <c r="G781" s="9" t="s">
        <v>142</v>
      </c>
      <c r="H781" s="9" t="s">
        <v>139</v>
      </c>
      <c r="I781" s="9" t="s">
        <v>143</v>
      </c>
      <c r="J781" s="9" t="s">
        <v>139</v>
      </c>
      <c r="K781" s="10">
        <v>37373.570532407408</v>
      </c>
    </row>
    <row r="782" spans="1:11" x14ac:dyDescent="0.25">
      <c r="A782" s="8">
        <v>1390</v>
      </c>
      <c r="B782" s="9" t="s">
        <v>8995</v>
      </c>
      <c r="C782" s="9" t="s">
        <v>1547</v>
      </c>
      <c r="D782" s="9" t="s">
        <v>139</v>
      </c>
      <c r="E782" s="9" t="s">
        <v>328</v>
      </c>
      <c r="F782" s="9" t="s">
        <v>141</v>
      </c>
      <c r="G782" s="9" t="s">
        <v>142</v>
      </c>
      <c r="H782" s="9" t="s">
        <v>241</v>
      </c>
      <c r="I782" s="9" t="s">
        <v>143</v>
      </c>
      <c r="J782" s="9" t="s">
        <v>139</v>
      </c>
      <c r="K782" s="10">
        <v>37373.721261574072</v>
      </c>
    </row>
    <row r="783" spans="1:11" x14ac:dyDescent="0.25">
      <c r="A783" s="8">
        <v>1391</v>
      </c>
      <c r="B783" s="9" t="s">
        <v>8996</v>
      </c>
      <c r="C783" s="9" t="s">
        <v>1548</v>
      </c>
      <c r="D783" s="9" t="s">
        <v>139</v>
      </c>
      <c r="E783" s="9" t="s">
        <v>328</v>
      </c>
      <c r="F783" s="9" t="s">
        <v>141</v>
      </c>
      <c r="G783" s="9" t="s">
        <v>142</v>
      </c>
      <c r="H783" s="9" t="s">
        <v>258</v>
      </c>
      <c r="I783" s="9" t="s">
        <v>143</v>
      </c>
      <c r="J783" s="9" t="s">
        <v>139</v>
      </c>
      <c r="K783" s="10">
        <v>37376.840694444443</v>
      </c>
    </row>
    <row r="784" spans="1:11" x14ac:dyDescent="0.25">
      <c r="A784" s="8">
        <v>1392</v>
      </c>
      <c r="B784" s="9" t="s">
        <v>8997</v>
      </c>
      <c r="C784" s="9" t="s">
        <v>1549</v>
      </c>
      <c r="D784" s="9" t="s">
        <v>139</v>
      </c>
      <c r="E784" s="9" t="s">
        <v>1550</v>
      </c>
      <c r="F784" s="9" t="s">
        <v>1346</v>
      </c>
      <c r="G784" s="9" t="s">
        <v>142</v>
      </c>
      <c r="H784" s="9" t="s">
        <v>139</v>
      </c>
      <c r="I784" s="9" t="s">
        <v>143</v>
      </c>
      <c r="J784" s="9" t="s">
        <v>139</v>
      </c>
      <c r="K784" s="10">
        <v>37378.782384259262</v>
      </c>
    </row>
    <row r="785" spans="1:11" x14ac:dyDescent="0.25">
      <c r="A785" s="8">
        <v>1393</v>
      </c>
      <c r="B785" s="9" t="s">
        <v>8998</v>
      </c>
      <c r="C785" s="9" t="s">
        <v>1551</v>
      </c>
      <c r="D785" s="9" t="s">
        <v>139</v>
      </c>
      <c r="E785" s="9" t="s">
        <v>212</v>
      </c>
      <c r="F785" s="9" t="s">
        <v>141</v>
      </c>
      <c r="G785" s="9" t="s">
        <v>142</v>
      </c>
      <c r="H785" s="9" t="s">
        <v>241</v>
      </c>
      <c r="I785" s="9" t="s">
        <v>143</v>
      </c>
      <c r="J785" s="9" t="s">
        <v>139</v>
      </c>
      <c r="K785" s="10">
        <v>37380.704872685186</v>
      </c>
    </row>
    <row r="786" spans="1:11" x14ac:dyDescent="0.25">
      <c r="A786" s="8">
        <v>1395</v>
      </c>
      <c r="B786" s="9" t="s">
        <v>8999</v>
      </c>
      <c r="C786" s="9" t="s">
        <v>139</v>
      </c>
      <c r="D786" s="9" t="s">
        <v>139</v>
      </c>
      <c r="E786" s="9">
        <v>75</v>
      </c>
      <c r="F786" s="9" t="s">
        <v>413</v>
      </c>
      <c r="G786" s="9" t="s">
        <v>142</v>
      </c>
      <c r="H786" s="9" t="s">
        <v>166</v>
      </c>
      <c r="I786" s="9" t="s">
        <v>143</v>
      </c>
      <c r="J786" s="9" t="s">
        <v>139</v>
      </c>
      <c r="K786" s="10">
        <v>37389.520682870374</v>
      </c>
    </row>
    <row r="787" spans="1:11" x14ac:dyDescent="0.25">
      <c r="A787" s="8">
        <v>1398</v>
      </c>
      <c r="B787" s="9" t="s">
        <v>9000</v>
      </c>
      <c r="C787" s="9" t="s">
        <v>1552</v>
      </c>
      <c r="D787" s="9" t="s">
        <v>139</v>
      </c>
      <c r="E787" s="9" t="s">
        <v>1553</v>
      </c>
      <c r="F787" s="9" t="s">
        <v>1554</v>
      </c>
      <c r="G787" s="9" t="s">
        <v>142</v>
      </c>
      <c r="H787" s="9" t="s">
        <v>139</v>
      </c>
      <c r="I787" s="9" t="s">
        <v>143</v>
      </c>
      <c r="J787" s="9" t="s">
        <v>139</v>
      </c>
      <c r="K787" s="10">
        <v>37394.715740740743</v>
      </c>
    </row>
    <row r="788" spans="1:11" x14ac:dyDescent="0.25">
      <c r="A788" s="8">
        <v>1400</v>
      </c>
      <c r="B788" s="9" t="s">
        <v>5442</v>
      </c>
      <c r="C788" s="9" t="s">
        <v>1555</v>
      </c>
      <c r="D788" s="9" t="s">
        <v>139</v>
      </c>
      <c r="E788" s="9" t="s">
        <v>531</v>
      </c>
      <c r="F788" s="9" t="s">
        <v>1556</v>
      </c>
      <c r="G788" s="9" t="s">
        <v>142</v>
      </c>
      <c r="H788" s="9" t="s">
        <v>166</v>
      </c>
      <c r="I788" s="9" t="s">
        <v>411</v>
      </c>
      <c r="J788" s="9" t="s">
        <v>139</v>
      </c>
      <c r="K788" s="10">
        <v>37404.55740740741</v>
      </c>
    </row>
    <row r="789" spans="1:11" x14ac:dyDescent="0.25">
      <c r="A789" s="8">
        <v>1401</v>
      </c>
      <c r="B789" s="9" t="s">
        <v>9001</v>
      </c>
      <c r="C789" s="9" t="s">
        <v>139</v>
      </c>
      <c r="D789" s="9" t="s">
        <v>139</v>
      </c>
      <c r="E789" s="9">
        <v>75</v>
      </c>
      <c r="F789" s="9" t="s">
        <v>413</v>
      </c>
      <c r="G789" s="9" t="s">
        <v>142</v>
      </c>
      <c r="H789" s="9" t="s">
        <v>241</v>
      </c>
      <c r="I789" s="9" t="s">
        <v>143</v>
      </c>
      <c r="J789" s="9" t="s">
        <v>139</v>
      </c>
      <c r="K789" s="10">
        <v>37406.873749999999</v>
      </c>
    </row>
    <row r="790" spans="1:11" x14ac:dyDescent="0.25">
      <c r="A790" s="8">
        <v>1402</v>
      </c>
      <c r="B790" s="9" t="s">
        <v>9002</v>
      </c>
      <c r="C790" s="9" t="s">
        <v>1557</v>
      </c>
      <c r="D790" s="9" t="s">
        <v>139</v>
      </c>
      <c r="E790" s="9" t="s">
        <v>191</v>
      </c>
      <c r="F790" s="9" t="s">
        <v>141</v>
      </c>
      <c r="G790" s="9" t="s">
        <v>142</v>
      </c>
      <c r="H790" s="9" t="s">
        <v>139</v>
      </c>
      <c r="I790" s="9" t="s">
        <v>143</v>
      </c>
      <c r="J790" s="9" t="s">
        <v>139</v>
      </c>
      <c r="K790" s="10">
        <v>37407.562314814815</v>
      </c>
    </row>
    <row r="791" spans="1:11" x14ac:dyDescent="0.25">
      <c r="A791" s="8">
        <v>1403</v>
      </c>
      <c r="B791" s="9" t="s">
        <v>9003</v>
      </c>
      <c r="C791" s="9" t="s">
        <v>1558</v>
      </c>
      <c r="D791" s="9" t="s">
        <v>139</v>
      </c>
      <c r="E791" s="9" t="s">
        <v>328</v>
      </c>
      <c r="F791" s="9" t="s">
        <v>141</v>
      </c>
      <c r="G791" s="9" t="s">
        <v>142</v>
      </c>
      <c r="H791" s="9" t="s">
        <v>166</v>
      </c>
      <c r="I791" s="9" t="s">
        <v>143</v>
      </c>
      <c r="J791" s="9" t="s">
        <v>139</v>
      </c>
      <c r="K791" s="10">
        <v>37415.483599537038</v>
      </c>
    </row>
    <row r="792" spans="1:11" x14ac:dyDescent="0.25">
      <c r="A792" s="8">
        <v>1404</v>
      </c>
      <c r="B792" s="9" t="s">
        <v>9004</v>
      </c>
      <c r="C792" s="9" t="s">
        <v>1559</v>
      </c>
      <c r="D792" s="9" t="s">
        <v>139</v>
      </c>
      <c r="E792" s="9" t="s">
        <v>1560</v>
      </c>
      <c r="F792" s="9" t="s">
        <v>1561</v>
      </c>
      <c r="G792" s="9" t="s">
        <v>142</v>
      </c>
      <c r="H792" s="9" t="s">
        <v>258</v>
      </c>
      <c r="I792" s="9" t="s">
        <v>143</v>
      </c>
      <c r="J792" s="9" t="s">
        <v>139</v>
      </c>
      <c r="K792" s="10">
        <v>37415.484490740739</v>
      </c>
    </row>
    <row r="793" spans="1:11" x14ac:dyDescent="0.25">
      <c r="A793" s="8">
        <v>1405</v>
      </c>
      <c r="B793" s="9" t="s">
        <v>9005</v>
      </c>
      <c r="C793" s="9" t="s">
        <v>1562</v>
      </c>
      <c r="D793" s="9" t="s">
        <v>139</v>
      </c>
      <c r="E793" s="9" t="s">
        <v>1563</v>
      </c>
      <c r="F793" s="9" t="s">
        <v>971</v>
      </c>
      <c r="G793" s="9" t="s">
        <v>142</v>
      </c>
      <c r="H793" s="9" t="s">
        <v>139</v>
      </c>
      <c r="I793" s="9" t="s">
        <v>143</v>
      </c>
      <c r="J793" s="9" t="s">
        <v>139</v>
      </c>
      <c r="K793" s="10">
        <v>37415.486527777779</v>
      </c>
    </row>
    <row r="794" spans="1:11" x14ac:dyDescent="0.25">
      <c r="A794" s="8">
        <v>1407</v>
      </c>
      <c r="B794" s="9" t="s">
        <v>9006</v>
      </c>
      <c r="C794" s="9" t="s">
        <v>1564</v>
      </c>
      <c r="D794" s="9" t="s">
        <v>139</v>
      </c>
      <c r="E794" s="9" t="s">
        <v>229</v>
      </c>
      <c r="F794" s="9" t="s">
        <v>141</v>
      </c>
      <c r="G794" s="9" t="s">
        <v>142</v>
      </c>
      <c r="H794" s="9" t="s">
        <v>139</v>
      </c>
      <c r="I794" s="9" t="s">
        <v>143</v>
      </c>
      <c r="J794" s="9" t="s">
        <v>139</v>
      </c>
      <c r="K794" s="10">
        <v>37415.665798611109</v>
      </c>
    </row>
    <row r="795" spans="1:11" x14ac:dyDescent="0.25">
      <c r="A795" s="8">
        <v>1408</v>
      </c>
      <c r="B795" s="9" t="s">
        <v>9007</v>
      </c>
      <c r="C795" s="9" t="s">
        <v>1565</v>
      </c>
      <c r="D795" s="9" t="s">
        <v>139</v>
      </c>
      <c r="E795" s="9" t="s">
        <v>1328</v>
      </c>
      <c r="F795" s="9" t="s">
        <v>1092</v>
      </c>
      <c r="G795" s="9" t="s">
        <v>142</v>
      </c>
      <c r="H795" s="9" t="s">
        <v>241</v>
      </c>
      <c r="I795" s="9" t="s">
        <v>143</v>
      </c>
      <c r="J795" s="9" t="s">
        <v>139</v>
      </c>
      <c r="K795" s="10">
        <v>37420.495393518519</v>
      </c>
    </row>
    <row r="796" spans="1:11" x14ac:dyDescent="0.25">
      <c r="A796" s="8">
        <v>1409</v>
      </c>
      <c r="B796" s="9" t="s">
        <v>9008</v>
      </c>
      <c r="C796" s="9" t="s">
        <v>1566</v>
      </c>
      <c r="D796" s="9" t="s">
        <v>139</v>
      </c>
      <c r="E796" s="9" t="s">
        <v>308</v>
      </c>
      <c r="F796" s="9" t="s">
        <v>141</v>
      </c>
      <c r="G796" s="9" t="s">
        <v>142</v>
      </c>
      <c r="H796" s="9" t="s">
        <v>139</v>
      </c>
      <c r="I796" s="9" t="s">
        <v>143</v>
      </c>
      <c r="J796" s="9" t="s">
        <v>139</v>
      </c>
      <c r="K796" s="10">
        <v>37420.496840277781</v>
      </c>
    </row>
    <row r="797" spans="1:11" x14ac:dyDescent="0.25">
      <c r="A797" s="8">
        <v>1410</v>
      </c>
      <c r="B797" s="9" t="s">
        <v>9009</v>
      </c>
      <c r="C797" s="9" t="s">
        <v>1567</v>
      </c>
      <c r="D797" s="9" t="s">
        <v>139</v>
      </c>
      <c r="E797" s="9" t="s">
        <v>1091</v>
      </c>
      <c r="F797" s="9" t="s">
        <v>1092</v>
      </c>
      <c r="G797" s="9" t="s">
        <v>142</v>
      </c>
      <c r="H797" s="9" t="s">
        <v>166</v>
      </c>
      <c r="I797" s="9" t="s">
        <v>143</v>
      </c>
      <c r="J797" s="9" t="s">
        <v>139</v>
      </c>
      <c r="K797" s="10">
        <v>37420.505891203706</v>
      </c>
    </row>
    <row r="798" spans="1:11" x14ac:dyDescent="0.25">
      <c r="A798" s="8">
        <v>1411</v>
      </c>
      <c r="B798" s="9" t="s">
        <v>9010</v>
      </c>
      <c r="C798" s="9" t="s">
        <v>1568</v>
      </c>
      <c r="D798" s="9" t="s">
        <v>1569</v>
      </c>
      <c r="E798" s="9" t="s">
        <v>1570</v>
      </c>
      <c r="F798" s="9" t="s">
        <v>1571</v>
      </c>
      <c r="G798" s="9" t="s">
        <v>142</v>
      </c>
      <c r="H798" s="9" t="s">
        <v>139</v>
      </c>
      <c r="I798" s="9" t="s">
        <v>143</v>
      </c>
      <c r="J798" s="9" t="s">
        <v>139</v>
      </c>
      <c r="K798" s="10">
        <v>37420.509791666664</v>
      </c>
    </row>
    <row r="799" spans="1:11" x14ac:dyDescent="0.25">
      <c r="A799" s="8">
        <v>1412</v>
      </c>
      <c r="B799" s="9" t="s">
        <v>9011</v>
      </c>
      <c r="C799" s="9" t="s">
        <v>1572</v>
      </c>
      <c r="D799" s="9" t="s">
        <v>139</v>
      </c>
      <c r="E799" s="9" t="s">
        <v>1573</v>
      </c>
      <c r="F799" s="9" t="s">
        <v>1574</v>
      </c>
      <c r="G799" s="9" t="s">
        <v>142</v>
      </c>
      <c r="H799" s="9" t="s">
        <v>139</v>
      </c>
      <c r="I799" s="9" t="s">
        <v>143</v>
      </c>
      <c r="J799" s="9" t="s">
        <v>139</v>
      </c>
      <c r="K799" s="10">
        <v>37420.512314814812</v>
      </c>
    </row>
    <row r="800" spans="1:11" x14ac:dyDescent="0.25">
      <c r="A800" s="8">
        <v>1413</v>
      </c>
      <c r="B800" s="9" t="s">
        <v>9012</v>
      </c>
      <c r="C800" s="9" t="s">
        <v>1575</v>
      </c>
      <c r="D800" s="9" t="s">
        <v>139</v>
      </c>
      <c r="E800" s="9" t="s">
        <v>416</v>
      </c>
      <c r="F800" s="9" t="s">
        <v>1576</v>
      </c>
      <c r="G800" s="9" t="s">
        <v>142</v>
      </c>
      <c r="H800" s="9" t="s">
        <v>139</v>
      </c>
      <c r="I800" s="9" t="s">
        <v>143</v>
      </c>
      <c r="J800" s="9" t="s">
        <v>139</v>
      </c>
      <c r="K800" s="10">
        <v>37420.517002314817</v>
      </c>
    </row>
    <row r="801" spans="1:11" x14ac:dyDescent="0.25">
      <c r="A801" s="8">
        <v>1415</v>
      </c>
      <c r="B801" s="9" t="s">
        <v>9013</v>
      </c>
      <c r="C801" s="9" t="s">
        <v>1577</v>
      </c>
      <c r="D801" s="9" t="s">
        <v>1578</v>
      </c>
      <c r="E801" s="9" t="s">
        <v>1579</v>
      </c>
      <c r="F801" s="9" t="s">
        <v>1580</v>
      </c>
      <c r="G801" s="9" t="s">
        <v>142</v>
      </c>
      <c r="H801" s="9" t="s">
        <v>139</v>
      </c>
      <c r="I801" s="9" t="s">
        <v>143</v>
      </c>
      <c r="J801" s="9" t="s">
        <v>139</v>
      </c>
      <c r="K801" s="10">
        <v>37420.520312499997</v>
      </c>
    </row>
    <row r="802" spans="1:11" x14ac:dyDescent="0.25">
      <c r="A802" s="8">
        <v>1416</v>
      </c>
      <c r="B802" s="9" t="s">
        <v>9014</v>
      </c>
      <c r="C802" s="9" t="s">
        <v>1581</v>
      </c>
      <c r="D802" s="9" t="s">
        <v>139</v>
      </c>
      <c r="E802" s="9" t="s">
        <v>267</v>
      </c>
      <c r="F802" s="9" t="s">
        <v>141</v>
      </c>
      <c r="G802" s="9" t="s">
        <v>142</v>
      </c>
      <c r="H802" s="9" t="s">
        <v>139</v>
      </c>
      <c r="I802" s="9" t="s">
        <v>143</v>
      </c>
      <c r="J802" s="9" t="s">
        <v>139</v>
      </c>
      <c r="K802" s="10">
        <v>37420.521574074075</v>
      </c>
    </row>
    <row r="803" spans="1:11" x14ac:dyDescent="0.25">
      <c r="A803" s="8">
        <v>1417</v>
      </c>
      <c r="B803" s="9" t="s">
        <v>9015</v>
      </c>
      <c r="C803" s="9" t="s">
        <v>1582</v>
      </c>
      <c r="D803" s="9" t="s">
        <v>139</v>
      </c>
      <c r="E803" s="9" t="s">
        <v>1091</v>
      </c>
      <c r="F803" s="9" t="s">
        <v>1092</v>
      </c>
      <c r="G803" s="9" t="s">
        <v>142</v>
      </c>
      <c r="H803" s="9" t="s">
        <v>139</v>
      </c>
      <c r="I803" s="9" t="s">
        <v>143</v>
      </c>
      <c r="J803" s="9" t="s">
        <v>139</v>
      </c>
      <c r="K803" s="10">
        <v>37420.528032407405</v>
      </c>
    </row>
    <row r="804" spans="1:11" x14ac:dyDescent="0.25">
      <c r="A804" s="8">
        <v>1418</v>
      </c>
      <c r="B804" s="9" t="s">
        <v>9016</v>
      </c>
      <c r="C804" s="9" t="s">
        <v>1583</v>
      </c>
      <c r="D804" s="9" t="s">
        <v>1584</v>
      </c>
      <c r="E804" s="9" t="s">
        <v>1585</v>
      </c>
      <c r="F804" s="9" t="s">
        <v>1586</v>
      </c>
      <c r="G804" s="9" t="s">
        <v>142</v>
      </c>
      <c r="H804" s="9" t="s">
        <v>321</v>
      </c>
      <c r="I804" s="9" t="s">
        <v>143</v>
      </c>
      <c r="J804" s="9" t="s">
        <v>139</v>
      </c>
      <c r="K804" s="10">
        <v>37420.529467592591</v>
      </c>
    </row>
    <row r="805" spans="1:11" x14ac:dyDescent="0.25">
      <c r="A805" s="8">
        <v>1419</v>
      </c>
      <c r="B805" s="9" t="s">
        <v>9017</v>
      </c>
      <c r="C805" s="9" t="s">
        <v>1093</v>
      </c>
      <c r="D805" s="9" t="s">
        <v>139</v>
      </c>
      <c r="E805" s="9" t="s">
        <v>1091</v>
      </c>
      <c r="F805" s="9" t="s">
        <v>1092</v>
      </c>
      <c r="G805" s="9" t="s">
        <v>142</v>
      </c>
      <c r="H805" s="9" t="s">
        <v>258</v>
      </c>
      <c r="I805" s="9" t="s">
        <v>143</v>
      </c>
      <c r="J805" s="9" t="s">
        <v>139</v>
      </c>
      <c r="K805" s="10">
        <v>37420.531678240739</v>
      </c>
    </row>
    <row r="806" spans="1:11" x14ac:dyDescent="0.25">
      <c r="A806" s="8">
        <v>1420</v>
      </c>
      <c r="B806" s="9" t="s">
        <v>9018</v>
      </c>
      <c r="C806" s="9" t="s">
        <v>1587</v>
      </c>
      <c r="D806" s="9" t="s">
        <v>139</v>
      </c>
      <c r="E806" s="9" t="s">
        <v>1588</v>
      </c>
      <c r="F806" s="9" t="s">
        <v>1589</v>
      </c>
      <c r="G806" s="9" t="s">
        <v>142</v>
      </c>
      <c r="H806" s="9" t="s">
        <v>258</v>
      </c>
      <c r="I806" s="9" t="s">
        <v>143</v>
      </c>
      <c r="J806" s="9" t="s">
        <v>139</v>
      </c>
      <c r="K806" s="10">
        <v>37420.533125000002</v>
      </c>
    </row>
    <row r="807" spans="1:11" x14ac:dyDescent="0.25">
      <c r="A807" s="8">
        <v>1421</v>
      </c>
      <c r="B807" s="9" t="s">
        <v>9019</v>
      </c>
      <c r="C807" s="9" t="s">
        <v>1590</v>
      </c>
      <c r="D807" s="9" t="s">
        <v>139</v>
      </c>
      <c r="E807" s="9" t="s">
        <v>218</v>
      </c>
      <c r="F807" s="9" t="s">
        <v>141</v>
      </c>
      <c r="G807" s="9" t="s">
        <v>142</v>
      </c>
      <c r="H807" s="9" t="s">
        <v>321</v>
      </c>
      <c r="I807" s="9" t="s">
        <v>143</v>
      </c>
      <c r="J807" s="9" t="s">
        <v>139</v>
      </c>
      <c r="K807" s="10">
        <v>37420.53597222222</v>
      </c>
    </row>
    <row r="808" spans="1:11" x14ac:dyDescent="0.25">
      <c r="A808" s="8">
        <v>1422</v>
      </c>
      <c r="B808" s="9" t="s">
        <v>9020</v>
      </c>
      <c r="C808" s="9" t="s">
        <v>1591</v>
      </c>
      <c r="D808" s="9" t="s">
        <v>1592</v>
      </c>
      <c r="E808" s="9" t="s">
        <v>1570</v>
      </c>
      <c r="F808" s="9" t="s">
        <v>1571</v>
      </c>
      <c r="G808" s="9" t="s">
        <v>142</v>
      </c>
      <c r="H808" s="9" t="s">
        <v>258</v>
      </c>
      <c r="I808" s="9" t="s">
        <v>143</v>
      </c>
      <c r="J808" s="9" t="s">
        <v>139</v>
      </c>
      <c r="K808" s="10">
        <v>37420.537777777776</v>
      </c>
    </row>
    <row r="809" spans="1:11" x14ac:dyDescent="0.25">
      <c r="A809" s="8">
        <v>1424</v>
      </c>
      <c r="B809" s="9" t="s">
        <v>9021</v>
      </c>
      <c r="C809" s="9" t="s">
        <v>1593</v>
      </c>
      <c r="D809" s="9" t="s">
        <v>139</v>
      </c>
      <c r="E809" s="9" t="s">
        <v>416</v>
      </c>
      <c r="F809" s="9" t="s">
        <v>1576</v>
      </c>
      <c r="G809" s="9" t="s">
        <v>142</v>
      </c>
      <c r="H809" s="9" t="s">
        <v>258</v>
      </c>
      <c r="I809" s="9" t="s">
        <v>143</v>
      </c>
      <c r="J809" s="9" t="s">
        <v>139</v>
      </c>
      <c r="K809" s="10">
        <v>37420.543634259258</v>
      </c>
    </row>
    <row r="810" spans="1:11" x14ac:dyDescent="0.25">
      <c r="A810" s="8">
        <v>1425</v>
      </c>
      <c r="B810" s="9" t="s">
        <v>9022</v>
      </c>
      <c r="C810" s="9" t="s">
        <v>1594</v>
      </c>
      <c r="D810" s="9" t="s">
        <v>139</v>
      </c>
      <c r="E810" s="9" t="s">
        <v>769</v>
      </c>
      <c r="F810" s="9" t="s">
        <v>141</v>
      </c>
      <c r="G810" s="9" t="s">
        <v>142</v>
      </c>
      <c r="H810" s="9" t="s">
        <v>166</v>
      </c>
      <c r="I810" s="9" t="s">
        <v>143</v>
      </c>
      <c r="J810" s="9" t="s">
        <v>139</v>
      </c>
      <c r="K810" s="10">
        <v>37420.547025462962</v>
      </c>
    </row>
    <row r="811" spans="1:11" x14ac:dyDescent="0.25">
      <c r="A811" s="8">
        <v>1427</v>
      </c>
      <c r="B811" s="9" t="s">
        <v>9023</v>
      </c>
      <c r="C811" s="9" t="s">
        <v>1595</v>
      </c>
      <c r="D811" s="9" t="s">
        <v>139</v>
      </c>
      <c r="E811" s="9" t="s">
        <v>728</v>
      </c>
      <c r="F811" s="9" t="s">
        <v>729</v>
      </c>
      <c r="G811" s="9" t="s">
        <v>142</v>
      </c>
      <c r="H811" s="9" t="s">
        <v>258</v>
      </c>
      <c r="I811" s="9" t="s">
        <v>143</v>
      </c>
      <c r="J811" s="9" t="s">
        <v>139</v>
      </c>
      <c r="K811" s="10">
        <v>37420.557893518519</v>
      </c>
    </row>
    <row r="812" spans="1:11" x14ac:dyDescent="0.25">
      <c r="A812" s="8">
        <v>1428</v>
      </c>
      <c r="B812" s="9" t="s">
        <v>9024</v>
      </c>
      <c r="C812" s="9" t="s">
        <v>1596</v>
      </c>
      <c r="D812" s="9" t="s">
        <v>139</v>
      </c>
      <c r="E812" s="9" t="s">
        <v>292</v>
      </c>
      <c r="F812" s="9" t="s">
        <v>293</v>
      </c>
      <c r="G812" s="9" t="s">
        <v>142</v>
      </c>
      <c r="H812" s="9" t="s">
        <v>321</v>
      </c>
      <c r="I812" s="9" t="s">
        <v>143</v>
      </c>
      <c r="J812" s="9" t="s">
        <v>139</v>
      </c>
      <c r="K812" s="10">
        <v>37420.559282407405</v>
      </c>
    </row>
    <row r="813" spans="1:11" x14ac:dyDescent="0.25">
      <c r="A813" s="8">
        <v>1429</v>
      </c>
      <c r="B813" s="9" t="s">
        <v>9025</v>
      </c>
      <c r="C813" s="9" t="s">
        <v>1597</v>
      </c>
      <c r="D813" s="9" t="s">
        <v>139</v>
      </c>
      <c r="E813" s="9" t="s">
        <v>416</v>
      </c>
      <c r="F813" s="9" t="s">
        <v>1576</v>
      </c>
      <c r="G813" s="9" t="s">
        <v>142</v>
      </c>
      <c r="H813" s="9" t="s">
        <v>258</v>
      </c>
      <c r="I813" s="9" t="s">
        <v>143</v>
      </c>
      <c r="J813" s="9" t="s">
        <v>139</v>
      </c>
      <c r="K813" s="10">
        <v>37420.561759259261</v>
      </c>
    </row>
    <row r="814" spans="1:11" x14ac:dyDescent="0.25">
      <c r="A814" s="8">
        <v>1430</v>
      </c>
      <c r="B814" s="9" t="s">
        <v>9026</v>
      </c>
      <c r="C814" s="9" t="s">
        <v>1598</v>
      </c>
      <c r="D814" s="9" t="s">
        <v>139</v>
      </c>
      <c r="E814" s="9" t="s">
        <v>1599</v>
      </c>
      <c r="F814" s="9" t="s">
        <v>1600</v>
      </c>
      <c r="G814" s="9" t="s">
        <v>142</v>
      </c>
      <c r="H814" s="9" t="s">
        <v>241</v>
      </c>
      <c r="I814" s="9" t="s">
        <v>143</v>
      </c>
      <c r="J814" s="9" t="s">
        <v>139</v>
      </c>
      <c r="K814" s="10">
        <v>37420.563692129632</v>
      </c>
    </row>
    <row r="815" spans="1:11" x14ac:dyDescent="0.25">
      <c r="A815" s="8">
        <v>1431</v>
      </c>
      <c r="B815" s="9" t="s">
        <v>9027</v>
      </c>
      <c r="C815" s="9" t="s">
        <v>1601</v>
      </c>
      <c r="D815" s="9" t="s">
        <v>139</v>
      </c>
      <c r="E815" s="9" t="s">
        <v>229</v>
      </c>
      <c r="F815" s="9" t="s">
        <v>141</v>
      </c>
      <c r="G815" s="9" t="s">
        <v>142</v>
      </c>
      <c r="H815" s="9" t="s">
        <v>139</v>
      </c>
      <c r="I815" s="9" t="s">
        <v>143</v>
      </c>
      <c r="J815" s="9" t="s">
        <v>139</v>
      </c>
      <c r="K815" s="10">
        <v>37420.564814814818</v>
      </c>
    </row>
    <row r="816" spans="1:11" x14ac:dyDescent="0.25">
      <c r="A816" s="8">
        <v>1432</v>
      </c>
      <c r="B816" s="9" t="s">
        <v>9028</v>
      </c>
      <c r="C816" s="9" t="s">
        <v>1602</v>
      </c>
      <c r="D816" s="9" t="s">
        <v>1603</v>
      </c>
      <c r="E816" s="9" t="s">
        <v>191</v>
      </c>
      <c r="F816" s="9" t="s">
        <v>141</v>
      </c>
      <c r="G816" s="9" t="s">
        <v>142</v>
      </c>
      <c r="H816" s="9" t="s">
        <v>258</v>
      </c>
      <c r="I816" s="9" t="s">
        <v>143</v>
      </c>
      <c r="J816" s="9" t="s">
        <v>139</v>
      </c>
      <c r="K816" s="10">
        <v>37420.567569444444</v>
      </c>
    </row>
    <row r="817" spans="1:11" x14ac:dyDescent="0.25">
      <c r="A817" s="8">
        <v>1434</v>
      </c>
      <c r="B817" s="9" t="s">
        <v>9029</v>
      </c>
      <c r="C817" s="9" t="s">
        <v>1604</v>
      </c>
      <c r="D817" s="9" t="s">
        <v>139</v>
      </c>
      <c r="E817" s="9" t="s">
        <v>229</v>
      </c>
      <c r="F817" s="9" t="s">
        <v>141</v>
      </c>
      <c r="G817" s="9" t="s">
        <v>142</v>
      </c>
      <c r="H817" s="9" t="s">
        <v>241</v>
      </c>
      <c r="I817" s="9" t="s">
        <v>143</v>
      </c>
      <c r="J817" s="9" t="s">
        <v>139</v>
      </c>
      <c r="K817" s="10">
        <v>37420.571273148147</v>
      </c>
    </row>
    <row r="818" spans="1:11" x14ac:dyDescent="0.25">
      <c r="A818" s="8">
        <v>1435</v>
      </c>
      <c r="B818" s="9" t="s">
        <v>9030</v>
      </c>
      <c r="C818" s="9" t="s">
        <v>1605</v>
      </c>
      <c r="D818" s="9" t="s">
        <v>139</v>
      </c>
      <c r="E818" s="9" t="s">
        <v>1606</v>
      </c>
      <c r="F818" s="9" t="s">
        <v>1607</v>
      </c>
      <c r="G818" s="9" t="s">
        <v>142</v>
      </c>
      <c r="H818" s="9" t="s">
        <v>321</v>
      </c>
      <c r="I818" s="9" t="s">
        <v>143</v>
      </c>
      <c r="J818" s="9" t="s">
        <v>139</v>
      </c>
      <c r="K818" s="10">
        <v>37420.572384259256</v>
      </c>
    </row>
    <row r="819" spans="1:11" x14ac:dyDescent="0.25">
      <c r="A819" s="8">
        <v>1437</v>
      </c>
      <c r="B819" s="9" t="s">
        <v>9031</v>
      </c>
      <c r="C819" s="9" t="s">
        <v>1608</v>
      </c>
      <c r="D819" s="9" t="s">
        <v>139</v>
      </c>
      <c r="E819" s="9" t="s">
        <v>1050</v>
      </c>
      <c r="F819" s="9" t="s">
        <v>1609</v>
      </c>
      <c r="G819" s="9" t="s">
        <v>142</v>
      </c>
      <c r="H819" s="9" t="s">
        <v>1078</v>
      </c>
      <c r="I819" s="9" t="s">
        <v>143</v>
      </c>
      <c r="J819" s="9" t="s">
        <v>139</v>
      </c>
      <c r="K819" s="10">
        <v>37420.575833333336</v>
      </c>
    </row>
    <row r="820" spans="1:11" x14ac:dyDescent="0.25">
      <c r="A820" s="8">
        <v>1439</v>
      </c>
      <c r="B820" s="9" t="s">
        <v>5443</v>
      </c>
      <c r="C820" s="9" t="s">
        <v>1610</v>
      </c>
      <c r="D820" s="9" t="s">
        <v>1611</v>
      </c>
      <c r="E820" s="9" t="s">
        <v>1612</v>
      </c>
      <c r="F820" s="9" t="s">
        <v>1613</v>
      </c>
      <c r="G820" s="9" t="s">
        <v>142</v>
      </c>
      <c r="H820" s="9" t="s">
        <v>139</v>
      </c>
      <c r="I820" s="9" t="s">
        <v>411</v>
      </c>
      <c r="J820" s="9" t="s">
        <v>139</v>
      </c>
      <c r="K820" s="10">
        <v>37427.866365740738</v>
      </c>
    </row>
    <row r="821" spans="1:11" x14ac:dyDescent="0.25">
      <c r="A821" s="8">
        <v>1441</v>
      </c>
      <c r="B821" s="9" t="s">
        <v>5444</v>
      </c>
      <c r="C821" s="9" t="s">
        <v>1333</v>
      </c>
      <c r="D821" s="9" t="s">
        <v>1614</v>
      </c>
      <c r="E821" s="9" t="s">
        <v>1335</v>
      </c>
      <c r="F821" s="9" t="s">
        <v>1336</v>
      </c>
      <c r="G821" s="9" t="s">
        <v>142</v>
      </c>
      <c r="H821" s="9" t="s">
        <v>139</v>
      </c>
      <c r="I821" s="9" t="s">
        <v>411</v>
      </c>
      <c r="J821" s="9" t="s">
        <v>139</v>
      </c>
      <c r="K821" s="10">
        <v>37438.856539351851</v>
      </c>
    </row>
    <row r="822" spans="1:11" x14ac:dyDescent="0.25">
      <c r="A822" s="8">
        <v>1442</v>
      </c>
      <c r="B822" s="9" t="s">
        <v>9032</v>
      </c>
      <c r="C822" s="9" t="s">
        <v>1615</v>
      </c>
      <c r="D822" s="9" t="s">
        <v>139</v>
      </c>
      <c r="E822" s="9" t="s">
        <v>1616</v>
      </c>
      <c r="F822" s="9" t="s">
        <v>1617</v>
      </c>
      <c r="G822" s="9" t="s">
        <v>142</v>
      </c>
      <c r="H822" s="9" t="s">
        <v>321</v>
      </c>
      <c r="I822" s="9" t="s">
        <v>143</v>
      </c>
      <c r="J822" s="9" t="s">
        <v>139</v>
      </c>
      <c r="K822" s="10">
        <v>37441.614895833336</v>
      </c>
    </row>
    <row r="823" spans="1:11" x14ac:dyDescent="0.25">
      <c r="A823" s="8">
        <v>1443</v>
      </c>
      <c r="B823" s="9" t="s">
        <v>5445</v>
      </c>
      <c r="C823" s="9" t="s">
        <v>1618</v>
      </c>
      <c r="D823" s="9" t="s">
        <v>139</v>
      </c>
      <c r="E823" s="9" t="s">
        <v>1619</v>
      </c>
      <c r="F823" s="9" t="s">
        <v>1620</v>
      </c>
      <c r="G823" s="9" t="s">
        <v>142</v>
      </c>
      <c r="H823" s="9" t="s">
        <v>139</v>
      </c>
      <c r="I823" s="9" t="s">
        <v>411</v>
      </c>
      <c r="J823" s="9" t="s">
        <v>139</v>
      </c>
      <c r="K823" s="10">
        <v>37443.957743055558</v>
      </c>
    </row>
    <row r="824" spans="1:11" x14ac:dyDescent="0.25">
      <c r="A824" s="8">
        <v>1445</v>
      </c>
      <c r="B824" s="9" t="s">
        <v>5446</v>
      </c>
      <c r="C824" s="9" t="s">
        <v>1621</v>
      </c>
      <c r="D824" s="9" t="s">
        <v>1622</v>
      </c>
      <c r="E824" s="9" t="s">
        <v>1623</v>
      </c>
      <c r="F824" s="9" t="s">
        <v>1624</v>
      </c>
      <c r="G824" s="9" t="s">
        <v>142</v>
      </c>
      <c r="H824" s="9" t="s">
        <v>139</v>
      </c>
      <c r="I824" s="9" t="s">
        <v>411</v>
      </c>
      <c r="J824" s="9" t="s">
        <v>1625</v>
      </c>
      <c r="K824" s="10">
        <v>37448.716053240743</v>
      </c>
    </row>
    <row r="825" spans="1:11" x14ac:dyDescent="0.25">
      <c r="A825" s="8">
        <v>1447</v>
      </c>
      <c r="B825" s="9" t="s">
        <v>5447</v>
      </c>
      <c r="C825" s="9" t="s">
        <v>1626</v>
      </c>
      <c r="D825" s="9" t="s">
        <v>139</v>
      </c>
      <c r="E825" s="9" t="s">
        <v>756</v>
      </c>
      <c r="F825" s="9" t="s">
        <v>757</v>
      </c>
      <c r="G825" s="9" t="s">
        <v>142</v>
      </c>
      <c r="H825" s="9" t="s">
        <v>139</v>
      </c>
      <c r="I825" s="9" t="s">
        <v>411</v>
      </c>
      <c r="J825" s="9" t="s">
        <v>139</v>
      </c>
      <c r="K825" s="10">
        <v>37448.720960648148</v>
      </c>
    </row>
    <row r="826" spans="1:11" x14ac:dyDescent="0.25">
      <c r="A826" s="8">
        <v>1450</v>
      </c>
      <c r="B826" s="9" t="s">
        <v>5448</v>
      </c>
      <c r="C826" s="9" t="s">
        <v>1627</v>
      </c>
      <c r="D826" s="9" t="s">
        <v>139</v>
      </c>
      <c r="E826" s="9" t="s">
        <v>769</v>
      </c>
      <c r="F826" s="9" t="s">
        <v>141</v>
      </c>
      <c r="G826" s="9" t="s">
        <v>142</v>
      </c>
      <c r="H826" s="9" t="s">
        <v>166</v>
      </c>
      <c r="I826" s="9" t="s">
        <v>411</v>
      </c>
      <c r="J826" s="9" t="s">
        <v>139</v>
      </c>
      <c r="K826" s="10">
        <v>37448.729201388887</v>
      </c>
    </row>
    <row r="827" spans="1:11" x14ac:dyDescent="0.25">
      <c r="A827" s="8">
        <v>1452</v>
      </c>
      <c r="B827" s="9" t="s">
        <v>5449</v>
      </c>
      <c r="C827" s="9" t="s">
        <v>1628</v>
      </c>
      <c r="D827" s="9" t="s">
        <v>139</v>
      </c>
      <c r="E827" s="9" t="s">
        <v>1629</v>
      </c>
      <c r="F827" s="9" t="s">
        <v>169</v>
      </c>
      <c r="G827" s="9" t="s">
        <v>142</v>
      </c>
      <c r="H827" s="9" t="s">
        <v>139</v>
      </c>
      <c r="I827" s="9" t="s">
        <v>411</v>
      </c>
      <c r="J827" s="9" t="s">
        <v>139</v>
      </c>
      <c r="K827" s="10">
        <v>37448.732986111114</v>
      </c>
    </row>
    <row r="828" spans="1:11" x14ac:dyDescent="0.25">
      <c r="A828" s="8">
        <v>1454</v>
      </c>
      <c r="B828" s="9" t="s">
        <v>5450</v>
      </c>
      <c r="C828" s="9" t="s">
        <v>1630</v>
      </c>
      <c r="D828" s="9" t="s">
        <v>139</v>
      </c>
      <c r="E828" s="9" t="s">
        <v>1631</v>
      </c>
      <c r="F828" s="9" t="s">
        <v>1632</v>
      </c>
      <c r="G828" s="9" t="s">
        <v>142</v>
      </c>
      <c r="H828" s="9" t="s">
        <v>139</v>
      </c>
      <c r="I828" s="9" t="s">
        <v>411</v>
      </c>
      <c r="J828" s="9" t="s">
        <v>139</v>
      </c>
      <c r="K828" s="10">
        <v>37448.738599537035</v>
      </c>
    </row>
    <row r="829" spans="1:11" x14ac:dyDescent="0.25">
      <c r="A829" s="8">
        <v>1456</v>
      </c>
      <c r="B829" s="9" t="s">
        <v>5451</v>
      </c>
      <c r="C829" s="9" t="s">
        <v>1633</v>
      </c>
      <c r="D829" s="9" t="s">
        <v>139</v>
      </c>
      <c r="E829" s="9" t="s">
        <v>1634</v>
      </c>
      <c r="F829" s="9" t="s">
        <v>1635</v>
      </c>
      <c r="G829" s="9" t="s">
        <v>142</v>
      </c>
      <c r="H829" s="9" t="s">
        <v>139</v>
      </c>
      <c r="I829" s="9" t="s">
        <v>411</v>
      </c>
      <c r="J829" s="9" t="s">
        <v>139</v>
      </c>
      <c r="K829" s="10">
        <v>37448.75167824074</v>
      </c>
    </row>
    <row r="830" spans="1:11" x14ac:dyDescent="0.25">
      <c r="A830" s="8">
        <v>1457</v>
      </c>
      <c r="B830" s="9" t="s">
        <v>5452</v>
      </c>
      <c r="C830" s="9" t="s">
        <v>1636</v>
      </c>
      <c r="D830" s="9" t="s">
        <v>139</v>
      </c>
      <c r="E830" s="9" t="s">
        <v>1637</v>
      </c>
      <c r="F830" s="9" t="s">
        <v>1638</v>
      </c>
      <c r="G830" s="9" t="s">
        <v>142</v>
      </c>
      <c r="H830" s="9" t="s">
        <v>166</v>
      </c>
      <c r="I830" s="9" t="s">
        <v>411</v>
      </c>
      <c r="J830" s="9" t="s">
        <v>139</v>
      </c>
      <c r="K830" s="10">
        <v>37448.757326388892</v>
      </c>
    </row>
    <row r="831" spans="1:11" x14ac:dyDescent="0.25">
      <c r="A831" s="8">
        <v>1458</v>
      </c>
      <c r="B831" s="9" t="s">
        <v>5453</v>
      </c>
      <c r="C831" s="9" t="s">
        <v>1639</v>
      </c>
      <c r="D831" s="9" t="s">
        <v>139</v>
      </c>
      <c r="E831" s="9" t="s">
        <v>1640</v>
      </c>
      <c r="F831" s="9" t="s">
        <v>1641</v>
      </c>
      <c r="G831" s="9" t="s">
        <v>142</v>
      </c>
      <c r="H831" s="9" t="s">
        <v>139</v>
      </c>
      <c r="I831" s="9" t="s">
        <v>411</v>
      </c>
      <c r="J831" s="9" t="s">
        <v>139</v>
      </c>
      <c r="K831" s="10">
        <v>37448.758958333332</v>
      </c>
    </row>
    <row r="832" spans="1:11" x14ac:dyDescent="0.25">
      <c r="A832" s="8">
        <v>1463</v>
      </c>
      <c r="B832" s="9" t="s">
        <v>5454</v>
      </c>
      <c r="C832" s="9" t="s">
        <v>1642</v>
      </c>
      <c r="D832" s="9" t="s">
        <v>139</v>
      </c>
      <c r="E832" s="9" t="s">
        <v>1643</v>
      </c>
      <c r="F832" s="9" t="s">
        <v>1644</v>
      </c>
      <c r="G832" s="9" t="s">
        <v>142</v>
      </c>
      <c r="H832" s="9" t="s">
        <v>139</v>
      </c>
      <c r="I832" s="9" t="s">
        <v>411</v>
      </c>
      <c r="J832" s="9" t="s">
        <v>139</v>
      </c>
      <c r="K832" s="10">
        <v>37448.777037037034</v>
      </c>
    </row>
    <row r="833" spans="1:11" x14ac:dyDescent="0.25">
      <c r="A833" s="8">
        <v>1464</v>
      </c>
      <c r="B833" s="9" t="s">
        <v>5455</v>
      </c>
      <c r="C833" s="9" t="s">
        <v>1645</v>
      </c>
      <c r="D833" s="9" t="s">
        <v>139</v>
      </c>
      <c r="E833" s="9" t="s">
        <v>1646</v>
      </c>
      <c r="F833" s="9" t="s">
        <v>1647</v>
      </c>
      <c r="G833" s="9" t="s">
        <v>142</v>
      </c>
      <c r="H833" s="9" t="s">
        <v>139</v>
      </c>
      <c r="I833" s="9" t="s">
        <v>411</v>
      </c>
      <c r="J833" s="9" t="s">
        <v>139</v>
      </c>
      <c r="K833" s="10">
        <v>37448.778391203705</v>
      </c>
    </row>
    <row r="834" spans="1:11" x14ac:dyDescent="0.25">
      <c r="A834" s="8">
        <v>1466</v>
      </c>
      <c r="B834" s="9" t="s">
        <v>5456</v>
      </c>
      <c r="C834" s="9" t="s">
        <v>1648</v>
      </c>
      <c r="D834" s="9" t="s">
        <v>139</v>
      </c>
      <c r="E834" s="9" t="s">
        <v>1649</v>
      </c>
      <c r="F834" s="9" t="s">
        <v>1650</v>
      </c>
      <c r="G834" s="9" t="s">
        <v>142</v>
      </c>
      <c r="H834" s="9" t="s">
        <v>139</v>
      </c>
      <c r="I834" s="9" t="s">
        <v>411</v>
      </c>
      <c r="J834" s="9" t="s">
        <v>139</v>
      </c>
      <c r="K834" s="10">
        <v>37448.780960648146</v>
      </c>
    </row>
    <row r="835" spans="1:11" x14ac:dyDescent="0.25">
      <c r="A835" s="8">
        <v>1468</v>
      </c>
      <c r="B835" s="9" t="s">
        <v>9033</v>
      </c>
      <c r="C835" s="9" t="s">
        <v>1651</v>
      </c>
      <c r="D835" s="9" t="s">
        <v>139</v>
      </c>
      <c r="E835" s="9" t="s">
        <v>328</v>
      </c>
      <c r="F835" s="9" t="s">
        <v>141</v>
      </c>
      <c r="G835" s="9" t="s">
        <v>142</v>
      </c>
      <c r="H835" s="9" t="s">
        <v>321</v>
      </c>
      <c r="I835" s="9" t="s">
        <v>143</v>
      </c>
      <c r="J835" s="9" t="s">
        <v>139</v>
      </c>
      <c r="K835" s="10">
        <v>37448.795185185183</v>
      </c>
    </row>
    <row r="836" spans="1:11" x14ac:dyDescent="0.25">
      <c r="A836" s="8">
        <v>1469</v>
      </c>
      <c r="B836" s="9" t="s">
        <v>9034</v>
      </c>
      <c r="C836" s="9" t="s">
        <v>1652</v>
      </c>
      <c r="D836" s="9" t="s">
        <v>139</v>
      </c>
      <c r="E836" s="9" t="s">
        <v>328</v>
      </c>
      <c r="F836" s="9" t="s">
        <v>141</v>
      </c>
      <c r="G836" s="9" t="s">
        <v>142</v>
      </c>
      <c r="H836" s="9" t="s">
        <v>321</v>
      </c>
      <c r="I836" s="9" t="s">
        <v>143</v>
      </c>
      <c r="J836" s="9" t="s">
        <v>139</v>
      </c>
      <c r="K836" s="10">
        <v>37448.797523148147</v>
      </c>
    </row>
    <row r="837" spans="1:11" x14ac:dyDescent="0.25">
      <c r="A837" s="8">
        <v>1471</v>
      </c>
      <c r="B837" s="9" t="s">
        <v>5457</v>
      </c>
      <c r="C837" s="9" t="s">
        <v>1653</v>
      </c>
      <c r="D837" s="9" t="s">
        <v>139</v>
      </c>
      <c r="E837" s="9" t="s">
        <v>1654</v>
      </c>
      <c r="F837" s="9" t="s">
        <v>1655</v>
      </c>
      <c r="G837" s="9" t="s">
        <v>142</v>
      </c>
      <c r="H837" s="9" t="s">
        <v>139</v>
      </c>
      <c r="I837" s="9" t="s">
        <v>411</v>
      </c>
      <c r="J837" s="9" t="s">
        <v>139</v>
      </c>
      <c r="K837" s="10">
        <v>37448.800173611111</v>
      </c>
    </row>
    <row r="838" spans="1:11" x14ac:dyDescent="0.25">
      <c r="A838" s="8">
        <v>1472</v>
      </c>
      <c r="B838" s="9" t="s">
        <v>5458</v>
      </c>
      <c r="C838" s="9" t="s">
        <v>1656</v>
      </c>
      <c r="D838" s="9" t="s">
        <v>139</v>
      </c>
      <c r="E838" s="9" t="s">
        <v>1657</v>
      </c>
      <c r="F838" s="9" t="s">
        <v>1658</v>
      </c>
      <c r="G838" s="9" t="s">
        <v>142</v>
      </c>
      <c r="H838" s="9" t="s">
        <v>139</v>
      </c>
      <c r="I838" s="9" t="s">
        <v>411</v>
      </c>
      <c r="J838" s="9" t="s">
        <v>139</v>
      </c>
      <c r="K838" s="10">
        <v>37449.482511574075</v>
      </c>
    </row>
    <row r="839" spans="1:11" x14ac:dyDescent="0.25">
      <c r="A839" s="8">
        <v>1476</v>
      </c>
      <c r="B839" s="9" t="s">
        <v>5459</v>
      </c>
      <c r="C839" s="9" t="s">
        <v>1659</v>
      </c>
      <c r="D839" s="9" t="s">
        <v>139</v>
      </c>
      <c r="E839" s="9" t="s">
        <v>1300</v>
      </c>
      <c r="F839" s="9" t="s">
        <v>1301</v>
      </c>
      <c r="G839" s="9" t="s">
        <v>142</v>
      </c>
      <c r="H839" s="9" t="s">
        <v>166</v>
      </c>
      <c r="I839" s="9" t="s">
        <v>411</v>
      </c>
      <c r="J839" s="9" t="s">
        <v>139</v>
      </c>
      <c r="K839" s="10">
        <v>37449.515277777777</v>
      </c>
    </row>
    <row r="840" spans="1:11" x14ac:dyDescent="0.25">
      <c r="A840" s="8">
        <v>1478</v>
      </c>
      <c r="B840" s="9" t="s">
        <v>5460</v>
      </c>
      <c r="C840" s="9" t="s">
        <v>1660</v>
      </c>
      <c r="D840" s="9" t="s">
        <v>139</v>
      </c>
      <c r="E840" s="9" t="s">
        <v>1661</v>
      </c>
      <c r="F840" s="9" t="s">
        <v>1662</v>
      </c>
      <c r="G840" s="9" t="s">
        <v>142</v>
      </c>
      <c r="H840" s="9" t="s">
        <v>139</v>
      </c>
      <c r="I840" s="9" t="s">
        <v>411</v>
      </c>
      <c r="J840" s="9" t="s">
        <v>1663</v>
      </c>
      <c r="K840" s="10">
        <v>37449.525671296295</v>
      </c>
    </row>
    <row r="841" spans="1:11" x14ac:dyDescent="0.25">
      <c r="A841" s="8">
        <v>1479</v>
      </c>
      <c r="B841" s="9" t="s">
        <v>5461</v>
      </c>
      <c r="C841" s="9" t="s">
        <v>1664</v>
      </c>
      <c r="D841" s="9" t="s">
        <v>139</v>
      </c>
      <c r="E841" s="9" t="s">
        <v>1649</v>
      </c>
      <c r="F841" s="9" t="s">
        <v>1650</v>
      </c>
      <c r="G841" s="9" t="s">
        <v>142</v>
      </c>
      <c r="H841" s="9" t="s">
        <v>139</v>
      </c>
      <c r="I841" s="9" t="s">
        <v>411</v>
      </c>
      <c r="J841" s="9" t="s">
        <v>139</v>
      </c>
      <c r="K841" s="10">
        <v>37449.527037037034</v>
      </c>
    </row>
    <row r="842" spans="1:11" x14ac:dyDescent="0.25">
      <c r="A842" s="8">
        <v>1481</v>
      </c>
      <c r="B842" s="9" t="s">
        <v>5462</v>
      </c>
      <c r="C842" s="9" t="s">
        <v>1665</v>
      </c>
      <c r="D842" s="9" t="s">
        <v>139</v>
      </c>
      <c r="E842" s="9" t="s">
        <v>1666</v>
      </c>
      <c r="F842" s="9" t="s">
        <v>1667</v>
      </c>
      <c r="G842" s="9" t="s">
        <v>142</v>
      </c>
      <c r="H842" s="9" t="s">
        <v>166</v>
      </c>
      <c r="I842" s="9" t="s">
        <v>411</v>
      </c>
      <c r="J842" s="9" t="s">
        <v>1668</v>
      </c>
      <c r="K842" s="10">
        <v>37449.529467592591</v>
      </c>
    </row>
    <row r="843" spans="1:11" x14ac:dyDescent="0.25">
      <c r="A843" s="8">
        <v>1482</v>
      </c>
      <c r="B843" s="9" t="s">
        <v>5463</v>
      </c>
      <c r="C843" s="9" t="s">
        <v>1669</v>
      </c>
      <c r="D843" s="9" t="s">
        <v>139</v>
      </c>
      <c r="E843" s="9" t="s">
        <v>1670</v>
      </c>
      <c r="F843" s="9" t="s">
        <v>1671</v>
      </c>
      <c r="G843" s="9" t="s">
        <v>142</v>
      </c>
      <c r="H843" s="9" t="s">
        <v>139</v>
      </c>
      <c r="I843" s="9" t="s">
        <v>411</v>
      </c>
      <c r="J843" s="9" t="s">
        <v>1672</v>
      </c>
      <c r="K843" s="10">
        <v>37449.530601851853</v>
      </c>
    </row>
    <row r="844" spans="1:11" x14ac:dyDescent="0.25">
      <c r="A844" s="8">
        <v>1483</v>
      </c>
      <c r="B844" s="9" t="s">
        <v>5464</v>
      </c>
      <c r="C844" s="9" t="s">
        <v>1673</v>
      </c>
      <c r="D844" s="9" t="s">
        <v>139</v>
      </c>
      <c r="E844" s="9" t="s">
        <v>1674</v>
      </c>
      <c r="F844" s="9" t="s">
        <v>1675</v>
      </c>
      <c r="G844" s="9" t="s">
        <v>142</v>
      </c>
      <c r="H844" s="9" t="s">
        <v>139</v>
      </c>
      <c r="I844" s="9" t="s">
        <v>411</v>
      </c>
      <c r="J844" s="9" t="s">
        <v>139</v>
      </c>
      <c r="K844" s="10">
        <v>37449.532314814816</v>
      </c>
    </row>
    <row r="845" spans="1:11" x14ac:dyDescent="0.25">
      <c r="A845" s="8">
        <v>1484</v>
      </c>
      <c r="B845" s="9" t="s">
        <v>5465</v>
      </c>
      <c r="C845" s="9" t="s">
        <v>1676</v>
      </c>
      <c r="D845" s="9" t="s">
        <v>1677</v>
      </c>
      <c r="E845" s="9" t="s">
        <v>1678</v>
      </c>
      <c r="F845" s="9" t="s">
        <v>1679</v>
      </c>
      <c r="G845" s="9" t="s">
        <v>142</v>
      </c>
      <c r="H845" s="9" t="s">
        <v>166</v>
      </c>
      <c r="I845" s="9" t="s">
        <v>411</v>
      </c>
      <c r="J845" s="9" t="s">
        <v>1680</v>
      </c>
      <c r="K845" s="10">
        <v>37449.533935185187</v>
      </c>
    </row>
    <row r="846" spans="1:11" x14ac:dyDescent="0.25">
      <c r="A846" s="8">
        <v>1485</v>
      </c>
      <c r="B846" s="9" t="s">
        <v>5466</v>
      </c>
      <c r="C846" s="9" t="s">
        <v>1681</v>
      </c>
      <c r="D846" s="9" t="s">
        <v>139</v>
      </c>
      <c r="E846" s="9" t="s">
        <v>1682</v>
      </c>
      <c r="F846" s="9" t="s">
        <v>1683</v>
      </c>
      <c r="G846" s="9" t="s">
        <v>142</v>
      </c>
      <c r="H846" s="9" t="s">
        <v>139</v>
      </c>
      <c r="I846" s="9" t="s">
        <v>411</v>
      </c>
      <c r="J846" s="9" t="s">
        <v>1684</v>
      </c>
      <c r="K846" s="10">
        <v>37449.536631944444</v>
      </c>
    </row>
    <row r="847" spans="1:11" x14ac:dyDescent="0.25">
      <c r="A847" s="8">
        <v>1486</v>
      </c>
      <c r="B847" s="9" t="s">
        <v>5467</v>
      </c>
      <c r="C847" s="9" t="s">
        <v>1685</v>
      </c>
      <c r="D847" s="9" t="s">
        <v>139</v>
      </c>
      <c r="E847" s="9" t="s">
        <v>1686</v>
      </c>
      <c r="F847" s="9" t="s">
        <v>1687</v>
      </c>
      <c r="G847" s="9" t="s">
        <v>142</v>
      </c>
      <c r="H847" s="9" t="s">
        <v>166</v>
      </c>
      <c r="I847" s="9" t="s">
        <v>411</v>
      </c>
      <c r="J847" s="9" t="s">
        <v>1688</v>
      </c>
      <c r="K847" s="10">
        <v>37449.538738425923</v>
      </c>
    </row>
    <row r="848" spans="1:11" x14ac:dyDescent="0.25">
      <c r="A848" s="8">
        <v>1488</v>
      </c>
      <c r="B848" s="9" t="s">
        <v>5468</v>
      </c>
      <c r="C848" s="9" t="s">
        <v>1689</v>
      </c>
      <c r="D848" s="9" t="s">
        <v>139</v>
      </c>
      <c r="E848" s="9" t="s">
        <v>1690</v>
      </c>
      <c r="F848" s="9" t="s">
        <v>1691</v>
      </c>
      <c r="G848" s="9" t="s">
        <v>142</v>
      </c>
      <c r="H848" s="9" t="s">
        <v>139</v>
      </c>
      <c r="I848" s="9" t="s">
        <v>411</v>
      </c>
      <c r="J848" s="9" t="s">
        <v>139</v>
      </c>
      <c r="K848" s="10">
        <v>37449.54483796296</v>
      </c>
    </row>
    <row r="849" spans="1:11" x14ac:dyDescent="0.25">
      <c r="A849" s="8">
        <v>1490</v>
      </c>
      <c r="B849" s="9" t="s">
        <v>5469</v>
      </c>
      <c r="C849" s="9" t="s">
        <v>1692</v>
      </c>
      <c r="D849" s="9" t="s">
        <v>139</v>
      </c>
      <c r="E849" s="9" t="s">
        <v>1309</v>
      </c>
      <c r="F849" s="9" t="s">
        <v>1693</v>
      </c>
      <c r="G849" s="9" t="s">
        <v>142</v>
      </c>
      <c r="H849" s="9" t="s">
        <v>139</v>
      </c>
      <c r="I849" s="9" t="s">
        <v>411</v>
      </c>
      <c r="J849" s="9" t="s">
        <v>139</v>
      </c>
      <c r="K849" s="10">
        <v>37449.55574074074</v>
      </c>
    </row>
    <row r="850" spans="1:11" x14ac:dyDescent="0.25">
      <c r="A850" s="8">
        <v>1493</v>
      </c>
      <c r="B850" s="9" t="s">
        <v>5470</v>
      </c>
      <c r="C850" s="9" t="s">
        <v>1694</v>
      </c>
      <c r="D850" s="9" t="s">
        <v>139</v>
      </c>
      <c r="E850" s="9" t="s">
        <v>1695</v>
      </c>
      <c r="F850" s="9" t="s">
        <v>1696</v>
      </c>
      <c r="G850" s="9" t="s">
        <v>142</v>
      </c>
      <c r="H850" s="9" t="s">
        <v>139</v>
      </c>
      <c r="I850" s="9" t="s">
        <v>411</v>
      </c>
      <c r="J850" s="9" t="s">
        <v>1697</v>
      </c>
      <c r="K850" s="10">
        <v>37449.561261574076</v>
      </c>
    </row>
    <row r="851" spans="1:11" x14ac:dyDescent="0.25">
      <c r="A851" s="8">
        <v>1498</v>
      </c>
      <c r="B851" s="9" t="s">
        <v>5471</v>
      </c>
      <c r="C851" s="9" t="s">
        <v>1698</v>
      </c>
      <c r="D851" s="9" t="s">
        <v>139</v>
      </c>
      <c r="E851" s="9" t="s">
        <v>596</v>
      </c>
      <c r="F851" s="9" t="s">
        <v>597</v>
      </c>
      <c r="G851" s="9" t="s">
        <v>142</v>
      </c>
      <c r="H851" s="9" t="s">
        <v>139</v>
      </c>
      <c r="I851" s="9" t="s">
        <v>411</v>
      </c>
      <c r="J851" s="9" t="s">
        <v>139</v>
      </c>
      <c r="K851" s="10">
        <v>37453.720486111109</v>
      </c>
    </row>
    <row r="852" spans="1:11" x14ac:dyDescent="0.25">
      <c r="A852" s="8">
        <v>1499</v>
      </c>
      <c r="B852" s="9" t="s">
        <v>5472</v>
      </c>
      <c r="C852" s="9" t="s">
        <v>1699</v>
      </c>
      <c r="D852" s="9" t="s">
        <v>139</v>
      </c>
      <c r="E852" s="9" t="s">
        <v>1700</v>
      </c>
      <c r="F852" s="9" t="s">
        <v>1701</v>
      </c>
      <c r="G852" s="9" t="s">
        <v>142</v>
      </c>
      <c r="H852" s="9" t="s">
        <v>139</v>
      </c>
      <c r="I852" s="9" t="s">
        <v>411</v>
      </c>
      <c r="J852" s="9" t="s">
        <v>139</v>
      </c>
      <c r="K852" s="10">
        <v>37453.722453703704</v>
      </c>
    </row>
    <row r="853" spans="1:11" x14ac:dyDescent="0.25">
      <c r="A853" s="8">
        <v>1502</v>
      </c>
      <c r="B853" s="9" t="s">
        <v>5473</v>
      </c>
      <c r="C853" s="9" t="s">
        <v>1702</v>
      </c>
      <c r="D853" s="9" t="s">
        <v>139</v>
      </c>
      <c r="E853" s="9" t="s">
        <v>1619</v>
      </c>
      <c r="F853" s="9" t="s">
        <v>1703</v>
      </c>
      <c r="G853" s="9" t="s">
        <v>142</v>
      </c>
      <c r="H853" s="9" t="s">
        <v>139</v>
      </c>
      <c r="I853" s="9" t="s">
        <v>411</v>
      </c>
      <c r="J853" s="9" t="s">
        <v>139</v>
      </c>
      <c r="K853" s="10">
        <v>37453.738935185182</v>
      </c>
    </row>
    <row r="854" spans="1:11" x14ac:dyDescent="0.25">
      <c r="A854" s="8">
        <v>1503</v>
      </c>
      <c r="B854" s="9" t="s">
        <v>5474</v>
      </c>
      <c r="C854" s="9" t="s">
        <v>1704</v>
      </c>
      <c r="D854" s="9" t="s">
        <v>139</v>
      </c>
      <c r="E854" s="9" t="s">
        <v>1619</v>
      </c>
      <c r="F854" s="9" t="s">
        <v>1703</v>
      </c>
      <c r="G854" s="9" t="s">
        <v>142</v>
      </c>
      <c r="H854" s="9" t="s">
        <v>139</v>
      </c>
      <c r="I854" s="9" t="s">
        <v>411</v>
      </c>
      <c r="J854" s="9" t="s">
        <v>139</v>
      </c>
      <c r="K854" s="10">
        <v>37453.740289351852</v>
      </c>
    </row>
    <row r="855" spans="1:11" x14ac:dyDescent="0.25">
      <c r="A855" s="8">
        <v>1504</v>
      </c>
      <c r="B855" s="9" t="s">
        <v>5475</v>
      </c>
      <c r="C855" s="9" t="s">
        <v>1705</v>
      </c>
      <c r="D855" s="9" t="s">
        <v>139</v>
      </c>
      <c r="E855" s="9" t="s">
        <v>1619</v>
      </c>
      <c r="F855" s="9" t="s">
        <v>1703</v>
      </c>
      <c r="G855" s="9" t="s">
        <v>142</v>
      </c>
      <c r="H855" s="9" t="s">
        <v>139</v>
      </c>
      <c r="I855" s="9" t="s">
        <v>411</v>
      </c>
      <c r="J855" s="9" t="s">
        <v>139</v>
      </c>
      <c r="K855" s="10">
        <v>37453.741203703707</v>
      </c>
    </row>
    <row r="856" spans="1:11" x14ac:dyDescent="0.25">
      <c r="A856" s="8">
        <v>1506</v>
      </c>
      <c r="B856" s="9" t="s">
        <v>5476</v>
      </c>
      <c r="C856" s="9" t="s">
        <v>1706</v>
      </c>
      <c r="D856" s="9" t="s">
        <v>139</v>
      </c>
      <c r="E856" s="9" t="s">
        <v>1619</v>
      </c>
      <c r="F856" s="9" t="s">
        <v>1703</v>
      </c>
      <c r="G856" s="9" t="s">
        <v>142</v>
      </c>
      <c r="H856" s="9" t="s">
        <v>139</v>
      </c>
      <c r="I856" s="9" t="s">
        <v>411</v>
      </c>
      <c r="J856" s="9" t="s">
        <v>139</v>
      </c>
      <c r="K856" s="10">
        <v>37453.74428240741</v>
      </c>
    </row>
    <row r="857" spans="1:11" x14ac:dyDescent="0.25">
      <c r="A857" s="8">
        <v>1507</v>
      </c>
      <c r="B857" s="9" t="s">
        <v>5477</v>
      </c>
      <c r="C857" s="9" t="s">
        <v>1707</v>
      </c>
      <c r="D857" s="9" t="s">
        <v>139</v>
      </c>
      <c r="E857" s="9" t="s">
        <v>1619</v>
      </c>
      <c r="F857" s="9" t="s">
        <v>1703</v>
      </c>
      <c r="G857" s="9" t="s">
        <v>142</v>
      </c>
      <c r="H857" s="9" t="s">
        <v>139</v>
      </c>
      <c r="I857" s="9" t="s">
        <v>411</v>
      </c>
      <c r="J857" s="9" t="s">
        <v>139</v>
      </c>
      <c r="K857" s="10">
        <v>37453.745486111111</v>
      </c>
    </row>
    <row r="858" spans="1:11" x14ac:dyDescent="0.25">
      <c r="A858" s="8">
        <v>1510</v>
      </c>
      <c r="B858" s="9" t="s">
        <v>5478</v>
      </c>
      <c r="C858" s="9" t="s">
        <v>1708</v>
      </c>
      <c r="D858" s="9" t="s">
        <v>139</v>
      </c>
      <c r="E858" s="9" t="s">
        <v>1619</v>
      </c>
      <c r="F858" s="9" t="s">
        <v>1703</v>
      </c>
      <c r="G858" s="9" t="s">
        <v>142</v>
      </c>
      <c r="H858" s="9" t="s">
        <v>139</v>
      </c>
      <c r="I858" s="9" t="s">
        <v>411</v>
      </c>
      <c r="J858" s="9" t="s">
        <v>139</v>
      </c>
      <c r="K858" s="10">
        <v>37453.750763888886</v>
      </c>
    </row>
    <row r="859" spans="1:11" x14ac:dyDescent="0.25">
      <c r="A859" s="8">
        <v>1512</v>
      </c>
      <c r="B859" s="9" t="s">
        <v>5479</v>
      </c>
      <c r="C859" s="9" t="s">
        <v>1709</v>
      </c>
      <c r="D859" s="9" t="s">
        <v>139</v>
      </c>
      <c r="E859" s="9" t="s">
        <v>1619</v>
      </c>
      <c r="F859" s="9" t="s">
        <v>1703</v>
      </c>
      <c r="G859" s="9" t="s">
        <v>142</v>
      </c>
      <c r="H859" s="9" t="s">
        <v>139</v>
      </c>
      <c r="I859" s="9" t="s">
        <v>411</v>
      </c>
      <c r="J859" s="9" t="s">
        <v>1710</v>
      </c>
      <c r="K859" s="10">
        <v>37453.755543981482</v>
      </c>
    </row>
    <row r="860" spans="1:11" x14ac:dyDescent="0.25">
      <c r="A860" s="8">
        <v>1514</v>
      </c>
      <c r="B860" s="9" t="s">
        <v>5480</v>
      </c>
      <c r="C860" s="9" t="s">
        <v>1711</v>
      </c>
      <c r="D860" s="9" t="s">
        <v>139</v>
      </c>
      <c r="E860" s="9" t="s">
        <v>1619</v>
      </c>
      <c r="F860" s="9" t="s">
        <v>1703</v>
      </c>
      <c r="G860" s="9" t="s">
        <v>142</v>
      </c>
      <c r="H860" s="9" t="s">
        <v>139</v>
      </c>
      <c r="I860" s="9" t="s">
        <v>411</v>
      </c>
      <c r="J860" s="9" t="s">
        <v>139</v>
      </c>
      <c r="K860" s="10">
        <v>37453.757303240738</v>
      </c>
    </row>
    <row r="861" spans="1:11" x14ac:dyDescent="0.25">
      <c r="A861" s="8">
        <v>1516</v>
      </c>
      <c r="B861" s="9" t="s">
        <v>9035</v>
      </c>
      <c r="C861" s="9" t="s">
        <v>1712</v>
      </c>
      <c r="D861" s="9" t="s">
        <v>139</v>
      </c>
      <c r="E861" s="9" t="s">
        <v>1713</v>
      </c>
      <c r="F861" s="9" t="s">
        <v>1714</v>
      </c>
      <c r="G861" s="9" t="s">
        <v>142</v>
      </c>
      <c r="H861" s="9" t="s">
        <v>139</v>
      </c>
      <c r="I861" s="9" t="s">
        <v>143</v>
      </c>
      <c r="J861" s="9" t="s">
        <v>139</v>
      </c>
      <c r="K861" s="10">
        <v>37456.710717592592</v>
      </c>
    </row>
    <row r="862" spans="1:11" x14ac:dyDescent="0.25">
      <c r="A862" s="8">
        <v>1517</v>
      </c>
      <c r="B862" s="9" t="s">
        <v>5481</v>
      </c>
      <c r="C862" s="9" t="s">
        <v>1715</v>
      </c>
      <c r="D862" s="9" t="s">
        <v>139</v>
      </c>
      <c r="E862" s="9" t="s">
        <v>1335</v>
      </c>
      <c r="F862" s="9" t="s">
        <v>1336</v>
      </c>
      <c r="G862" s="9" t="s">
        <v>142</v>
      </c>
      <c r="H862" s="9" t="s">
        <v>241</v>
      </c>
      <c r="I862" s="9" t="s">
        <v>411</v>
      </c>
      <c r="J862" s="9" t="s">
        <v>139</v>
      </c>
      <c r="K862" s="10">
        <v>37483.226898148147</v>
      </c>
    </row>
    <row r="863" spans="1:11" x14ac:dyDescent="0.25">
      <c r="A863" s="8">
        <v>1524</v>
      </c>
      <c r="B863" s="9" t="s">
        <v>9036</v>
      </c>
      <c r="C863" s="9" t="s">
        <v>1716</v>
      </c>
      <c r="D863" s="9" t="s">
        <v>139</v>
      </c>
      <c r="E863" s="9" t="s">
        <v>229</v>
      </c>
      <c r="F863" s="9" t="s">
        <v>141</v>
      </c>
      <c r="G863" s="9" t="s">
        <v>142</v>
      </c>
      <c r="H863" s="9" t="s">
        <v>139</v>
      </c>
      <c r="I863" s="9" t="s">
        <v>143</v>
      </c>
      <c r="J863" s="9" t="s">
        <v>139</v>
      </c>
      <c r="K863" s="10">
        <v>37489.673981481479</v>
      </c>
    </row>
    <row r="864" spans="1:11" x14ac:dyDescent="0.25">
      <c r="A864" s="8">
        <v>1527</v>
      </c>
      <c r="B864" s="9" t="s">
        <v>5482</v>
      </c>
      <c r="C864" s="9" t="s">
        <v>1717</v>
      </c>
      <c r="D864" s="9" t="s">
        <v>139</v>
      </c>
      <c r="E864" s="9" t="s">
        <v>1718</v>
      </c>
      <c r="F864" s="9" t="s">
        <v>1719</v>
      </c>
      <c r="G864" s="9" t="s">
        <v>142</v>
      </c>
      <c r="H864" s="9" t="s">
        <v>139</v>
      </c>
      <c r="I864" s="9" t="s">
        <v>411</v>
      </c>
      <c r="J864" s="9" t="s">
        <v>1720</v>
      </c>
      <c r="K864" s="10">
        <v>37496.67015046296</v>
      </c>
    </row>
    <row r="865" spans="1:11" x14ac:dyDescent="0.25">
      <c r="A865" s="8">
        <v>1528</v>
      </c>
      <c r="B865" s="9" t="s">
        <v>5483</v>
      </c>
      <c r="C865" s="9" t="s">
        <v>139</v>
      </c>
      <c r="D865" s="9" t="s">
        <v>139</v>
      </c>
      <c r="E865" s="9">
        <v>75</v>
      </c>
      <c r="F865" s="9" t="s">
        <v>413</v>
      </c>
      <c r="G865" s="9" t="s">
        <v>142</v>
      </c>
      <c r="H865" s="9" t="s">
        <v>139</v>
      </c>
      <c r="I865" s="9" t="s">
        <v>411</v>
      </c>
      <c r="J865" s="9" t="s">
        <v>139</v>
      </c>
      <c r="K865" s="10">
        <v>37496.717557870368</v>
      </c>
    </row>
    <row r="866" spans="1:11" x14ac:dyDescent="0.25">
      <c r="A866" s="8">
        <v>1529</v>
      </c>
      <c r="B866" s="9" t="s">
        <v>5484</v>
      </c>
      <c r="C866" s="9" t="s">
        <v>1721</v>
      </c>
      <c r="D866" s="9" t="s">
        <v>139</v>
      </c>
      <c r="E866" s="9" t="s">
        <v>1722</v>
      </c>
      <c r="F866" s="9" t="s">
        <v>1723</v>
      </c>
      <c r="G866" s="9" t="s">
        <v>142</v>
      </c>
      <c r="H866" s="9" t="s">
        <v>139</v>
      </c>
      <c r="I866" s="9" t="s">
        <v>411</v>
      </c>
      <c r="J866" s="9" t="s">
        <v>139</v>
      </c>
      <c r="K866" s="10">
        <v>37496.746562499997</v>
      </c>
    </row>
    <row r="867" spans="1:11" x14ac:dyDescent="0.25">
      <c r="A867" s="8">
        <v>1531</v>
      </c>
      <c r="B867" s="9" t="s">
        <v>5485</v>
      </c>
      <c r="C867" s="9" t="s">
        <v>1724</v>
      </c>
      <c r="D867" s="9" t="s">
        <v>139</v>
      </c>
      <c r="E867" s="9" t="s">
        <v>892</v>
      </c>
      <c r="F867" s="9" t="s">
        <v>893</v>
      </c>
      <c r="G867" s="9" t="s">
        <v>142</v>
      </c>
      <c r="H867" s="9" t="s">
        <v>139</v>
      </c>
      <c r="I867" s="9" t="s">
        <v>411</v>
      </c>
      <c r="J867" s="9" t="s">
        <v>139</v>
      </c>
      <c r="K867" s="10">
        <v>37499.512129629627</v>
      </c>
    </row>
    <row r="868" spans="1:11" x14ac:dyDescent="0.25">
      <c r="A868" s="8">
        <v>1533</v>
      </c>
      <c r="B868" s="9" t="s">
        <v>5486</v>
      </c>
      <c r="C868" s="9" t="s">
        <v>1725</v>
      </c>
      <c r="D868" s="9" t="s">
        <v>139</v>
      </c>
      <c r="E868" s="9" t="s">
        <v>1726</v>
      </c>
      <c r="F868" s="9" t="s">
        <v>1727</v>
      </c>
      <c r="G868" s="9" t="s">
        <v>142</v>
      </c>
      <c r="H868" s="9" t="s">
        <v>139</v>
      </c>
      <c r="I868" s="9" t="s">
        <v>411</v>
      </c>
      <c r="J868" s="9" t="s">
        <v>139</v>
      </c>
      <c r="K868" s="10">
        <v>37499.519062500003</v>
      </c>
    </row>
    <row r="869" spans="1:11" x14ac:dyDescent="0.25">
      <c r="A869" s="8">
        <v>1534</v>
      </c>
      <c r="B869" s="9" t="s">
        <v>5487</v>
      </c>
      <c r="C869" s="9" t="s">
        <v>1728</v>
      </c>
      <c r="D869" s="9" t="s">
        <v>139</v>
      </c>
      <c r="E869" s="9" t="s">
        <v>1187</v>
      </c>
      <c r="F869" s="9" t="s">
        <v>971</v>
      </c>
      <c r="G869" s="9" t="s">
        <v>142</v>
      </c>
      <c r="H869" s="9" t="s">
        <v>139</v>
      </c>
      <c r="I869" s="9" t="s">
        <v>411</v>
      </c>
      <c r="J869" s="9" t="s">
        <v>139</v>
      </c>
      <c r="K869" s="10">
        <v>37499.522511574076</v>
      </c>
    </row>
    <row r="870" spans="1:11" x14ac:dyDescent="0.25">
      <c r="A870" s="8">
        <v>1538</v>
      </c>
      <c r="B870" s="9" t="s">
        <v>5488</v>
      </c>
      <c r="C870" s="9" t="s">
        <v>1729</v>
      </c>
      <c r="D870" s="9" t="s">
        <v>139</v>
      </c>
      <c r="E870" s="9" t="s">
        <v>1730</v>
      </c>
      <c r="F870" s="9" t="s">
        <v>1731</v>
      </c>
      <c r="G870" s="9" t="s">
        <v>142</v>
      </c>
      <c r="H870" s="9" t="s">
        <v>139</v>
      </c>
      <c r="I870" s="9" t="s">
        <v>411</v>
      </c>
      <c r="J870" s="9" t="s">
        <v>139</v>
      </c>
      <c r="K870" s="10">
        <v>37499.586875000001</v>
      </c>
    </row>
    <row r="871" spans="1:11" x14ac:dyDescent="0.25">
      <c r="A871" s="8">
        <v>1540</v>
      </c>
      <c r="B871" s="9" t="s">
        <v>5489</v>
      </c>
      <c r="C871" s="9" t="s">
        <v>1732</v>
      </c>
      <c r="D871" s="9" t="s">
        <v>139</v>
      </c>
      <c r="E871" s="9" t="s">
        <v>1733</v>
      </c>
      <c r="F871" s="9" t="s">
        <v>1734</v>
      </c>
      <c r="G871" s="9" t="s">
        <v>142</v>
      </c>
      <c r="H871" s="9" t="s">
        <v>166</v>
      </c>
      <c r="I871" s="9" t="s">
        <v>411</v>
      </c>
      <c r="J871" s="9" t="s">
        <v>139</v>
      </c>
      <c r="K871" s="10">
        <v>37505.568506944444</v>
      </c>
    </row>
    <row r="872" spans="1:11" x14ac:dyDescent="0.25">
      <c r="A872" s="8">
        <v>1541</v>
      </c>
      <c r="B872" s="9" t="s">
        <v>5490</v>
      </c>
      <c r="C872" s="9" t="s">
        <v>1736</v>
      </c>
      <c r="D872" s="9" t="s">
        <v>139</v>
      </c>
      <c r="E872" s="9" t="s">
        <v>1737</v>
      </c>
      <c r="F872" s="9" t="s">
        <v>1738</v>
      </c>
      <c r="G872" s="9" t="s">
        <v>444</v>
      </c>
      <c r="H872" s="9" t="s">
        <v>166</v>
      </c>
      <c r="I872" s="9" t="s">
        <v>411</v>
      </c>
      <c r="J872" s="9" t="s">
        <v>139</v>
      </c>
      <c r="K872" s="10">
        <v>37506.742708333331</v>
      </c>
    </row>
    <row r="873" spans="1:11" x14ac:dyDescent="0.25">
      <c r="A873" s="8">
        <v>1543</v>
      </c>
      <c r="B873" s="9" t="s">
        <v>5491</v>
      </c>
      <c r="C873" s="9" t="s">
        <v>1739</v>
      </c>
      <c r="D873" s="9" t="s">
        <v>139</v>
      </c>
      <c r="E873" s="9" t="s">
        <v>280</v>
      </c>
      <c r="F873" s="9" t="s">
        <v>141</v>
      </c>
      <c r="G873" s="9" t="s">
        <v>142</v>
      </c>
      <c r="H873" s="9" t="s">
        <v>166</v>
      </c>
      <c r="I873" s="9" t="s">
        <v>411</v>
      </c>
      <c r="J873" s="9" t="s">
        <v>1740</v>
      </c>
      <c r="K873" s="10">
        <v>37506.750520833331</v>
      </c>
    </row>
    <row r="874" spans="1:11" x14ac:dyDescent="0.25">
      <c r="A874" s="8">
        <v>1544</v>
      </c>
      <c r="B874" s="9" t="s">
        <v>5492</v>
      </c>
      <c r="C874" s="9" t="s">
        <v>1741</v>
      </c>
      <c r="D874" s="9" t="s">
        <v>139</v>
      </c>
      <c r="E874" s="9" t="s">
        <v>1742</v>
      </c>
      <c r="F874" s="9" t="s">
        <v>1743</v>
      </c>
      <c r="G874" s="9" t="s">
        <v>142</v>
      </c>
      <c r="H874" s="9" t="s">
        <v>166</v>
      </c>
      <c r="I874" s="9" t="s">
        <v>411</v>
      </c>
      <c r="J874" s="9" t="s">
        <v>139</v>
      </c>
      <c r="K874" s="10">
        <v>37506.75335648148</v>
      </c>
    </row>
    <row r="875" spans="1:11" x14ac:dyDescent="0.25">
      <c r="A875" s="8">
        <v>1545</v>
      </c>
      <c r="B875" s="9" t="s">
        <v>5493</v>
      </c>
      <c r="C875" s="9" t="s">
        <v>1744</v>
      </c>
      <c r="D875" s="9" t="s">
        <v>1745</v>
      </c>
      <c r="E875" s="9" t="s">
        <v>1746</v>
      </c>
      <c r="F875" s="9" t="s">
        <v>1747</v>
      </c>
      <c r="G875" s="9" t="s">
        <v>142</v>
      </c>
      <c r="H875" s="9" t="s">
        <v>139</v>
      </c>
      <c r="I875" s="9" t="s">
        <v>411</v>
      </c>
      <c r="J875" s="9" t="s">
        <v>139</v>
      </c>
      <c r="K875" s="10">
        <v>37506.756053240744</v>
      </c>
    </row>
    <row r="876" spans="1:11" x14ac:dyDescent="0.25">
      <c r="A876" s="8">
        <v>1546</v>
      </c>
      <c r="B876" s="9" t="s">
        <v>5494</v>
      </c>
      <c r="C876" s="9" t="s">
        <v>1748</v>
      </c>
      <c r="D876" s="9" t="s">
        <v>139</v>
      </c>
      <c r="E876" s="9" t="s">
        <v>1749</v>
      </c>
      <c r="F876" s="9" t="s">
        <v>1750</v>
      </c>
      <c r="G876" s="9" t="s">
        <v>873</v>
      </c>
      <c r="H876" s="9" t="s">
        <v>139</v>
      </c>
      <c r="I876" s="9" t="s">
        <v>411</v>
      </c>
      <c r="J876" s="9" t="s">
        <v>1751</v>
      </c>
      <c r="K876" s="10">
        <v>37507.466736111113</v>
      </c>
    </row>
    <row r="877" spans="1:11" x14ac:dyDescent="0.25">
      <c r="A877" s="8">
        <v>1548</v>
      </c>
      <c r="B877" s="9" t="s">
        <v>5495</v>
      </c>
      <c r="C877" s="9" t="s">
        <v>1752</v>
      </c>
      <c r="D877" s="9" t="s">
        <v>1753</v>
      </c>
      <c r="E877" s="9" t="s">
        <v>1293</v>
      </c>
      <c r="F877" s="9" t="s">
        <v>1294</v>
      </c>
      <c r="G877" s="9" t="s">
        <v>142</v>
      </c>
      <c r="H877" s="9" t="s">
        <v>241</v>
      </c>
      <c r="I877" s="9" t="s">
        <v>411</v>
      </c>
      <c r="J877" s="9" t="s">
        <v>1754</v>
      </c>
      <c r="K877" s="10">
        <v>37507.89503472222</v>
      </c>
    </row>
    <row r="878" spans="1:11" x14ac:dyDescent="0.25">
      <c r="A878" s="8">
        <v>1549</v>
      </c>
      <c r="B878" s="9" t="s">
        <v>5496</v>
      </c>
      <c r="C878" s="9" t="s">
        <v>139</v>
      </c>
      <c r="D878" s="9" t="s">
        <v>1755</v>
      </c>
      <c r="E878" s="9" t="s">
        <v>1756</v>
      </c>
      <c r="F878" s="9" t="s">
        <v>1757</v>
      </c>
      <c r="G878" s="9" t="s">
        <v>142</v>
      </c>
      <c r="H878" s="9" t="s">
        <v>139</v>
      </c>
      <c r="I878" s="9" t="s">
        <v>411</v>
      </c>
      <c r="J878" s="9" t="s">
        <v>139</v>
      </c>
      <c r="K878" s="10">
        <v>37507.899027777778</v>
      </c>
    </row>
    <row r="879" spans="1:11" x14ac:dyDescent="0.25">
      <c r="A879" s="8">
        <v>1550</v>
      </c>
      <c r="B879" s="9" t="s">
        <v>5497</v>
      </c>
      <c r="C879" s="9" t="s">
        <v>1758</v>
      </c>
      <c r="D879" s="9" t="s">
        <v>139</v>
      </c>
      <c r="E879" s="9" t="s">
        <v>1759</v>
      </c>
      <c r="F879" s="9" t="s">
        <v>1760</v>
      </c>
      <c r="G879" s="9" t="s">
        <v>873</v>
      </c>
      <c r="H879" s="9" t="s">
        <v>258</v>
      </c>
      <c r="I879" s="9" t="s">
        <v>411</v>
      </c>
      <c r="J879" s="9" t="s">
        <v>139</v>
      </c>
      <c r="K879" s="10">
        <v>37507.902013888888</v>
      </c>
    </row>
    <row r="880" spans="1:11" x14ac:dyDescent="0.25">
      <c r="A880" s="8">
        <v>1551</v>
      </c>
      <c r="B880" s="9" t="s">
        <v>5498</v>
      </c>
      <c r="C880" s="9" t="s">
        <v>1761</v>
      </c>
      <c r="D880" s="9" t="s">
        <v>139</v>
      </c>
      <c r="E880" s="9" t="s">
        <v>212</v>
      </c>
      <c r="F880" s="9" t="s">
        <v>141</v>
      </c>
      <c r="G880" s="9" t="s">
        <v>142</v>
      </c>
      <c r="H880" s="9" t="s">
        <v>241</v>
      </c>
      <c r="I880" s="9" t="s">
        <v>411</v>
      </c>
      <c r="J880" s="9" t="s">
        <v>1762</v>
      </c>
      <c r="K880" s="10">
        <v>37507.904479166667</v>
      </c>
    </row>
    <row r="881" spans="1:11" x14ac:dyDescent="0.25">
      <c r="A881" s="8">
        <v>1556</v>
      </c>
      <c r="B881" s="9" t="s">
        <v>9037</v>
      </c>
      <c r="C881" s="9" t="s">
        <v>1763</v>
      </c>
      <c r="D881" s="9" t="s">
        <v>139</v>
      </c>
      <c r="E881" s="9" t="s">
        <v>202</v>
      </c>
      <c r="F881" s="9" t="s">
        <v>141</v>
      </c>
      <c r="G881" s="9" t="s">
        <v>142</v>
      </c>
      <c r="H881" s="9" t="s">
        <v>139</v>
      </c>
      <c r="I881" s="9" t="s">
        <v>143</v>
      </c>
      <c r="J881" s="9" t="s">
        <v>139</v>
      </c>
      <c r="K881" s="10">
        <v>37508.686261574076</v>
      </c>
    </row>
    <row r="882" spans="1:11" x14ac:dyDescent="0.25">
      <c r="A882" s="8">
        <v>1559</v>
      </c>
      <c r="B882" s="9" t="s">
        <v>5499</v>
      </c>
      <c r="C882" s="9" t="s">
        <v>1764</v>
      </c>
      <c r="D882" s="9" t="s">
        <v>139</v>
      </c>
      <c r="E882" s="9" t="s">
        <v>1765</v>
      </c>
      <c r="F882" s="9" t="s">
        <v>1766</v>
      </c>
      <c r="G882" s="9" t="s">
        <v>142</v>
      </c>
      <c r="H882" s="9" t="s">
        <v>139</v>
      </c>
      <c r="I882" s="9" t="s">
        <v>411</v>
      </c>
      <c r="J882" s="9" t="s">
        <v>1767</v>
      </c>
      <c r="K882" s="10">
        <v>37513.541087962964</v>
      </c>
    </row>
    <row r="883" spans="1:11" x14ac:dyDescent="0.25">
      <c r="A883" s="8">
        <v>1560</v>
      </c>
      <c r="B883" s="9" t="s">
        <v>5500</v>
      </c>
      <c r="C883" s="9" t="s">
        <v>1768</v>
      </c>
      <c r="D883" s="9" t="s">
        <v>139</v>
      </c>
      <c r="E883" s="9" t="s">
        <v>1769</v>
      </c>
      <c r="F883" s="9" t="s">
        <v>1770</v>
      </c>
      <c r="G883" s="9" t="s">
        <v>142</v>
      </c>
      <c r="H883" s="9" t="s">
        <v>166</v>
      </c>
      <c r="I883" s="9" t="s">
        <v>411</v>
      </c>
      <c r="J883" s="9" t="s">
        <v>139</v>
      </c>
      <c r="K883" s="10">
        <v>37513.545706018522</v>
      </c>
    </row>
    <row r="884" spans="1:11" x14ac:dyDescent="0.25">
      <c r="A884" s="8">
        <v>1561</v>
      </c>
      <c r="B884" s="9" t="s">
        <v>5501</v>
      </c>
      <c r="C884" s="9" t="s">
        <v>1771</v>
      </c>
      <c r="D884" s="9" t="s">
        <v>1772</v>
      </c>
      <c r="E884" s="9" t="s">
        <v>1773</v>
      </c>
      <c r="F884" s="9" t="s">
        <v>1774</v>
      </c>
      <c r="G884" s="9" t="s">
        <v>142</v>
      </c>
      <c r="H884" s="9" t="s">
        <v>139</v>
      </c>
      <c r="I884" s="9" t="s">
        <v>411</v>
      </c>
      <c r="J884" s="9" t="s">
        <v>139</v>
      </c>
      <c r="K884" s="10">
        <v>37513.548993055556</v>
      </c>
    </row>
    <row r="885" spans="1:11" x14ac:dyDescent="0.25">
      <c r="A885" s="8">
        <v>1562</v>
      </c>
      <c r="B885" s="9" t="s">
        <v>5502</v>
      </c>
      <c r="C885" s="9" t="s">
        <v>1775</v>
      </c>
      <c r="D885" s="9" t="s">
        <v>1776</v>
      </c>
      <c r="E885" s="9" t="s">
        <v>1777</v>
      </c>
      <c r="F885" s="9" t="s">
        <v>1778</v>
      </c>
      <c r="G885" s="9" t="s">
        <v>142</v>
      </c>
      <c r="H885" s="9" t="s">
        <v>139</v>
      </c>
      <c r="I885" s="9" t="s">
        <v>411</v>
      </c>
      <c r="J885" s="9" t="s">
        <v>139</v>
      </c>
      <c r="K885" s="10">
        <v>37513.561782407407</v>
      </c>
    </row>
    <row r="886" spans="1:11" x14ac:dyDescent="0.25">
      <c r="A886" s="8">
        <v>1566</v>
      </c>
      <c r="B886" s="9" t="s">
        <v>5503</v>
      </c>
      <c r="C886" s="9" t="s">
        <v>1779</v>
      </c>
      <c r="D886" s="9" t="s">
        <v>139</v>
      </c>
      <c r="E886" s="9" t="s">
        <v>1780</v>
      </c>
      <c r="F886" s="9" t="s">
        <v>1781</v>
      </c>
      <c r="G886" s="9" t="s">
        <v>142</v>
      </c>
      <c r="H886" s="9" t="s">
        <v>241</v>
      </c>
      <c r="I886" s="9" t="s">
        <v>411</v>
      </c>
      <c r="J886" s="9" t="s">
        <v>139</v>
      </c>
      <c r="K886" s="10">
        <v>37518.712627314817</v>
      </c>
    </row>
    <row r="887" spans="1:11" x14ac:dyDescent="0.25">
      <c r="A887" s="8">
        <v>1567</v>
      </c>
      <c r="B887" s="9" t="s">
        <v>9038</v>
      </c>
      <c r="C887" s="9" t="s">
        <v>1782</v>
      </c>
      <c r="D887" s="9" t="s">
        <v>139</v>
      </c>
      <c r="E887" s="9" t="s">
        <v>1783</v>
      </c>
      <c r="F887" s="9" t="s">
        <v>1784</v>
      </c>
      <c r="G887" s="9" t="s">
        <v>142</v>
      </c>
      <c r="H887" s="9" t="s">
        <v>241</v>
      </c>
      <c r="I887" s="9" t="s">
        <v>143</v>
      </c>
      <c r="J887" s="9" t="s">
        <v>139</v>
      </c>
      <c r="K887" s="10">
        <v>37520.664293981485</v>
      </c>
    </row>
    <row r="888" spans="1:11" x14ac:dyDescent="0.25">
      <c r="A888" s="8">
        <v>1568</v>
      </c>
      <c r="B888" s="9" t="s">
        <v>5504</v>
      </c>
      <c r="C888" s="9" t="s">
        <v>1785</v>
      </c>
      <c r="D888" s="9" t="s">
        <v>139</v>
      </c>
      <c r="E888" s="9" t="s">
        <v>1786</v>
      </c>
      <c r="F888" s="9" t="s">
        <v>1787</v>
      </c>
      <c r="G888" s="9" t="s">
        <v>142</v>
      </c>
      <c r="H888" s="9" t="s">
        <v>139</v>
      </c>
      <c r="I888" s="9" t="s">
        <v>411</v>
      </c>
      <c r="J888" s="9" t="s">
        <v>139</v>
      </c>
      <c r="K888" s="10">
        <v>37524.789652777778</v>
      </c>
    </row>
    <row r="889" spans="1:11" x14ac:dyDescent="0.25">
      <c r="A889" s="8">
        <v>1573</v>
      </c>
      <c r="B889" s="9" t="s">
        <v>5505</v>
      </c>
      <c r="C889" s="9" t="s">
        <v>1788</v>
      </c>
      <c r="D889" s="9" t="s">
        <v>139</v>
      </c>
      <c r="E889" s="9" t="s">
        <v>706</v>
      </c>
      <c r="F889" s="9" t="s">
        <v>141</v>
      </c>
      <c r="G889" s="9" t="s">
        <v>142</v>
      </c>
      <c r="H889" s="9" t="s">
        <v>139</v>
      </c>
      <c r="I889" s="9" t="s">
        <v>411</v>
      </c>
      <c r="J889" s="9" t="s">
        <v>1789</v>
      </c>
      <c r="K889" s="10">
        <v>37525.779027777775</v>
      </c>
    </row>
    <row r="890" spans="1:11" x14ac:dyDescent="0.25">
      <c r="A890" s="8">
        <v>1574</v>
      </c>
      <c r="B890" s="9" t="s">
        <v>5506</v>
      </c>
      <c r="C890" s="9" t="s">
        <v>1790</v>
      </c>
      <c r="D890" s="9" t="s">
        <v>139</v>
      </c>
      <c r="E890" s="9" t="s">
        <v>1791</v>
      </c>
      <c r="F890" s="9" t="s">
        <v>8404</v>
      </c>
      <c r="G890" s="9" t="s">
        <v>1042</v>
      </c>
      <c r="H890" s="9" t="s">
        <v>139</v>
      </c>
      <c r="I890" s="9" t="s">
        <v>411</v>
      </c>
      <c r="J890" s="9" t="s">
        <v>139</v>
      </c>
      <c r="K890" s="10">
        <v>37531.627453703702</v>
      </c>
    </row>
    <row r="891" spans="1:11" x14ac:dyDescent="0.25">
      <c r="A891" s="8">
        <v>1581</v>
      </c>
      <c r="B891" s="9" t="s">
        <v>5507</v>
      </c>
      <c r="C891" s="9" t="s">
        <v>1792</v>
      </c>
      <c r="D891" s="9" t="s">
        <v>139</v>
      </c>
      <c r="E891" s="9" t="s">
        <v>1793</v>
      </c>
      <c r="F891" s="9" t="s">
        <v>1794</v>
      </c>
      <c r="G891" s="9" t="s">
        <v>142</v>
      </c>
      <c r="H891" s="9" t="s">
        <v>139</v>
      </c>
      <c r="I891" s="9" t="s">
        <v>411</v>
      </c>
      <c r="J891" s="9" t="s">
        <v>139</v>
      </c>
      <c r="K891" s="10">
        <v>37539.535034722219</v>
      </c>
    </row>
    <row r="892" spans="1:11" x14ac:dyDescent="0.25">
      <c r="A892" s="8">
        <v>1582</v>
      </c>
      <c r="B892" s="9" t="s">
        <v>5508</v>
      </c>
      <c r="C892" s="9" t="s">
        <v>1795</v>
      </c>
      <c r="D892" s="9" t="s">
        <v>1796</v>
      </c>
      <c r="E892" s="9" t="s">
        <v>1797</v>
      </c>
      <c r="F892" s="9" t="s">
        <v>1798</v>
      </c>
      <c r="G892" s="9" t="s">
        <v>142</v>
      </c>
      <c r="H892" s="9" t="s">
        <v>139</v>
      </c>
      <c r="I892" s="9" t="s">
        <v>411</v>
      </c>
      <c r="J892" s="9" t="s">
        <v>139</v>
      </c>
      <c r="K892" s="10">
        <v>37539.540254629632</v>
      </c>
    </row>
    <row r="893" spans="1:11" x14ac:dyDescent="0.25">
      <c r="A893" s="8">
        <v>1583</v>
      </c>
      <c r="B893" s="9" t="s">
        <v>5509</v>
      </c>
      <c r="C893" s="9" t="s">
        <v>1799</v>
      </c>
      <c r="D893" s="9" t="s">
        <v>1800</v>
      </c>
      <c r="E893" s="9" t="s">
        <v>1801</v>
      </c>
      <c r="F893" s="9" t="s">
        <v>8388</v>
      </c>
      <c r="G893" s="9" t="s">
        <v>8400</v>
      </c>
      <c r="H893" s="9" t="s">
        <v>139</v>
      </c>
      <c r="I893" s="9" t="s">
        <v>411</v>
      </c>
      <c r="J893" s="9" t="s">
        <v>139</v>
      </c>
      <c r="K893" s="10">
        <v>37539.544768518521</v>
      </c>
    </row>
    <row r="894" spans="1:11" x14ac:dyDescent="0.25">
      <c r="A894" s="8">
        <v>1585</v>
      </c>
      <c r="B894" s="9" t="s">
        <v>5510</v>
      </c>
      <c r="C894" s="9" t="s">
        <v>1802</v>
      </c>
      <c r="D894" s="9" t="s">
        <v>1803</v>
      </c>
      <c r="E894" s="9" t="s">
        <v>1804</v>
      </c>
      <c r="F894" s="9" t="s">
        <v>1805</v>
      </c>
      <c r="G894" s="9" t="s">
        <v>8401</v>
      </c>
      <c r="H894" s="9" t="s">
        <v>139</v>
      </c>
      <c r="I894" s="9" t="s">
        <v>411</v>
      </c>
      <c r="J894" s="9" t="s">
        <v>139</v>
      </c>
      <c r="K894" s="10">
        <v>37539.556319444448</v>
      </c>
    </row>
    <row r="895" spans="1:11" x14ac:dyDescent="0.25">
      <c r="A895" s="8">
        <v>1587</v>
      </c>
      <c r="B895" s="9" t="s">
        <v>5511</v>
      </c>
      <c r="C895" s="9" t="s">
        <v>1806</v>
      </c>
      <c r="D895" s="9" t="s">
        <v>139</v>
      </c>
      <c r="E895" s="9" t="s">
        <v>197</v>
      </c>
      <c r="F895" s="9" t="s">
        <v>141</v>
      </c>
      <c r="G895" s="9" t="s">
        <v>142</v>
      </c>
      <c r="H895" s="9" t="s">
        <v>241</v>
      </c>
      <c r="I895" s="9" t="s">
        <v>411</v>
      </c>
      <c r="J895" s="9" t="s">
        <v>139</v>
      </c>
      <c r="K895" s="10">
        <v>37539.594097222223</v>
      </c>
    </row>
    <row r="896" spans="1:11" x14ac:dyDescent="0.25">
      <c r="A896" s="8">
        <v>1595</v>
      </c>
      <c r="B896" s="9" t="s">
        <v>5512</v>
      </c>
      <c r="C896" s="9" t="s">
        <v>1807</v>
      </c>
      <c r="D896" s="9" t="s">
        <v>139</v>
      </c>
      <c r="E896" s="9" t="s">
        <v>308</v>
      </c>
      <c r="F896" s="9" t="s">
        <v>141</v>
      </c>
      <c r="G896" s="9" t="s">
        <v>142</v>
      </c>
      <c r="H896" s="9" t="s">
        <v>258</v>
      </c>
      <c r="I896" s="9" t="s">
        <v>411</v>
      </c>
      <c r="J896" s="9" t="s">
        <v>139</v>
      </c>
      <c r="K896" s="10">
        <v>37551.639421296299</v>
      </c>
    </row>
    <row r="897" spans="1:11" x14ac:dyDescent="0.25">
      <c r="A897" s="8">
        <v>1596</v>
      </c>
      <c r="B897" s="9" t="s">
        <v>5513</v>
      </c>
      <c r="C897" s="9" t="s">
        <v>1808</v>
      </c>
      <c r="D897" s="9" t="s">
        <v>139</v>
      </c>
      <c r="E897" s="9" t="s">
        <v>1809</v>
      </c>
      <c r="F897" s="9" t="s">
        <v>1810</v>
      </c>
      <c r="G897" s="9" t="s">
        <v>142</v>
      </c>
      <c r="H897" s="9" t="s">
        <v>139</v>
      </c>
      <c r="I897" s="9" t="s">
        <v>411</v>
      </c>
      <c r="J897" s="9" t="s">
        <v>139</v>
      </c>
      <c r="K897" s="10">
        <v>37558.706782407404</v>
      </c>
    </row>
    <row r="898" spans="1:11" x14ac:dyDescent="0.25">
      <c r="A898" s="8">
        <v>1597</v>
      </c>
      <c r="B898" s="9" t="s">
        <v>5514</v>
      </c>
      <c r="C898" s="9" t="s">
        <v>1811</v>
      </c>
      <c r="D898" s="9" t="s">
        <v>139</v>
      </c>
      <c r="E898" s="9" t="s">
        <v>1812</v>
      </c>
      <c r="F898" s="9" t="s">
        <v>1813</v>
      </c>
      <c r="G898" s="9" t="s">
        <v>142</v>
      </c>
      <c r="H898" s="9" t="s">
        <v>139</v>
      </c>
      <c r="I898" s="9" t="s">
        <v>411</v>
      </c>
      <c r="J898" s="9" t="s">
        <v>139</v>
      </c>
      <c r="K898" s="10">
        <v>37558.774212962962</v>
      </c>
    </row>
    <row r="899" spans="1:11" x14ac:dyDescent="0.25">
      <c r="A899" s="8">
        <v>1600</v>
      </c>
      <c r="B899" s="9" t="s">
        <v>9039</v>
      </c>
      <c r="C899" s="9" t="s">
        <v>139</v>
      </c>
      <c r="D899" s="9" t="s">
        <v>139</v>
      </c>
      <c r="E899" s="9">
        <v>75</v>
      </c>
      <c r="F899" s="9" t="s">
        <v>413</v>
      </c>
      <c r="G899" s="9" t="s">
        <v>142</v>
      </c>
      <c r="H899" s="9" t="s">
        <v>139</v>
      </c>
      <c r="I899" s="9" t="s">
        <v>143</v>
      </c>
      <c r="J899" s="9" t="s">
        <v>139</v>
      </c>
      <c r="K899" s="10">
        <v>37564.720671296294</v>
      </c>
    </row>
    <row r="900" spans="1:11" x14ac:dyDescent="0.25">
      <c r="A900" s="8">
        <v>1601</v>
      </c>
      <c r="B900" s="9" t="s">
        <v>9040</v>
      </c>
      <c r="C900" s="9" t="s">
        <v>1814</v>
      </c>
      <c r="D900" s="9" t="s">
        <v>139</v>
      </c>
      <c r="E900" s="9" t="s">
        <v>229</v>
      </c>
      <c r="F900" s="9" t="s">
        <v>141</v>
      </c>
      <c r="G900" s="9" t="s">
        <v>142</v>
      </c>
      <c r="H900" s="9" t="s">
        <v>166</v>
      </c>
      <c r="I900" s="9" t="s">
        <v>143</v>
      </c>
      <c r="J900" s="9" t="s">
        <v>139</v>
      </c>
      <c r="K900" s="10">
        <v>37565.667974537035</v>
      </c>
    </row>
    <row r="901" spans="1:11" x14ac:dyDescent="0.25">
      <c r="A901" s="8">
        <v>1602</v>
      </c>
      <c r="B901" s="9" t="s">
        <v>5515</v>
      </c>
      <c r="C901" s="9" t="s">
        <v>1815</v>
      </c>
      <c r="D901" s="9" t="s">
        <v>139</v>
      </c>
      <c r="E901" s="9" t="s">
        <v>1816</v>
      </c>
      <c r="F901" s="9" t="s">
        <v>1817</v>
      </c>
      <c r="G901" s="9" t="s">
        <v>142</v>
      </c>
      <c r="H901" s="9" t="s">
        <v>139</v>
      </c>
      <c r="I901" s="9" t="s">
        <v>411</v>
      </c>
      <c r="J901" s="9" t="s">
        <v>139</v>
      </c>
      <c r="K901" s="10">
        <v>37565.668912037036</v>
      </c>
    </row>
    <row r="902" spans="1:11" x14ac:dyDescent="0.25">
      <c r="A902" s="8">
        <v>1604</v>
      </c>
      <c r="B902" s="9" t="s">
        <v>5516</v>
      </c>
      <c r="C902" s="9" t="s">
        <v>1818</v>
      </c>
      <c r="D902" s="9" t="s">
        <v>139</v>
      </c>
      <c r="E902" s="9" t="s">
        <v>1819</v>
      </c>
      <c r="F902" s="9" t="s">
        <v>1820</v>
      </c>
      <c r="G902" s="9" t="s">
        <v>142</v>
      </c>
      <c r="H902" s="9" t="s">
        <v>241</v>
      </c>
      <c r="I902" s="9" t="s">
        <v>411</v>
      </c>
      <c r="J902" s="9" t="s">
        <v>139</v>
      </c>
      <c r="K902" s="10">
        <v>37567.605428240742</v>
      </c>
    </row>
    <row r="903" spans="1:11" x14ac:dyDescent="0.25">
      <c r="A903" s="8">
        <v>1605</v>
      </c>
      <c r="B903" s="9" t="s">
        <v>5517</v>
      </c>
      <c r="C903" s="9" t="s">
        <v>1821</v>
      </c>
      <c r="D903" s="9" t="s">
        <v>139</v>
      </c>
      <c r="E903" s="9" t="s">
        <v>706</v>
      </c>
      <c r="F903" s="9" t="s">
        <v>141</v>
      </c>
      <c r="G903" s="9" t="s">
        <v>142</v>
      </c>
      <c r="H903" s="9" t="s">
        <v>241</v>
      </c>
      <c r="I903" s="9" t="s">
        <v>411</v>
      </c>
      <c r="J903" s="9" t="s">
        <v>139</v>
      </c>
      <c r="K903" s="10">
        <v>37567.804293981484</v>
      </c>
    </row>
    <row r="904" spans="1:11" x14ac:dyDescent="0.25">
      <c r="A904" s="8">
        <v>1606</v>
      </c>
      <c r="B904" s="9" t="s">
        <v>5518</v>
      </c>
      <c r="C904" s="9" t="s">
        <v>1822</v>
      </c>
      <c r="D904" s="9" t="s">
        <v>139</v>
      </c>
      <c r="E904" s="9" t="s">
        <v>876</v>
      </c>
      <c r="F904" s="9" t="s">
        <v>1823</v>
      </c>
      <c r="G904" s="9" t="s">
        <v>142</v>
      </c>
      <c r="H904" s="9" t="s">
        <v>166</v>
      </c>
      <c r="I904" s="9" t="s">
        <v>411</v>
      </c>
      <c r="J904" s="9" t="s">
        <v>139</v>
      </c>
      <c r="K904" s="10">
        <v>37568.677268518521</v>
      </c>
    </row>
    <row r="905" spans="1:11" x14ac:dyDescent="0.25">
      <c r="A905" s="8">
        <v>1607</v>
      </c>
      <c r="B905" s="9" t="s">
        <v>5519</v>
      </c>
      <c r="C905" s="9" t="s">
        <v>1824</v>
      </c>
      <c r="D905" s="9" t="s">
        <v>139</v>
      </c>
      <c r="E905" s="9" t="s">
        <v>1825</v>
      </c>
      <c r="F905" s="9" t="s">
        <v>1826</v>
      </c>
      <c r="G905" s="9" t="s">
        <v>142</v>
      </c>
      <c r="H905" s="9" t="s">
        <v>241</v>
      </c>
      <c r="I905" s="9" t="s">
        <v>411</v>
      </c>
      <c r="J905" s="9" t="s">
        <v>139</v>
      </c>
      <c r="K905" s="10">
        <v>37568.690567129626</v>
      </c>
    </row>
    <row r="906" spans="1:11" x14ac:dyDescent="0.25">
      <c r="A906" s="8">
        <v>1608</v>
      </c>
      <c r="B906" s="9" t="s">
        <v>5520</v>
      </c>
      <c r="C906" s="9" t="s">
        <v>1827</v>
      </c>
      <c r="D906" s="9" t="s">
        <v>139</v>
      </c>
      <c r="E906" s="9" t="s">
        <v>1828</v>
      </c>
      <c r="F906" s="9" t="s">
        <v>1829</v>
      </c>
      <c r="G906" s="9" t="s">
        <v>142</v>
      </c>
      <c r="H906" s="9" t="s">
        <v>139</v>
      </c>
      <c r="I906" s="9" t="s">
        <v>411</v>
      </c>
      <c r="J906" s="9" t="s">
        <v>139</v>
      </c>
      <c r="K906" s="10">
        <v>37573.628680555557</v>
      </c>
    </row>
    <row r="907" spans="1:11" x14ac:dyDescent="0.25">
      <c r="A907" s="8">
        <v>1609</v>
      </c>
      <c r="B907" s="9" t="s">
        <v>5521</v>
      </c>
      <c r="C907" s="9" t="s">
        <v>139</v>
      </c>
      <c r="D907" s="9" t="s">
        <v>139</v>
      </c>
      <c r="E907" s="9" t="s">
        <v>139</v>
      </c>
      <c r="F907" s="9" t="s">
        <v>8396</v>
      </c>
      <c r="G907" s="9" t="s">
        <v>8397</v>
      </c>
      <c r="H907" s="9" t="s">
        <v>241</v>
      </c>
      <c r="I907" s="9" t="s">
        <v>411</v>
      </c>
      <c r="J907" s="9" t="s">
        <v>139</v>
      </c>
      <c r="K907" s="10">
        <v>37575.547951388886</v>
      </c>
    </row>
    <row r="908" spans="1:11" x14ac:dyDescent="0.25">
      <c r="A908" s="8">
        <v>1610</v>
      </c>
      <c r="B908" s="9" t="s">
        <v>5522</v>
      </c>
      <c r="C908" s="9" t="s">
        <v>1830</v>
      </c>
      <c r="D908" s="9" t="s">
        <v>139</v>
      </c>
      <c r="E908" s="9" t="s">
        <v>328</v>
      </c>
      <c r="F908" s="9" t="s">
        <v>141</v>
      </c>
      <c r="G908" s="9" t="s">
        <v>142</v>
      </c>
      <c r="H908" s="9" t="s">
        <v>241</v>
      </c>
      <c r="I908" s="9" t="s">
        <v>411</v>
      </c>
      <c r="J908" s="9" t="s">
        <v>139</v>
      </c>
      <c r="K908" s="10">
        <v>37579.596851851849</v>
      </c>
    </row>
    <row r="909" spans="1:11" x14ac:dyDescent="0.25">
      <c r="A909" s="8">
        <v>1611</v>
      </c>
      <c r="B909" s="9" t="s">
        <v>5523</v>
      </c>
      <c r="C909" s="9" t="s">
        <v>1831</v>
      </c>
      <c r="D909" s="9" t="s">
        <v>139</v>
      </c>
      <c r="E909" s="9" t="s">
        <v>163</v>
      </c>
      <c r="F909" s="9" t="s">
        <v>141</v>
      </c>
      <c r="G909" s="9" t="s">
        <v>142</v>
      </c>
      <c r="H909" s="9" t="s">
        <v>139</v>
      </c>
      <c r="I909" s="9" t="s">
        <v>411</v>
      </c>
      <c r="J909" s="9" t="s">
        <v>139</v>
      </c>
      <c r="K909" s="10">
        <v>37580.566828703704</v>
      </c>
    </row>
    <row r="910" spans="1:11" x14ac:dyDescent="0.25">
      <c r="A910" s="8">
        <v>1615</v>
      </c>
      <c r="B910" s="9" t="s">
        <v>5524</v>
      </c>
      <c r="C910" s="9" t="s">
        <v>1832</v>
      </c>
      <c r="D910" s="9" t="s">
        <v>139</v>
      </c>
      <c r="E910" s="9" t="s">
        <v>308</v>
      </c>
      <c r="F910" s="9" t="s">
        <v>141</v>
      </c>
      <c r="G910" s="9" t="s">
        <v>142</v>
      </c>
      <c r="H910" s="9" t="s">
        <v>241</v>
      </c>
      <c r="I910" s="9" t="s">
        <v>411</v>
      </c>
      <c r="J910" s="9" t="s">
        <v>1833</v>
      </c>
      <c r="K910" s="10">
        <v>37580.634016203701</v>
      </c>
    </row>
    <row r="911" spans="1:11" x14ac:dyDescent="0.25">
      <c r="A911" s="8">
        <v>1616</v>
      </c>
      <c r="B911" s="9" t="s">
        <v>8414</v>
      </c>
      <c r="C911" s="9" t="s">
        <v>1834</v>
      </c>
      <c r="D911" s="9" t="s">
        <v>139</v>
      </c>
      <c r="E911" s="9" t="s">
        <v>147</v>
      </c>
      <c r="F911" s="9" t="s">
        <v>141</v>
      </c>
      <c r="G911" s="9" t="s">
        <v>142</v>
      </c>
      <c r="H911" s="9" t="s">
        <v>139</v>
      </c>
      <c r="I911" s="9" t="s">
        <v>617</v>
      </c>
      <c r="J911" s="9" t="s">
        <v>139</v>
      </c>
      <c r="K911" s="10">
        <v>37582.637129629627</v>
      </c>
    </row>
    <row r="912" spans="1:11" x14ac:dyDescent="0.25">
      <c r="A912" s="8">
        <v>1617</v>
      </c>
      <c r="B912" s="9" t="s">
        <v>5525</v>
      </c>
      <c r="C912" s="9" t="s">
        <v>1835</v>
      </c>
      <c r="D912" s="9" t="s">
        <v>139</v>
      </c>
      <c r="E912" s="9" t="s">
        <v>1836</v>
      </c>
      <c r="F912" s="9" t="s">
        <v>1837</v>
      </c>
      <c r="G912" s="9" t="s">
        <v>142</v>
      </c>
      <c r="H912" s="9" t="s">
        <v>139</v>
      </c>
      <c r="I912" s="9" t="s">
        <v>411</v>
      </c>
      <c r="J912" s="9" t="s">
        <v>139</v>
      </c>
      <c r="K912" s="10">
        <v>37585.630787037036</v>
      </c>
    </row>
    <row r="913" spans="1:11" x14ac:dyDescent="0.25">
      <c r="A913" s="8">
        <v>1618</v>
      </c>
      <c r="B913" s="9" t="s">
        <v>9041</v>
      </c>
      <c r="C913" s="9" t="s">
        <v>1838</v>
      </c>
      <c r="D913" s="9" t="s">
        <v>139</v>
      </c>
      <c r="E913" s="9" t="s">
        <v>1839</v>
      </c>
      <c r="F913" s="9" t="s">
        <v>601</v>
      </c>
      <c r="G913" s="9" t="s">
        <v>602</v>
      </c>
      <c r="H913" s="9" t="s">
        <v>139</v>
      </c>
      <c r="I913" s="9" t="s">
        <v>143</v>
      </c>
      <c r="J913" s="9" t="s">
        <v>139</v>
      </c>
      <c r="K913" s="10">
        <v>37592.640983796293</v>
      </c>
    </row>
    <row r="914" spans="1:11" x14ac:dyDescent="0.25">
      <c r="A914" s="8">
        <v>1620</v>
      </c>
      <c r="B914" s="9" t="s">
        <v>5526</v>
      </c>
      <c r="C914" s="9" t="s">
        <v>1840</v>
      </c>
      <c r="D914" s="9" t="s">
        <v>139</v>
      </c>
      <c r="E914" s="9" t="s">
        <v>306</v>
      </c>
      <c r="F914" s="9" t="s">
        <v>141</v>
      </c>
      <c r="G914" s="9" t="s">
        <v>142</v>
      </c>
      <c r="H914" s="9" t="s">
        <v>166</v>
      </c>
      <c r="I914" s="9" t="s">
        <v>411</v>
      </c>
      <c r="J914" s="9" t="s">
        <v>139</v>
      </c>
      <c r="K914" s="10">
        <v>37593.580335648148</v>
      </c>
    </row>
    <row r="915" spans="1:11" x14ac:dyDescent="0.25">
      <c r="A915" s="8">
        <v>1632</v>
      </c>
      <c r="B915" s="9" t="s">
        <v>9042</v>
      </c>
      <c r="C915" s="9" t="s">
        <v>1841</v>
      </c>
      <c r="D915" s="9" t="s">
        <v>139</v>
      </c>
      <c r="E915" s="9" t="s">
        <v>229</v>
      </c>
      <c r="F915" s="9" t="s">
        <v>141</v>
      </c>
      <c r="G915" s="9" t="s">
        <v>142</v>
      </c>
      <c r="H915" s="9" t="s">
        <v>166</v>
      </c>
      <c r="I915" s="9" t="s">
        <v>143</v>
      </c>
      <c r="J915" s="9" t="s">
        <v>139</v>
      </c>
      <c r="K915" s="10">
        <v>37623.648321759261</v>
      </c>
    </row>
    <row r="916" spans="1:11" x14ac:dyDescent="0.25">
      <c r="A916" s="8">
        <v>1633</v>
      </c>
      <c r="B916" s="9" t="s">
        <v>9043</v>
      </c>
      <c r="C916" s="9" t="s">
        <v>1842</v>
      </c>
      <c r="D916" s="9" t="s">
        <v>139</v>
      </c>
      <c r="E916" s="9" t="s">
        <v>229</v>
      </c>
      <c r="F916" s="9" t="s">
        <v>141</v>
      </c>
      <c r="G916" s="9" t="s">
        <v>142</v>
      </c>
      <c r="H916" s="9" t="s">
        <v>139</v>
      </c>
      <c r="I916" s="9" t="s">
        <v>143</v>
      </c>
      <c r="J916" s="9" t="s">
        <v>139</v>
      </c>
      <c r="K916" s="10">
        <v>37623.650451388887</v>
      </c>
    </row>
    <row r="917" spans="1:11" x14ac:dyDescent="0.25">
      <c r="A917" s="8">
        <v>1634</v>
      </c>
      <c r="B917" s="9" t="s">
        <v>5527</v>
      </c>
      <c r="C917" s="9" t="s">
        <v>1843</v>
      </c>
      <c r="D917" s="9" t="s">
        <v>139</v>
      </c>
      <c r="E917" s="9" t="s">
        <v>1844</v>
      </c>
      <c r="F917" s="9" t="s">
        <v>1845</v>
      </c>
      <c r="G917" s="9" t="s">
        <v>142</v>
      </c>
      <c r="H917" s="9" t="s">
        <v>139</v>
      </c>
      <c r="I917" s="9" t="s">
        <v>411</v>
      </c>
      <c r="J917" s="9" t="s">
        <v>139</v>
      </c>
      <c r="K917" s="10">
        <v>37626</v>
      </c>
    </row>
    <row r="918" spans="1:11" x14ac:dyDescent="0.25">
      <c r="A918" s="8">
        <v>1635</v>
      </c>
      <c r="B918" s="9" t="s">
        <v>5528</v>
      </c>
      <c r="C918" s="9" t="s">
        <v>1846</v>
      </c>
      <c r="D918" s="9" t="s">
        <v>139</v>
      </c>
      <c r="E918" s="9" t="s">
        <v>1847</v>
      </c>
      <c r="F918" s="9" t="s">
        <v>914</v>
      </c>
      <c r="G918" s="9" t="s">
        <v>142</v>
      </c>
      <c r="H918" s="9" t="s">
        <v>139</v>
      </c>
      <c r="I918" s="9" t="s">
        <v>411</v>
      </c>
      <c r="J918" s="9" t="s">
        <v>139</v>
      </c>
      <c r="K918" s="10">
        <v>37626</v>
      </c>
    </row>
    <row r="919" spans="1:11" x14ac:dyDescent="0.25">
      <c r="A919" s="8">
        <v>1637</v>
      </c>
      <c r="B919" s="9" t="s">
        <v>5529</v>
      </c>
      <c r="C919" s="9" t="s">
        <v>1848</v>
      </c>
      <c r="D919" s="9" t="s">
        <v>139</v>
      </c>
      <c r="E919" s="9" t="s">
        <v>1847</v>
      </c>
      <c r="F919" s="9" t="s">
        <v>914</v>
      </c>
      <c r="G919" s="9" t="s">
        <v>142</v>
      </c>
      <c r="H919" s="9" t="s">
        <v>139</v>
      </c>
      <c r="I919" s="9" t="s">
        <v>411</v>
      </c>
      <c r="J919" s="9" t="s">
        <v>139</v>
      </c>
      <c r="K919" s="10">
        <v>37626</v>
      </c>
    </row>
    <row r="920" spans="1:11" x14ac:dyDescent="0.25">
      <c r="A920" s="8">
        <v>1638</v>
      </c>
      <c r="B920" s="9" t="s">
        <v>5530</v>
      </c>
      <c r="C920" s="9" t="s">
        <v>1849</v>
      </c>
      <c r="D920" s="9" t="s">
        <v>139</v>
      </c>
      <c r="E920" s="9" t="s">
        <v>892</v>
      </c>
      <c r="F920" s="9" t="s">
        <v>893</v>
      </c>
      <c r="G920" s="9" t="s">
        <v>142</v>
      </c>
      <c r="H920" s="9" t="s">
        <v>139</v>
      </c>
      <c r="I920" s="9" t="s">
        <v>411</v>
      </c>
      <c r="J920" s="9" t="s">
        <v>139</v>
      </c>
      <c r="K920" s="10">
        <v>37626</v>
      </c>
    </row>
    <row r="921" spans="1:11" x14ac:dyDescent="0.25">
      <c r="A921" s="8">
        <v>1641</v>
      </c>
      <c r="B921" s="9" t="s">
        <v>5531</v>
      </c>
      <c r="C921" s="9" t="s">
        <v>1850</v>
      </c>
      <c r="D921" s="9" t="s">
        <v>139</v>
      </c>
      <c r="E921" s="9" t="s">
        <v>1187</v>
      </c>
      <c r="F921" s="9" t="s">
        <v>971</v>
      </c>
      <c r="G921" s="9" t="s">
        <v>142</v>
      </c>
      <c r="H921" s="9" t="s">
        <v>139</v>
      </c>
      <c r="I921" s="9" t="s">
        <v>411</v>
      </c>
      <c r="J921" s="9" t="s">
        <v>139</v>
      </c>
      <c r="K921" s="10">
        <v>37626</v>
      </c>
    </row>
    <row r="922" spans="1:11" x14ac:dyDescent="0.25">
      <c r="A922" s="8">
        <v>1642</v>
      </c>
      <c r="B922" s="9" t="s">
        <v>5532</v>
      </c>
      <c r="C922" s="9" t="s">
        <v>1851</v>
      </c>
      <c r="D922" s="9" t="s">
        <v>139</v>
      </c>
      <c r="E922" s="9" t="s">
        <v>1187</v>
      </c>
      <c r="F922" s="9" t="s">
        <v>971</v>
      </c>
      <c r="G922" s="9" t="s">
        <v>142</v>
      </c>
      <c r="H922" s="9" t="s">
        <v>139</v>
      </c>
      <c r="I922" s="9" t="s">
        <v>411</v>
      </c>
      <c r="J922" s="9" t="s">
        <v>139</v>
      </c>
      <c r="K922" s="10">
        <v>37626</v>
      </c>
    </row>
    <row r="923" spans="1:11" x14ac:dyDescent="0.25">
      <c r="A923" s="8">
        <v>1644</v>
      </c>
      <c r="B923" s="9" t="s">
        <v>5533</v>
      </c>
      <c r="C923" s="9" t="s">
        <v>1852</v>
      </c>
      <c r="D923" s="9" t="s">
        <v>139</v>
      </c>
      <c r="E923" s="9" t="s">
        <v>876</v>
      </c>
      <c r="F923" s="9" t="s">
        <v>1823</v>
      </c>
      <c r="G923" s="9" t="s">
        <v>142</v>
      </c>
      <c r="H923" s="9" t="s">
        <v>139</v>
      </c>
      <c r="I923" s="9" t="s">
        <v>411</v>
      </c>
      <c r="J923" s="9" t="s">
        <v>139</v>
      </c>
      <c r="K923" s="10">
        <v>37626</v>
      </c>
    </row>
    <row r="924" spans="1:11" x14ac:dyDescent="0.25">
      <c r="A924" s="8">
        <v>1650</v>
      </c>
      <c r="B924" s="9" t="s">
        <v>5534</v>
      </c>
      <c r="C924" s="9" t="s">
        <v>1853</v>
      </c>
      <c r="D924" s="9" t="s">
        <v>139</v>
      </c>
      <c r="E924" s="9" t="s">
        <v>371</v>
      </c>
      <c r="F924" s="9" t="s">
        <v>372</v>
      </c>
      <c r="G924" s="9" t="s">
        <v>142</v>
      </c>
      <c r="H924" s="9" t="s">
        <v>139</v>
      </c>
      <c r="I924" s="9" t="s">
        <v>411</v>
      </c>
      <c r="J924" s="9" t="s">
        <v>139</v>
      </c>
      <c r="K924" s="10">
        <v>37626</v>
      </c>
    </row>
    <row r="925" spans="1:11" x14ac:dyDescent="0.25">
      <c r="A925" s="8">
        <v>1651</v>
      </c>
      <c r="B925" s="9" t="s">
        <v>5535</v>
      </c>
      <c r="C925" s="9" t="s">
        <v>1854</v>
      </c>
      <c r="D925" s="9" t="s">
        <v>139</v>
      </c>
      <c r="E925" s="9" t="s">
        <v>1619</v>
      </c>
      <c r="F925" s="9" t="s">
        <v>1703</v>
      </c>
      <c r="G925" s="9" t="s">
        <v>142</v>
      </c>
      <c r="H925" s="9" t="s">
        <v>241</v>
      </c>
      <c r="I925" s="9" t="s">
        <v>411</v>
      </c>
      <c r="J925" s="9" t="s">
        <v>139</v>
      </c>
      <c r="K925" s="10">
        <v>37626</v>
      </c>
    </row>
    <row r="926" spans="1:11" x14ac:dyDescent="0.25">
      <c r="A926" s="8">
        <v>1658</v>
      </c>
      <c r="B926" s="9" t="s">
        <v>5536</v>
      </c>
      <c r="C926" s="9" t="s">
        <v>1855</v>
      </c>
      <c r="D926" s="9" t="s">
        <v>139</v>
      </c>
      <c r="E926" s="9" t="s">
        <v>1629</v>
      </c>
      <c r="F926" s="9" t="s">
        <v>169</v>
      </c>
      <c r="G926" s="9" t="s">
        <v>142</v>
      </c>
      <c r="H926" s="9" t="s">
        <v>166</v>
      </c>
      <c r="I926" s="9" t="s">
        <v>411</v>
      </c>
      <c r="J926" s="9" t="s">
        <v>139</v>
      </c>
      <c r="K926" s="10">
        <v>37626</v>
      </c>
    </row>
    <row r="927" spans="1:11" x14ac:dyDescent="0.25">
      <c r="A927" s="8">
        <v>1659</v>
      </c>
      <c r="B927" s="9" t="s">
        <v>5537</v>
      </c>
      <c r="C927" s="9" t="s">
        <v>1856</v>
      </c>
      <c r="D927" s="9" t="s">
        <v>139</v>
      </c>
      <c r="E927" s="9" t="s">
        <v>1857</v>
      </c>
      <c r="F927" s="9" t="s">
        <v>169</v>
      </c>
      <c r="G927" s="9" t="s">
        <v>142</v>
      </c>
      <c r="H927" s="9" t="s">
        <v>139</v>
      </c>
      <c r="I927" s="9" t="s">
        <v>411</v>
      </c>
      <c r="J927" s="9" t="s">
        <v>139</v>
      </c>
      <c r="K927" s="10">
        <v>37626</v>
      </c>
    </row>
    <row r="928" spans="1:11" x14ac:dyDescent="0.25">
      <c r="A928" s="8">
        <v>1661</v>
      </c>
      <c r="B928" s="9" t="s">
        <v>5538</v>
      </c>
      <c r="C928" s="9" t="s">
        <v>1858</v>
      </c>
      <c r="D928" s="9" t="s">
        <v>139</v>
      </c>
      <c r="E928" s="9" t="s">
        <v>1859</v>
      </c>
      <c r="F928" s="9" t="s">
        <v>1860</v>
      </c>
      <c r="G928" s="9" t="s">
        <v>142</v>
      </c>
      <c r="H928" s="9" t="s">
        <v>166</v>
      </c>
      <c r="I928" s="9" t="s">
        <v>411</v>
      </c>
      <c r="J928" s="9" t="s">
        <v>139</v>
      </c>
      <c r="K928" s="10">
        <v>37626</v>
      </c>
    </row>
    <row r="929" spans="1:11" x14ac:dyDescent="0.25">
      <c r="A929" s="8">
        <v>1665</v>
      </c>
      <c r="B929" s="9" t="s">
        <v>5539</v>
      </c>
      <c r="C929" s="9" t="s">
        <v>1861</v>
      </c>
      <c r="D929" s="9" t="s">
        <v>139</v>
      </c>
      <c r="E929" s="9" t="s">
        <v>980</v>
      </c>
      <c r="F929" s="9" t="s">
        <v>981</v>
      </c>
      <c r="G929" s="9" t="s">
        <v>142</v>
      </c>
      <c r="H929" s="9" t="s">
        <v>139</v>
      </c>
      <c r="I929" s="9" t="s">
        <v>411</v>
      </c>
      <c r="J929" s="9" t="s">
        <v>139</v>
      </c>
      <c r="K929" s="10">
        <v>37626</v>
      </c>
    </row>
    <row r="930" spans="1:11" x14ac:dyDescent="0.25">
      <c r="A930" s="8">
        <v>1666</v>
      </c>
      <c r="B930" s="9" t="s">
        <v>5540</v>
      </c>
      <c r="C930" s="9" t="s">
        <v>1862</v>
      </c>
      <c r="D930" s="9" t="s">
        <v>139</v>
      </c>
      <c r="E930" s="9" t="s">
        <v>1863</v>
      </c>
      <c r="F930" s="9" t="s">
        <v>1864</v>
      </c>
      <c r="G930" s="9" t="s">
        <v>142</v>
      </c>
      <c r="H930" s="9" t="s">
        <v>139</v>
      </c>
      <c r="I930" s="9" t="s">
        <v>411</v>
      </c>
      <c r="J930" s="9" t="s">
        <v>139</v>
      </c>
      <c r="K930" s="10">
        <v>37626</v>
      </c>
    </row>
    <row r="931" spans="1:11" x14ac:dyDescent="0.25">
      <c r="A931" s="8">
        <v>1674</v>
      </c>
      <c r="B931" s="9" t="s">
        <v>5541</v>
      </c>
      <c r="C931" s="9" t="s">
        <v>1865</v>
      </c>
      <c r="D931" s="9" t="s">
        <v>139</v>
      </c>
      <c r="E931" s="9" t="s">
        <v>892</v>
      </c>
      <c r="F931" s="9" t="s">
        <v>893</v>
      </c>
      <c r="G931" s="9" t="s">
        <v>142</v>
      </c>
      <c r="H931" s="9" t="s">
        <v>139</v>
      </c>
      <c r="I931" s="9" t="s">
        <v>411</v>
      </c>
      <c r="J931" s="9" t="s">
        <v>139</v>
      </c>
      <c r="K931" s="10">
        <v>37626</v>
      </c>
    </row>
    <row r="932" spans="1:11" x14ac:dyDescent="0.25">
      <c r="A932" s="8">
        <v>1676</v>
      </c>
      <c r="B932" s="9" t="s">
        <v>9044</v>
      </c>
      <c r="C932" s="9" t="s">
        <v>139</v>
      </c>
      <c r="D932" s="9" t="s">
        <v>139</v>
      </c>
      <c r="E932" s="9">
        <v>75</v>
      </c>
      <c r="F932" s="9" t="s">
        <v>413</v>
      </c>
      <c r="G932" s="9" t="s">
        <v>142</v>
      </c>
      <c r="H932" s="9" t="s">
        <v>139</v>
      </c>
      <c r="I932" s="9" t="s">
        <v>143</v>
      </c>
      <c r="J932" s="9" t="s">
        <v>139</v>
      </c>
      <c r="K932" s="10">
        <v>37637.514432870368</v>
      </c>
    </row>
    <row r="933" spans="1:11" x14ac:dyDescent="0.25">
      <c r="A933" s="8">
        <v>1677</v>
      </c>
      <c r="B933" s="9" t="s">
        <v>9045</v>
      </c>
      <c r="C933" s="9" t="s">
        <v>1866</v>
      </c>
      <c r="D933" s="9" t="s">
        <v>139</v>
      </c>
      <c r="E933" s="9" t="s">
        <v>308</v>
      </c>
      <c r="F933" s="9" t="s">
        <v>141</v>
      </c>
      <c r="G933" s="9" t="s">
        <v>142</v>
      </c>
      <c r="H933" s="9" t="s">
        <v>241</v>
      </c>
      <c r="I933" s="9" t="s">
        <v>143</v>
      </c>
      <c r="J933" s="9" t="s">
        <v>139</v>
      </c>
      <c r="K933" s="10">
        <v>37637.515196759261</v>
      </c>
    </row>
    <row r="934" spans="1:11" x14ac:dyDescent="0.25">
      <c r="A934" s="8">
        <v>1678</v>
      </c>
      <c r="B934" s="9" t="s">
        <v>9046</v>
      </c>
      <c r="C934" s="9" t="s">
        <v>1867</v>
      </c>
      <c r="D934" s="9" t="s">
        <v>139</v>
      </c>
      <c r="E934" s="9" t="s">
        <v>218</v>
      </c>
      <c r="F934" s="9" t="s">
        <v>141</v>
      </c>
      <c r="G934" s="9" t="s">
        <v>142</v>
      </c>
      <c r="H934" s="9" t="s">
        <v>241</v>
      </c>
      <c r="I934" s="9" t="s">
        <v>143</v>
      </c>
      <c r="J934" s="9" t="s">
        <v>139</v>
      </c>
      <c r="K934" s="10">
        <v>37637.516400462962</v>
      </c>
    </row>
    <row r="935" spans="1:11" x14ac:dyDescent="0.25">
      <c r="A935" s="8">
        <v>1679</v>
      </c>
      <c r="B935" s="9" t="s">
        <v>9047</v>
      </c>
      <c r="C935" s="9" t="s">
        <v>1868</v>
      </c>
      <c r="D935" s="9" t="s">
        <v>139</v>
      </c>
      <c r="E935" s="9" t="s">
        <v>328</v>
      </c>
      <c r="F935" s="9" t="s">
        <v>141</v>
      </c>
      <c r="G935" s="9" t="s">
        <v>142</v>
      </c>
      <c r="H935" s="9" t="s">
        <v>241</v>
      </c>
      <c r="I935" s="9" t="s">
        <v>143</v>
      </c>
      <c r="J935" s="9" t="s">
        <v>139</v>
      </c>
      <c r="K935" s="10">
        <v>37637.53365740741</v>
      </c>
    </row>
    <row r="936" spans="1:11" x14ac:dyDescent="0.25">
      <c r="A936" s="8">
        <v>1687</v>
      </c>
      <c r="B936" s="9" t="s">
        <v>5542</v>
      </c>
      <c r="C936" s="9" t="s">
        <v>1869</v>
      </c>
      <c r="D936" s="9" t="s">
        <v>139</v>
      </c>
      <c r="E936" s="9" t="s">
        <v>876</v>
      </c>
      <c r="F936" s="9" t="s">
        <v>1823</v>
      </c>
      <c r="G936" s="9" t="s">
        <v>142</v>
      </c>
      <c r="H936" s="9" t="s">
        <v>139</v>
      </c>
      <c r="I936" s="9" t="s">
        <v>411</v>
      </c>
      <c r="J936" s="9" t="s">
        <v>139</v>
      </c>
      <c r="K936" s="10">
        <v>37645.816967592589</v>
      </c>
    </row>
    <row r="937" spans="1:11" x14ac:dyDescent="0.25">
      <c r="A937" s="8">
        <v>1688</v>
      </c>
      <c r="B937" s="9" t="s">
        <v>5543</v>
      </c>
      <c r="C937" s="9" t="s">
        <v>1870</v>
      </c>
      <c r="D937" s="9" t="s">
        <v>139</v>
      </c>
      <c r="E937" s="9" t="s">
        <v>1871</v>
      </c>
      <c r="F937" s="9" t="s">
        <v>1872</v>
      </c>
      <c r="G937" s="9" t="s">
        <v>142</v>
      </c>
      <c r="H937" s="9" t="s">
        <v>139</v>
      </c>
      <c r="I937" s="9" t="s">
        <v>411</v>
      </c>
      <c r="J937" s="9" t="s">
        <v>139</v>
      </c>
      <c r="K937" s="10">
        <v>37648.462141203701</v>
      </c>
    </row>
    <row r="938" spans="1:11" x14ac:dyDescent="0.25">
      <c r="A938" s="8">
        <v>1689</v>
      </c>
      <c r="B938" s="9" t="s">
        <v>8415</v>
      </c>
      <c r="C938" s="9" t="s">
        <v>1873</v>
      </c>
      <c r="D938" s="9" t="s">
        <v>139</v>
      </c>
      <c r="E938" s="9" t="s">
        <v>1874</v>
      </c>
      <c r="F938" s="9" t="s">
        <v>1875</v>
      </c>
      <c r="G938" s="9" t="s">
        <v>444</v>
      </c>
      <c r="H938" s="9" t="s">
        <v>139</v>
      </c>
      <c r="I938" s="9" t="s">
        <v>617</v>
      </c>
      <c r="J938" s="9" t="s">
        <v>139</v>
      </c>
      <c r="K938" s="10">
        <v>37648.473692129628</v>
      </c>
    </row>
    <row r="939" spans="1:11" x14ac:dyDescent="0.25">
      <c r="A939" s="8">
        <v>1692</v>
      </c>
      <c r="B939" s="9" t="s">
        <v>5544</v>
      </c>
      <c r="C939" s="9" t="s">
        <v>1876</v>
      </c>
      <c r="D939" s="9" t="s">
        <v>139</v>
      </c>
      <c r="E939" s="9" t="s">
        <v>1877</v>
      </c>
      <c r="F939" s="9" t="s">
        <v>1878</v>
      </c>
      <c r="G939" s="9" t="s">
        <v>142</v>
      </c>
      <c r="H939" s="9" t="s">
        <v>166</v>
      </c>
      <c r="I939" s="9" t="s">
        <v>411</v>
      </c>
      <c r="J939" s="9" t="s">
        <v>139</v>
      </c>
      <c r="K939" s="10">
        <v>37648.548460648148</v>
      </c>
    </row>
    <row r="940" spans="1:11" x14ac:dyDescent="0.25">
      <c r="A940" s="8">
        <v>1694</v>
      </c>
      <c r="B940" s="9" t="s">
        <v>5545</v>
      </c>
      <c r="C940" s="9" t="s">
        <v>1879</v>
      </c>
      <c r="D940" s="9" t="s">
        <v>139</v>
      </c>
      <c r="E940" s="9" t="s">
        <v>1733</v>
      </c>
      <c r="F940" s="9" t="s">
        <v>1880</v>
      </c>
      <c r="G940" s="9" t="s">
        <v>142</v>
      </c>
      <c r="H940" s="9" t="s">
        <v>139</v>
      </c>
      <c r="I940" s="9" t="s">
        <v>411</v>
      </c>
      <c r="J940" s="9" t="s">
        <v>139</v>
      </c>
      <c r="K940" s="10">
        <v>37648.562002314815</v>
      </c>
    </row>
    <row r="941" spans="1:11" x14ac:dyDescent="0.25">
      <c r="A941" s="8">
        <v>1697</v>
      </c>
      <c r="B941" s="9" t="s">
        <v>5546</v>
      </c>
      <c r="C941" s="9" t="s">
        <v>1881</v>
      </c>
      <c r="D941" s="9" t="s">
        <v>139</v>
      </c>
      <c r="E941" s="9" t="s">
        <v>1882</v>
      </c>
      <c r="F941" s="9" t="s">
        <v>1883</v>
      </c>
      <c r="G941" s="9" t="s">
        <v>1409</v>
      </c>
      <c r="H941" s="9" t="s">
        <v>139</v>
      </c>
      <c r="I941" s="9" t="s">
        <v>411</v>
      </c>
      <c r="J941" s="9" t="s">
        <v>1884</v>
      </c>
      <c r="K941" s="10">
        <v>37648.585613425923</v>
      </c>
    </row>
    <row r="942" spans="1:11" x14ac:dyDescent="0.25">
      <c r="A942" s="8">
        <v>1698</v>
      </c>
      <c r="B942" s="9" t="s">
        <v>8416</v>
      </c>
      <c r="C942" s="9" t="s">
        <v>1885</v>
      </c>
      <c r="D942" s="9" t="s">
        <v>139</v>
      </c>
      <c r="E942" s="9" t="s">
        <v>1886</v>
      </c>
      <c r="F942" s="9" t="s">
        <v>1887</v>
      </c>
      <c r="G942" s="9" t="s">
        <v>142</v>
      </c>
      <c r="H942" s="9" t="s">
        <v>139</v>
      </c>
      <c r="I942" s="9" t="s">
        <v>617</v>
      </c>
      <c r="J942" s="9" t="s">
        <v>139</v>
      </c>
      <c r="K942" s="10">
        <v>37648.600462962961</v>
      </c>
    </row>
    <row r="943" spans="1:11" x14ac:dyDescent="0.25">
      <c r="A943" s="8">
        <v>1699</v>
      </c>
      <c r="B943" s="9" t="s">
        <v>5547</v>
      </c>
      <c r="C943" s="9" t="s">
        <v>139</v>
      </c>
      <c r="D943" s="9" t="s">
        <v>139</v>
      </c>
      <c r="E943" s="9">
        <v>75</v>
      </c>
      <c r="F943" s="9" t="s">
        <v>413</v>
      </c>
      <c r="G943" s="9" t="s">
        <v>142</v>
      </c>
      <c r="H943" s="9" t="s">
        <v>139</v>
      </c>
      <c r="I943" s="9" t="s">
        <v>411</v>
      </c>
      <c r="J943" s="9" t="s">
        <v>139</v>
      </c>
      <c r="K943" s="10">
        <v>37648.602349537039</v>
      </c>
    </row>
    <row r="944" spans="1:11" x14ac:dyDescent="0.25">
      <c r="A944" s="8">
        <v>1700</v>
      </c>
      <c r="B944" s="9" t="s">
        <v>5548</v>
      </c>
      <c r="C944" s="9" t="s">
        <v>1253</v>
      </c>
      <c r="D944" s="9" t="s">
        <v>139</v>
      </c>
      <c r="E944" s="9" t="s">
        <v>280</v>
      </c>
      <c r="F944" s="9" t="s">
        <v>141</v>
      </c>
      <c r="G944" s="9" t="s">
        <v>142</v>
      </c>
      <c r="H944" s="9" t="s">
        <v>139</v>
      </c>
      <c r="I944" s="9" t="s">
        <v>411</v>
      </c>
      <c r="J944" s="9" t="s">
        <v>139</v>
      </c>
      <c r="K944" s="10">
        <v>37648.606539351851</v>
      </c>
    </row>
    <row r="945" spans="1:11" x14ac:dyDescent="0.25">
      <c r="A945" s="8">
        <v>1701</v>
      </c>
      <c r="B945" s="9" t="s">
        <v>5549</v>
      </c>
      <c r="C945" s="9" t="s">
        <v>1888</v>
      </c>
      <c r="D945" s="9" t="s">
        <v>139</v>
      </c>
      <c r="E945" s="9" t="s">
        <v>1889</v>
      </c>
      <c r="F945" s="9" t="s">
        <v>1890</v>
      </c>
      <c r="G945" s="9" t="s">
        <v>602</v>
      </c>
      <c r="H945" s="9" t="s">
        <v>139</v>
      </c>
      <c r="I945" s="9" t="s">
        <v>411</v>
      </c>
      <c r="J945" s="9" t="s">
        <v>1891</v>
      </c>
      <c r="K945" s="10">
        <v>37649.505706018521</v>
      </c>
    </row>
    <row r="946" spans="1:11" x14ac:dyDescent="0.25">
      <c r="A946" s="8">
        <v>1706</v>
      </c>
      <c r="B946" s="9" t="s">
        <v>5550</v>
      </c>
      <c r="C946" s="9" t="s">
        <v>1892</v>
      </c>
      <c r="D946" s="9" t="s">
        <v>139</v>
      </c>
      <c r="E946" s="9" t="s">
        <v>1893</v>
      </c>
      <c r="F946" s="9" t="s">
        <v>1894</v>
      </c>
      <c r="G946" s="9" t="s">
        <v>142</v>
      </c>
      <c r="H946" s="9" t="s">
        <v>258</v>
      </c>
      <c r="I946" s="9" t="s">
        <v>411</v>
      </c>
      <c r="J946" s="9" t="s">
        <v>139</v>
      </c>
      <c r="K946" s="10">
        <v>37649.539201388892</v>
      </c>
    </row>
    <row r="947" spans="1:11" x14ac:dyDescent="0.25">
      <c r="A947" s="8">
        <v>1707</v>
      </c>
      <c r="B947" s="9" t="s">
        <v>9048</v>
      </c>
      <c r="C947" s="9" t="s">
        <v>1895</v>
      </c>
      <c r="D947" s="9" t="s">
        <v>139</v>
      </c>
      <c r="E947" s="9" t="s">
        <v>286</v>
      </c>
      <c r="F947" s="9" t="s">
        <v>141</v>
      </c>
      <c r="G947" s="9" t="s">
        <v>142</v>
      </c>
      <c r="H947" s="9" t="s">
        <v>166</v>
      </c>
      <c r="I947" s="9" t="s">
        <v>143</v>
      </c>
      <c r="J947" s="9" t="s">
        <v>139</v>
      </c>
      <c r="K947" s="10">
        <v>37655.613078703704</v>
      </c>
    </row>
    <row r="948" spans="1:11" x14ac:dyDescent="0.25">
      <c r="A948" s="8">
        <v>1708</v>
      </c>
      <c r="B948" s="9" t="s">
        <v>9049</v>
      </c>
      <c r="C948" s="9" t="s">
        <v>1896</v>
      </c>
      <c r="D948" s="9" t="s">
        <v>139</v>
      </c>
      <c r="E948" s="9" t="s">
        <v>606</v>
      </c>
      <c r="F948" s="9" t="s">
        <v>1897</v>
      </c>
      <c r="G948" s="9" t="s">
        <v>142</v>
      </c>
      <c r="H948" s="9" t="s">
        <v>166</v>
      </c>
      <c r="I948" s="9" t="s">
        <v>143</v>
      </c>
      <c r="J948" s="9" t="s">
        <v>139</v>
      </c>
      <c r="K948" s="10">
        <v>37655.629432870373</v>
      </c>
    </row>
    <row r="949" spans="1:11" x14ac:dyDescent="0.25">
      <c r="A949" s="8">
        <v>1709</v>
      </c>
      <c r="B949" s="9" t="s">
        <v>5551</v>
      </c>
      <c r="C949" s="9" t="s">
        <v>1898</v>
      </c>
      <c r="D949" s="9" t="s">
        <v>139</v>
      </c>
      <c r="E949" s="9" t="s">
        <v>1899</v>
      </c>
      <c r="F949" s="9" t="s">
        <v>1900</v>
      </c>
      <c r="G949" s="9" t="s">
        <v>142</v>
      </c>
      <c r="H949" s="9" t="s">
        <v>139</v>
      </c>
      <c r="I949" s="9" t="s">
        <v>411</v>
      </c>
      <c r="J949" s="9" t="s">
        <v>139</v>
      </c>
      <c r="K949" s="10">
        <v>37656.785590277781</v>
      </c>
    </row>
    <row r="950" spans="1:11" x14ac:dyDescent="0.25">
      <c r="A950" s="8">
        <v>1710</v>
      </c>
      <c r="B950" s="9" t="s">
        <v>5552</v>
      </c>
      <c r="C950" s="9" t="s">
        <v>1901</v>
      </c>
      <c r="D950" s="9" t="s">
        <v>139</v>
      </c>
      <c r="E950" s="9" t="s">
        <v>1198</v>
      </c>
      <c r="F950" s="9" t="s">
        <v>1199</v>
      </c>
      <c r="G950" s="9" t="s">
        <v>142</v>
      </c>
      <c r="H950" s="9" t="s">
        <v>241</v>
      </c>
      <c r="I950" s="9" t="s">
        <v>411</v>
      </c>
      <c r="J950" s="9" t="s">
        <v>139</v>
      </c>
      <c r="K950" s="10">
        <v>37657.715219907404</v>
      </c>
    </row>
    <row r="951" spans="1:11" x14ac:dyDescent="0.25">
      <c r="A951" s="8">
        <v>1711</v>
      </c>
      <c r="B951" s="9" t="s">
        <v>5553</v>
      </c>
      <c r="C951" s="9" t="s">
        <v>1902</v>
      </c>
      <c r="D951" s="9" t="s">
        <v>139</v>
      </c>
      <c r="E951" s="9" t="s">
        <v>1903</v>
      </c>
      <c r="F951" s="9" t="s">
        <v>1904</v>
      </c>
      <c r="G951" s="9" t="s">
        <v>142</v>
      </c>
      <c r="H951" s="9" t="s">
        <v>139</v>
      </c>
      <c r="I951" s="9" t="s">
        <v>411</v>
      </c>
      <c r="J951" s="9" t="s">
        <v>139</v>
      </c>
      <c r="K951" s="10">
        <v>37657.721504629626</v>
      </c>
    </row>
    <row r="952" spans="1:11" x14ac:dyDescent="0.25">
      <c r="A952" s="8">
        <v>1712</v>
      </c>
      <c r="B952" s="9" t="s">
        <v>5554</v>
      </c>
      <c r="C952" s="9" t="s">
        <v>1905</v>
      </c>
      <c r="D952" s="9" t="s">
        <v>139</v>
      </c>
      <c r="E952" s="9" t="s">
        <v>1906</v>
      </c>
      <c r="F952" s="9" t="s">
        <v>1907</v>
      </c>
      <c r="G952" s="9" t="s">
        <v>142</v>
      </c>
      <c r="H952" s="9" t="s">
        <v>139</v>
      </c>
      <c r="I952" s="9" t="s">
        <v>411</v>
      </c>
      <c r="J952" s="9" t="s">
        <v>139</v>
      </c>
      <c r="K952" s="10">
        <v>37657.724722222221</v>
      </c>
    </row>
    <row r="953" spans="1:11" x14ac:dyDescent="0.25">
      <c r="A953" s="8">
        <v>1717</v>
      </c>
      <c r="B953" s="9" t="s">
        <v>5555</v>
      </c>
      <c r="C953" s="9" t="s">
        <v>1908</v>
      </c>
      <c r="D953" s="9" t="s">
        <v>139</v>
      </c>
      <c r="E953" s="9" t="s">
        <v>1909</v>
      </c>
      <c r="F953" s="9" t="s">
        <v>1910</v>
      </c>
      <c r="G953" s="9" t="s">
        <v>602</v>
      </c>
      <c r="H953" s="9" t="s">
        <v>139</v>
      </c>
      <c r="I953" s="9" t="s">
        <v>411</v>
      </c>
      <c r="J953" s="9" t="s">
        <v>1911</v>
      </c>
      <c r="K953" s="10">
        <v>37662.655497685184</v>
      </c>
    </row>
    <row r="954" spans="1:11" x14ac:dyDescent="0.25">
      <c r="A954" s="8">
        <v>1718</v>
      </c>
      <c r="B954" s="9" t="s">
        <v>5556</v>
      </c>
      <c r="C954" s="9" t="s">
        <v>1912</v>
      </c>
      <c r="D954" s="9" t="s">
        <v>139</v>
      </c>
      <c r="E954" s="9" t="s">
        <v>1913</v>
      </c>
      <c r="F954" s="9" t="s">
        <v>1914</v>
      </c>
      <c r="G954" s="9" t="s">
        <v>1915</v>
      </c>
      <c r="H954" s="9" t="s">
        <v>258</v>
      </c>
      <c r="I954" s="9" t="s">
        <v>411</v>
      </c>
      <c r="J954" s="9" t="s">
        <v>1916</v>
      </c>
      <c r="K954" s="10">
        <v>37662.66128472222</v>
      </c>
    </row>
    <row r="955" spans="1:11" x14ac:dyDescent="0.25">
      <c r="A955" s="8">
        <v>1723</v>
      </c>
      <c r="B955" s="9" t="s">
        <v>5557</v>
      </c>
      <c r="C955" s="9" t="s">
        <v>1764</v>
      </c>
      <c r="D955" s="9" t="s">
        <v>139</v>
      </c>
      <c r="E955" s="9" t="s">
        <v>1917</v>
      </c>
      <c r="F955" s="9" t="s">
        <v>1918</v>
      </c>
      <c r="G955" s="9" t="s">
        <v>142</v>
      </c>
      <c r="H955" s="9" t="s">
        <v>139</v>
      </c>
      <c r="I955" s="9" t="s">
        <v>411</v>
      </c>
      <c r="J955" s="9" t="s">
        <v>139</v>
      </c>
      <c r="K955" s="10">
        <v>37664.742303240739</v>
      </c>
    </row>
    <row r="956" spans="1:11" x14ac:dyDescent="0.25">
      <c r="A956" s="8">
        <v>1724</v>
      </c>
      <c r="B956" s="9" t="s">
        <v>5558</v>
      </c>
      <c r="C956" s="9" t="s">
        <v>1919</v>
      </c>
      <c r="D956" s="9" t="s">
        <v>139</v>
      </c>
      <c r="E956" s="9" t="s">
        <v>1345</v>
      </c>
      <c r="F956" s="9" t="s">
        <v>1920</v>
      </c>
      <c r="G956" s="9" t="s">
        <v>882</v>
      </c>
      <c r="H956" s="9" t="s">
        <v>139</v>
      </c>
      <c r="I956" s="9" t="s">
        <v>411</v>
      </c>
      <c r="J956" s="9" t="s">
        <v>139</v>
      </c>
      <c r="K956" s="10">
        <v>37664.747199074074</v>
      </c>
    </row>
    <row r="957" spans="1:11" x14ac:dyDescent="0.25">
      <c r="A957" s="8">
        <v>1725</v>
      </c>
      <c r="B957" s="9" t="s">
        <v>5559</v>
      </c>
      <c r="C957" s="9" t="s">
        <v>1921</v>
      </c>
      <c r="D957" s="9" t="s">
        <v>139</v>
      </c>
      <c r="E957" s="9" t="s">
        <v>1922</v>
      </c>
      <c r="F957" s="9" t="s">
        <v>1923</v>
      </c>
      <c r="G957" s="9" t="s">
        <v>882</v>
      </c>
      <c r="H957" s="9" t="s">
        <v>139</v>
      </c>
      <c r="I957" s="9" t="s">
        <v>411</v>
      </c>
      <c r="J957" s="9" t="s">
        <v>139</v>
      </c>
      <c r="K957" s="10">
        <v>37664.749895833331</v>
      </c>
    </row>
    <row r="958" spans="1:11" x14ac:dyDescent="0.25">
      <c r="A958" s="8">
        <v>1726</v>
      </c>
      <c r="B958" s="9" t="s">
        <v>5560</v>
      </c>
      <c r="C958" s="9" t="s">
        <v>1924</v>
      </c>
      <c r="D958" s="9" t="s">
        <v>139</v>
      </c>
      <c r="E958" s="9" t="s">
        <v>1925</v>
      </c>
      <c r="F958" s="9" t="s">
        <v>1926</v>
      </c>
      <c r="G958" s="9" t="s">
        <v>142</v>
      </c>
      <c r="H958" s="9" t="s">
        <v>166</v>
      </c>
      <c r="I958" s="9" t="s">
        <v>411</v>
      </c>
      <c r="J958" s="9" t="s">
        <v>139</v>
      </c>
      <c r="K958" s="10">
        <v>37664.752638888887</v>
      </c>
    </row>
    <row r="959" spans="1:11" x14ac:dyDescent="0.25">
      <c r="A959" s="8">
        <v>1734</v>
      </c>
      <c r="B959" s="9" t="s">
        <v>5561</v>
      </c>
      <c r="C959" s="9" t="s">
        <v>1927</v>
      </c>
      <c r="D959" s="9" t="s">
        <v>139</v>
      </c>
      <c r="E959" s="9" t="s">
        <v>1928</v>
      </c>
      <c r="F959" s="9" t="s">
        <v>1929</v>
      </c>
      <c r="G959" s="9" t="s">
        <v>142</v>
      </c>
      <c r="H959" s="9" t="s">
        <v>166</v>
      </c>
      <c r="I959" s="9" t="s">
        <v>411</v>
      </c>
      <c r="J959" s="9" t="s">
        <v>139</v>
      </c>
      <c r="K959" s="10">
        <v>37672.712268518517</v>
      </c>
    </row>
    <row r="960" spans="1:11" x14ac:dyDescent="0.25">
      <c r="A960" s="8">
        <v>1736</v>
      </c>
      <c r="B960" s="9" t="s">
        <v>5562</v>
      </c>
      <c r="C960" s="9" t="s">
        <v>1930</v>
      </c>
      <c r="D960" s="9" t="s">
        <v>139</v>
      </c>
      <c r="E960" s="9" t="s">
        <v>1777</v>
      </c>
      <c r="F960" s="9" t="s">
        <v>1778</v>
      </c>
      <c r="G960" s="9" t="s">
        <v>142</v>
      </c>
      <c r="H960" s="9" t="s">
        <v>241</v>
      </c>
      <c r="I960" s="9" t="s">
        <v>411</v>
      </c>
      <c r="J960" s="9" t="s">
        <v>139</v>
      </c>
      <c r="K960" s="10">
        <v>37674.669849537036</v>
      </c>
    </row>
    <row r="961" spans="1:11" x14ac:dyDescent="0.25">
      <c r="A961" s="8">
        <v>1743</v>
      </c>
      <c r="B961" s="9" t="s">
        <v>5563</v>
      </c>
      <c r="C961" s="9" t="s">
        <v>1931</v>
      </c>
      <c r="D961" s="9" t="s">
        <v>139</v>
      </c>
      <c r="E961" s="9" t="s">
        <v>218</v>
      </c>
      <c r="F961" s="9" t="s">
        <v>141</v>
      </c>
      <c r="G961" s="9" t="s">
        <v>142</v>
      </c>
      <c r="H961" s="9" t="s">
        <v>139</v>
      </c>
      <c r="I961" s="9" t="s">
        <v>411</v>
      </c>
      <c r="J961" s="9" t="s">
        <v>139</v>
      </c>
      <c r="K961" s="10">
        <v>37679.573437500003</v>
      </c>
    </row>
    <row r="962" spans="1:11" x14ac:dyDescent="0.25">
      <c r="A962" s="8">
        <v>1745</v>
      </c>
      <c r="B962" s="9" t="s">
        <v>5564</v>
      </c>
      <c r="C962" s="9" t="s">
        <v>1932</v>
      </c>
      <c r="D962" s="9" t="s">
        <v>139</v>
      </c>
      <c r="E962" s="9" t="s">
        <v>1933</v>
      </c>
      <c r="F962" s="9" t="s">
        <v>1934</v>
      </c>
      <c r="G962" s="9" t="s">
        <v>142</v>
      </c>
      <c r="H962" s="9" t="s">
        <v>241</v>
      </c>
      <c r="I962" s="9" t="s">
        <v>411</v>
      </c>
      <c r="J962" s="9" t="s">
        <v>1935</v>
      </c>
      <c r="K962" s="10">
        <v>37685.680219907408</v>
      </c>
    </row>
    <row r="963" spans="1:11" x14ac:dyDescent="0.25">
      <c r="A963" s="8">
        <v>1746</v>
      </c>
      <c r="B963" s="9" t="s">
        <v>5565</v>
      </c>
      <c r="C963" s="9" t="s">
        <v>1936</v>
      </c>
      <c r="D963" s="9" t="s">
        <v>139</v>
      </c>
      <c r="E963" s="9" t="s">
        <v>769</v>
      </c>
      <c r="F963" s="9" t="s">
        <v>141</v>
      </c>
      <c r="G963" s="9" t="s">
        <v>142</v>
      </c>
      <c r="H963" s="9" t="s">
        <v>166</v>
      </c>
      <c r="I963" s="9" t="s">
        <v>411</v>
      </c>
      <c r="J963" s="9" t="s">
        <v>139</v>
      </c>
      <c r="K963" s="10">
        <v>37686.644837962966</v>
      </c>
    </row>
    <row r="964" spans="1:11" x14ac:dyDescent="0.25">
      <c r="A964" s="8">
        <v>1748</v>
      </c>
      <c r="B964" s="9" t="s">
        <v>9050</v>
      </c>
      <c r="C964" s="9" t="s">
        <v>1937</v>
      </c>
      <c r="D964" s="9" t="s">
        <v>139</v>
      </c>
      <c r="E964" s="9" t="s">
        <v>1938</v>
      </c>
      <c r="F964" s="9" t="s">
        <v>1939</v>
      </c>
      <c r="G964" s="9" t="s">
        <v>142</v>
      </c>
      <c r="H964" s="9" t="s">
        <v>166</v>
      </c>
      <c r="I964" s="9" t="s">
        <v>143</v>
      </c>
      <c r="J964" s="9" t="s">
        <v>139</v>
      </c>
      <c r="K964" s="10">
        <v>37692.682118055556</v>
      </c>
    </row>
    <row r="965" spans="1:11" x14ac:dyDescent="0.25">
      <c r="A965" s="8">
        <v>1749</v>
      </c>
      <c r="B965" s="9" t="s">
        <v>5566</v>
      </c>
      <c r="C965" s="9" t="s">
        <v>1940</v>
      </c>
      <c r="D965" s="9" t="s">
        <v>139</v>
      </c>
      <c r="E965" s="9" t="s">
        <v>1941</v>
      </c>
      <c r="F965" s="9" t="s">
        <v>1942</v>
      </c>
      <c r="G965" s="9" t="s">
        <v>142</v>
      </c>
      <c r="H965" s="9" t="s">
        <v>139</v>
      </c>
      <c r="I965" s="9" t="s">
        <v>411</v>
      </c>
      <c r="J965" s="9" t="s">
        <v>139</v>
      </c>
      <c r="K965" s="10">
        <v>37693.599780092591</v>
      </c>
    </row>
    <row r="966" spans="1:11" x14ac:dyDescent="0.25">
      <c r="A966" s="8">
        <v>1752</v>
      </c>
      <c r="B966" s="9" t="s">
        <v>8417</v>
      </c>
      <c r="C966" s="9" t="s">
        <v>1943</v>
      </c>
      <c r="D966" s="9" t="s">
        <v>139</v>
      </c>
      <c r="E966" s="9" t="s">
        <v>260</v>
      </c>
      <c r="F966" s="9" t="s">
        <v>1944</v>
      </c>
      <c r="G966" s="9" t="s">
        <v>142</v>
      </c>
      <c r="H966" s="9" t="s">
        <v>139</v>
      </c>
      <c r="I966" s="9" t="s">
        <v>617</v>
      </c>
      <c r="J966" s="9" t="s">
        <v>139</v>
      </c>
      <c r="K966" s="10">
        <v>37694.743113425924</v>
      </c>
    </row>
    <row r="967" spans="1:11" x14ac:dyDescent="0.25">
      <c r="A967" s="8">
        <v>1755</v>
      </c>
      <c r="B967" s="9" t="s">
        <v>9051</v>
      </c>
      <c r="C967" s="9" t="s">
        <v>1945</v>
      </c>
      <c r="D967" s="9" t="s">
        <v>139</v>
      </c>
      <c r="E967" s="9" t="s">
        <v>535</v>
      </c>
      <c r="F967" s="9" t="s">
        <v>536</v>
      </c>
      <c r="G967" s="9" t="s">
        <v>142</v>
      </c>
      <c r="H967" s="9" t="s">
        <v>166</v>
      </c>
      <c r="I967" s="9" t="s">
        <v>143</v>
      </c>
      <c r="J967" s="9" t="s">
        <v>139</v>
      </c>
      <c r="K967" s="10">
        <v>37705.737071759257</v>
      </c>
    </row>
    <row r="968" spans="1:11" x14ac:dyDescent="0.25">
      <c r="A968" s="8">
        <v>1756</v>
      </c>
      <c r="B968" s="9" t="s">
        <v>9052</v>
      </c>
      <c r="C968" s="9" t="s">
        <v>1946</v>
      </c>
      <c r="D968" s="9" t="s">
        <v>139</v>
      </c>
      <c r="E968" s="9" t="s">
        <v>328</v>
      </c>
      <c r="F968" s="9" t="s">
        <v>141</v>
      </c>
      <c r="G968" s="9" t="s">
        <v>142</v>
      </c>
      <c r="H968" s="9" t="s">
        <v>258</v>
      </c>
      <c r="I968" s="9" t="s">
        <v>143</v>
      </c>
      <c r="J968" s="9" t="s">
        <v>139</v>
      </c>
      <c r="K968" s="10">
        <v>37706.619710648149</v>
      </c>
    </row>
    <row r="969" spans="1:11" x14ac:dyDescent="0.25">
      <c r="A969" s="8">
        <v>1757</v>
      </c>
      <c r="B969" s="9" t="s">
        <v>5567</v>
      </c>
      <c r="C969" s="9" t="s">
        <v>1947</v>
      </c>
      <c r="D969" s="9" t="s">
        <v>139</v>
      </c>
      <c r="E969" s="9" t="s">
        <v>212</v>
      </c>
      <c r="F969" s="9" t="s">
        <v>141</v>
      </c>
      <c r="G969" s="9" t="s">
        <v>142</v>
      </c>
      <c r="H969" s="9" t="s">
        <v>139</v>
      </c>
      <c r="I969" s="9" t="s">
        <v>411</v>
      </c>
      <c r="J969" s="9" t="s">
        <v>139</v>
      </c>
      <c r="K969" s="10">
        <v>37707.572129629632</v>
      </c>
    </row>
    <row r="970" spans="1:11" x14ac:dyDescent="0.25">
      <c r="A970" s="8">
        <v>1761</v>
      </c>
      <c r="B970" s="9" t="s">
        <v>9053</v>
      </c>
      <c r="C970" s="9" t="s">
        <v>139</v>
      </c>
      <c r="D970" s="9" t="s">
        <v>139</v>
      </c>
      <c r="E970" s="9">
        <v>75</v>
      </c>
      <c r="F970" s="9" t="s">
        <v>413</v>
      </c>
      <c r="G970" s="9" t="s">
        <v>142</v>
      </c>
      <c r="H970" s="9" t="s">
        <v>166</v>
      </c>
      <c r="I970" s="9" t="s">
        <v>143</v>
      </c>
      <c r="J970" s="9" t="s">
        <v>139</v>
      </c>
      <c r="K970" s="10">
        <v>37709.73673611111</v>
      </c>
    </row>
    <row r="971" spans="1:11" x14ac:dyDescent="0.25">
      <c r="A971" s="8">
        <v>1765</v>
      </c>
      <c r="B971" s="9" t="s">
        <v>5568</v>
      </c>
      <c r="C971" s="9" t="s">
        <v>1948</v>
      </c>
      <c r="D971" s="9" t="s">
        <v>139</v>
      </c>
      <c r="E971" s="9" t="s">
        <v>147</v>
      </c>
      <c r="F971" s="9" t="s">
        <v>141</v>
      </c>
      <c r="G971" s="9" t="s">
        <v>142</v>
      </c>
      <c r="H971" s="9" t="s">
        <v>241</v>
      </c>
      <c r="I971" s="9" t="s">
        <v>411</v>
      </c>
      <c r="J971" s="9" t="s">
        <v>139</v>
      </c>
      <c r="K971" s="10">
        <v>37711.536631944444</v>
      </c>
    </row>
    <row r="972" spans="1:11" x14ac:dyDescent="0.25">
      <c r="A972" s="8">
        <v>1766</v>
      </c>
      <c r="B972" s="9" t="s">
        <v>5569</v>
      </c>
      <c r="C972" s="9" t="s">
        <v>1949</v>
      </c>
      <c r="D972" s="9" t="s">
        <v>139</v>
      </c>
      <c r="E972" s="9" t="s">
        <v>202</v>
      </c>
      <c r="F972" s="9" t="s">
        <v>141</v>
      </c>
      <c r="G972" s="9" t="s">
        <v>142</v>
      </c>
      <c r="H972" s="9" t="s">
        <v>241</v>
      </c>
      <c r="I972" s="9" t="s">
        <v>411</v>
      </c>
      <c r="J972" s="9" t="s">
        <v>139</v>
      </c>
      <c r="K972" s="10">
        <v>37711.543078703704</v>
      </c>
    </row>
    <row r="973" spans="1:11" x14ac:dyDescent="0.25">
      <c r="A973" s="8">
        <v>1768</v>
      </c>
      <c r="B973" s="9" t="s">
        <v>5570</v>
      </c>
      <c r="C973" s="9" t="s">
        <v>1950</v>
      </c>
      <c r="D973" s="9" t="s">
        <v>139</v>
      </c>
      <c r="E973" s="9" t="s">
        <v>147</v>
      </c>
      <c r="F973" s="9" t="s">
        <v>141</v>
      </c>
      <c r="G973" s="9" t="s">
        <v>142</v>
      </c>
      <c r="H973" s="9" t="s">
        <v>241</v>
      </c>
      <c r="I973" s="9" t="s">
        <v>411</v>
      </c>
      <c r="J973" s="9" t="s">
        <v>139</v>
      </c>
      <c r="K973" s="10">
        <v>37711.550532407404</v>
      </c>
    </row>
    <row r="974" spans="1:11" x14ac:dyDescent="0.25">
      <c r="A974" s="8">
        <v>1769</v>
      </c>
      <c r="B974" s="9" t="s">
        <v>5571</v>
      </c>
      <c r="C974" s="9" t="s">
        <v>1951</v>
      </c>
      <c r="D974" s="9" t="s">
        <v>139</v>
      </c>
      <c r="E974" s="9" t="s">
        <v>229</v>
      </c>
      <c r="F974" s="9" t="s">
        <v>141</v>
      </c>
      <c r="G974" s="9" t="s">
        <v>142</v>
      </c>
      <c r="H974" s="9" t="s">
        <v>241</v>
      </c>
      <c r="I974" s="9" t="s">
        <v>411</v>
      </c>
      <c r="J974" s="9" t="s">
        <v>139</v>
      </c>
      <c r="K974" s="10">
        <v>37711.632523148146</v>
      </c>
    </row>
    <row r="975" spans="1:11" x14ac:dyDescent="0.25">
      <c r="A975" s="8">
        <v>1770</v>
      </c>
      <c r="B975" s="9" t="s">
        <v>5572</v>
      </c>
      <c r="C975" s="9" t="s">
        <v>1952</v>
      </c>
      <c r="D975" s="9" t="s">
        <v>139</v>
      </c>
      <c r="E975" s="9" t="s">
        <v>149</v>
      </c>
      <c r="F975" s="9" t="s">
        <v>141</v>
      </c>
      <c r="G975" s="9" t="s">
        <v>142</v>
      </c>
      <c r="H975" s="9" t="s">
        <v>139</v>
      </c>
      <c r="I975" s="9" t="s">
        <v>411</v>
      </c>
      <c r="J975" s="9" t="s">
        <v>139</v>
      </c>
      <c r="K975" s="10">
        <v>37712.722893518519</v>
      </c>
    </row>
    <row r="976" spans="1:11" x14ac:dyDescent="0.25">
      <c r="A976" s="8">
        <v>1774</v>
      </c>
      <c r="B976" s="9" t="s">
        <v>5573</v>
      </c>
      <c r="C976" s="9" t="s">
        <v>1953</v>
      </c>
      <c r="D976" s="9" t="s">
        <v>139</v>
      </c>
      <c r="E976" s="9" t="s">
        <v>140</v>
      </c>
      <c r="F976" s="9" t="s">
        <v>141</v>
      </c>
      <c r="G976" s="9" t="s">
        <v>142</v>
      </c>
      <c r="H976" s="9" t="s">
        <v>139</v>
      </c>
      <c r="I976" s="9" t="s">
        <v>411</v>
      </c>
      <c r="J976" s="9" t="s">
        <v>139</v>
      </c>
      <c r="K976" s="10">
        <v>37713.559861111113</v>
      </c>
    </row>
    <row r="977" spans="1:11" x14ac:dyDescent="0.25">
      <c r="A977" s="8">
        <v>1777</v>
      </c>
      <c r="B977" s="9" t="s">
        <v>8418</v>
      </c>
      <c r="C977" s="9" t="s">
        <v>1954</v>
      </c>
      <c r="D977" s="9" t="s">
        <v>139</v>
      </c>
      <c r="E977" s="9" t="s">
        <v>1955</v>
      </c>
      <c r="F977" s="9" t="s">
        <v>1956</v>
      </c>
      <c r="G977" s="9" t="s">
        <v>142</v>
      </c>
      <c r="H977" s="9" t="s">
        <v>139</v>
      </c>
      <c r="I977" s="9" t="s">
        <v>617</v>
      </c>
      <c r="J977" s="9" t="s">
        <v>139</v>
      </c>
      <c r="K977" s="10">
        <v>37713.583749999998</v>
      </c>
    </row>
    <row r="978" spans="1:11" x14ac:dyDescent="0.25">
      <c r="A978" s="8">
        <v>1778</v>
      </c>
      <c r="B978" s="9" t="s">
        <v>5574</v>
      </c>
      <c r="C978" s="9" t="s">
        <v>139</v>
      </c>
      <c r="D978" s="9" t="s">
        <v>139</v>
      </c>
      <c r="E978" s="9" t="s">
        <v>1957</v>
      </c>
      <c r="F978" s="9" t="s">
        <v>1958</v>
      </c>
      <c r="G978" s="9" t="s">
        <v>142</v>
      </c>
      <c r="H978" s="9" t="s">
        <v>166</v>
      </c>
      <c r="I978" s="9" t="s">
        <v>411</v>
      </c>
      <c r="J978" s="9" t="s">
        <v>139</v>
      </c>
      <c r="K978" s="10">
        <v>37713.690729166665</v>
      </c>
    </row>
    <row r="979" spans="1:11" x14ac:dyDescent="0.25">
      <c r="A979" s="8">
        <v>1780</v>
      </c>
      <c r="B979" s="9" t="s">
        <v>5575</v>
      </c>
      <c r="C979" s="9" t="s">
        <v>1959</v>
      </c>
      <c r="D979" s="9" t="s">
        <v>139</v>
      </c>
      <c r="E979" s="9" t="s">
        <v>140</v>
      </c>
      <c r="F979" s="9" t="s">
        <v>141</v>
      </c>
      <c r="G979" s="9" t="s">
        <v>142</v>
      </c>
      <c r="H979" s="9" t="s">
        <v>241</v>
      </c>
      <c r="I979" s="9" t="s">
        <v>411</v>
      </c>
      <c r="J979" s="9" t="s">
        <v>139</v>
      </c>
      <c r="K979" s="10">
        <v>37715.553356481483</v>
      </c>
    </row>
    <row r="980" spans="1:11" x14ac:dyDescent="0.25">
      <c r="A980" s="8">
        <v>1782</v>
      </c>
      <c r="B980" s="9" t="s">
        <v>5576</v>
      </c>
      <c r="C980" s="9" t="s">
        <v>1960</v>
      </c>
      <c r="D980" s="9" t="s">
        <v>139</v>
      </c>
      <c r="E980" s="9" t="s">
        <v>1961</v>
      </c>
      <c r="F980" s="9" t="s">
        <v>1962</v>
      </c>
      <c r="G980" s="9" t="s">
        <v>873</v>
      </c>
      <c r="H980" s="9" t="s">
        <v>139</v>
      </c>
      <c r="I980" s="9" t="s">
        <v>411</v>
      </c>
      <c r="J980" s="9" t="s">
        <v>139</v>
      </c>
      <c r="K980" s="10">
        <v>37720.738888888889</v>
      </c>
    </row>
    <row r="981" spans="1:11" x14ac:dyDescent="0.25">
      <c r="A981" s="8">
        <v>1784</v>
      </c>
      <c r="B981" s="9" t="s">
        <v>5577</v>
      </c>
      <c r="C981" s="9" t="s">
        <v>1963</v>
      </c>
      <c r="D981" s="9" t="s">
        <v>139</v>
      </c>
      <c r="E981" s="9" t="s">
        <v>1964</v>
      </c>
      <c r="F981" s="9" t="s">
        <v>1965</v>
      </c>
      <c r="G981" s="9" t="s">
        <v>142</v>
      </c>
      <c r="H981" s="9" t="s">
        <v>139</v>
      </c>
      <c r="I981" s="9" t="s">
        <v>411</v>
      </c>
      <c r="J981" s="9" t="s">
        <v>139</v>
      </c>
      <c r="K981" s="10">
        <v>37727.765069444446</v>
      </c>
    </row>
    <row r="982" spans="1:11" x14ac:dyDescent="0.25">
      <c r="A982" s="8">
        <v>1785</v>
      </c>
      <c r="B982" s="9" t="s">
        <v>9054</v>
      </c>
      <c r="C982" s="9" t="s">
        <v>1966</v>
      </c>
      <c r="D982" s="9" t="s">
        <v>139</v>
      </c>
      <c r="E982" s="9" t="s">
        <v>306</v>
      </c>
      <c r="F982" s="9" t="s">
        <v>141</v>
      </c>
      <c r="G982" s="9" t="s">
        <v>142</v>
      </c>
      <c r="H982" s="9" t="s">
        <v>241</v>
      </c>
      <c r="I982" s="9" t="s">
        <v>143</v>
      </c>
      <c r="J982" s="9" t="s">
        <v>139</v>
      </c>
      <c r="K982" s="10">
        <v>37730.462997685187</v>
      </c>
    </row>
    <row r="983" spans="1:11" x14ac:dyDescent="0.25">
      <c r="A983" s="8">
        <v>1786</v>
      </c>
      <c r="B983" s="9" t="s">
        <v>9055</v>
      </c>
      <c r="C983" s="9" t="s">
        <v>1967</v>
      </c>
      <c r="D983" s="9" t="s">
        <v>139</v>
      </c>
      <c r="E983" s="9" t="s">
        <v>229</v>
      </c>
      <c r="F983" s="9" t="s">
        <v>141</v>
      </c>
      <c r="G983" s="9" t="s">
        <v>142</v>
      </c>
      <c r="H983" s="9" t="s">
        <v>241</v>
      </c>
      <c r="I983" s="9" t="s">
        <v>143</v>
      </c>
      <c r="J983" s="9" t="s">
        <v>139</v>
      </c>
      <c r="K983" s="10">
        <v>37730.463472222225</v>
      </c>
    </row>
    <row r="984" spans="1:11" x14ac:dyDescent="0.25">
      <c r="A984" s="8">
        <v>1787</v>
      </c>
      <c r="B984" s="9" t="s">
        <v>9056</v>
      </c>
      <c r="C984" s="9" t="s">
        <v>1968</v>
      </c>
      <c r="D984" s="9" t="s">
        <v>139</v>
      </c>
      <c r="E984" s="9" t="s">
        <v>1969</v>
      </c>
      <c r="F984" s="9" t="s">
        <v>1970</v>
      </c>
      <c r="G984" s="9" t="s">
        <v>142</v>
      </c>
      <c r="H984" s="9" t="s">
        <v>321</v>
      </c>
      <c r="I984" s="9" t="s">
        <v>143</v>
      </c>
      <c r="J984" s="9" t="s">
        <v>139</v>
      </c>
      <c r="K984" s="10">
        <v>37730.464201388888</v>
      </c>
    </row>
    <row r="985" spans="1:11" x14ac:dyDescent="0.25">
      <c r="A985" s="8">
        <v>1788</v>
      </c>
      <c r="B985" s="9" t="s">
        <v>9057</v>
      </c>
      <c r="C985" s="9" t="s">
        <v>1971</v>
      </c>
      <c r="D985" s="9" t="s">
        <v>139</v>
      </c>
      <c r="E985" s="9" t="s">
        <v>706</v>
      </c>
      <c r="F985" s="9" t="s">
        <v>141</v>
      </c>
      <c r="G985" s="9" t="s">
        <v>142</v>
      </c>
      <c r="H985" s="9" t="s">
        <v>321</v>
      </c>
      <c r="I985" s="9" t="s">
        <v>143</v>
      </c>
      <c r="J985" s="9" t="s">
        <v>139</v>
      </c>
      <c r="K985" s="10">
        <v>37730.465312499997</v>
      </c>
    </row>
    <row r="986" spans="1:11" x14ac:dyDescent="0.25">
      <c r="A986" s="8">
        <v>1790</v>
      </c>
      <c r="B986" s="9" t="s">
        <v>9058</v>
      </c>
      <c r="C986" s="9" t="s">
        <v>1972</v>
      </c>
      <c r="D986" s="9" t="s">
        <v>139</v>
      </c>
      <c r="E986" s="9" t="s">
        <v>306</v>
      </c>
      <c r="F986" s="9" t="s">
        <v>141</v>
      </c>
      <c r="G986" s="9" t="s">
        <v>142</v>
      </c>
      <c r="H986" s="9" t="s">
        <v>241</v>
      </c>
      <c r="I986" s="9" t="s">
        <v>143</v>
      </c>
      <c r="J986" s="9" t="s">
        <v>139</v>
      </c>
      <c r="K986" s="10">
        <v>37734.742534722223</v>
      </c>
    </row>
    <row r="987" spans="1:11" x14ac:dyDescent="0.25">
      <c r="A987" s="8">
        <v>1791</v>
      </c>
      <c r="B987" s="9" t="s">
        <v>9059</v>
      </c>
      <c r="C987" s="9" t="s">
        <v>1973</v>
      </c>
      <c r="D987" s="9" t="s">
        <v>139</v>
      </c>
      <c r="E987" s="9" t="s">
        <v>163</v>
      </c>
      <c r="F987" s="9" t="s">
        <v>141</v>
      </c>
      <c r="G987" s="9" t="s">
        <v>142</v>
      </c>
      <c r="H987" s="9" t="s">
        <v>139</v>
      </c>
      <c r="I987" s="9" t="s">
        <v>143</v>
      </c>
      <c r="J987" s="9" t="s">
        <v>139</v>
      </c>
      <c r="K987" s="10">
        <v>37734.744513888887</v>
      </c>
    </row>
    <row r="988" spans="1:11" x14ac:dyDescent="0.25">
      <c r="A988" s="8">
        <v>1792</v>
      </c>
      <c r="B988" s="9" t="s">
        <v>9300</v>
      </c>
      <c r="C988" s="9" t="s">
        <v>139</v>
      </c>
      <c r="D988" s="9" t="s">
        <v>139</v>
      </c>
      <c r="E988" s="9">
        <v>75</v>
      </c>
      <c r="F988" s="9" t="s">
        <v>413</v>
      </c>
      <c r="G988" s="9" t="s">
        <v>142</v>
      </c>
      <c r="H988" s="9" t="s">
        <v>139</v>
      </c>
      <c r="I988" s="9" t="s">
        <v>1062</v>
      </c>
      <c r="J988" s="9" t="s">
        <v>139</v>
      </c>
      <c r="K988" s="10">
        <v>37734.746504629627</v>
      </c>
    </row>
    <row r="989" spans="1:11" x14ac:dyDescent="0.25">
      <c r="A989" s="8">
        <v>1794</v>
      </c>
      <c r="B989" s="9" t="s">
        <v>5578</v>
      </c>
      <c r="C989" s="9" t="s">
        <v>1974</v>
      </c>
      <c r="D989" s="9" t="s">
        <v>139</v>
      </c>
      <c r="E989" s="9" t="s">
        <v>1975</v>
      </c>
      <c r="F989" s="9" t="s">
        <v>1976</v>
      </c>
      <c r="G989" s="9" t="s">
        <v>142</v>
      </c>
      <c r="H989" s="9" t="s">
        <v>139</v>
      </c>
      <c r="I989" s="9" t="s">
        <v>411</v>
      </c>
      <c r="J989" s="9" t="s">
        <v>139</v>
      </c>
      <c r="K989" s="10">
        <v>37736.726886574077</v>
      </c>
    </row>
    <row r="990" spans="1:11" x14ac:dyDescent="0.25">
      <c r="A990" s="8">
        <v>1796</v>
      </c>
      <c r="B990" s="9" t="s">
        <v>5579</v>
      </c>
      <c r="C990" s="9" t="s">
        <v>1977</v>
      </c>
      <c r="D990" s="9" t="s">
        <v>139</v>
      </c>
      <c r="E990" s="9" t="s">
        <v>1978</v>
      </c>
      <c r="F990" s="9" t="s">
        <v>1979</v>
      </c>
      <c r="G990" s="9" t="s">
        <v>142</v>
      </c>
      <c r="H990" s="9" t="s">
        <v>139</v>
      </c>
      <c r="I990" s="9" t="s">
        <v>411</v>
      </c>
      <c r="J990" s="9" t="s">
        <v>139</v>
      </c>
      <c r="K990" s="10">
        <v>37736.733182870368</v>
      </c>
    </row>
    <row r="991" spans="1:11" x14ac:dyDescent="0.25">
      <c r="A991" s="8">
        <v>1797</v>
      </c>
      <c r="B991" s="9" t="s">
        <v>5580</v>
      </c>
      <c r="C991" s="9" t="s">
        <v>139</v>
      </c>
      <c r="D991" s="9" t="s">
        <v>139</v>
      </c>
      <c r="E991" s="9">
        <v>75</v>
      </c>
      <c r="F991" s="9" t="s">
        <v>413</v>
      </c>
      <c r="G991" s="9" t="s">
        <v>142</v>
      </c>
      <c r="H991" s="9" t="s">
        <v>139</v>
      </c>
      <c r="I991" s="9" t="s">
        <v>411</v>
      </c>
      <c r="J991" s="9" t="s">
        <v>139</v>
      </c>
      <c r="K991" s="10">
        <v>37742.76295138889</v>
      </c>
    </row>
    <row r="992" spans="1:11" x14ac:dyDescent="0.25">
      <c r="A992" s="8">
        <v>1798</v>
      </c>
      <c r="B992" s="9" t="s">
        <v>9060</v>
      </c>
      <c r="C992" s="9" t="s">
        <v>139</v>
      </c>
      <c r="D992" s="9" t="s">
        <v>139</v>
      </c>
      <c r="E992" s="9">
        <v>75</v>
      </c>
      <c r="F992" s="9" t="s">
        <v>413</v>
      </c>
      <c r="G992" s="9" t="s">
        <v>142</v>
      </c>
      <c r="H992" s="9" t="s">
        <v>139</v>
      </c>
      <c r="I992" s="9" t="s">
        <v>143</v>
      </c>
      <c r="J992" s="9" t="s">
        <v>139</v>
      </c>
      <c r="K992" s="10">
        <v>37744.733495370368</v>
      </c>
    </row>
    <row r="993" spans="1:11" x14ac:dyDescent="0.25">
      <c r="A993" s="8">
        <v>1802</v>
      </c>
      <c r="B993" s="9" t="s">
        <v>5581</v>
      </c>
      <c r="C993" s="9" t="s">
        <v>1981</v>
      </c>
      <c r="D993" s="9" t="s">
        <v>139</v>
      </c>
      <c r="E993" s="9" t="s">
        <v>1982</v>
      </c>
      <c r="F993" s="9" t="s">
        <v>1983</v>
      </c>
      <c r="G993" s="9" t="s">
        <v>142</v>
      </c>
      <c r="H993" s="9" t="s">
        <v>139</v>
      </c>
      <c r="I993" s="9" t="s">
        <v>411</v>
      </c>
      <c r="J993" s="9" t="s">
        <v>139</v>
      </c>
      <c r="K993" s="10">
        <v>37750.765555555554</v>
      </c>
    </row>
    <row r="994" spans="1:11" x14ac:dyDescent="0.25">
      <c r="A994" s="8">
        <v>1803</v>
      </c>
      <c r="B994" s="9" t="s">
        <v>9061</v>
      </c>
      <c r="C994" s="9" t="s">
        <v>1984</v>
      </c>
      <c r="D994" s="9" t="s">
        <v>139</v>
      </c>
      <c r="E994" s="9" t="s">
        <v>229</v>
      </c>
      <c r="F994" s="9" t="s">
        <v>141</v>
      </c>
      <c r="G994" s="9" t="s">
        <v>142</v>
      </c>
      <c r="H994" s="9" t="s">
        <v>139</v>
      </c>
      <c r="I994" s="9" t="s">
        <v>143</v>
      </c>
      <c r="J994" s="9" t="s">
        <v>139</v>
      </c>
      <c r="K994" s="10">
        <v>37751.802928240744</v>
      </c>
    </row>
    <row r="995" spans="1:11" x14ac:dyDescent="0.25">
      <c r="A995" s="8">
        <v>1804</v>
      </c>
      <c r="B995" s="9" t="s">
        <v>5582</v>
      </c>
      <c r="C995" s="9" t="s">
        <v>1985</v>
      </c>
      <c r="D995" s="9" t="s">
        <v>139</v>
      </c>
      <c r="E995" s="9" t="s">
        <v>263</v>
      </c>
      <c r="F995" s="9" t="s">
        <v>413</v>
      </c>
      <c r="G995" s="9" t="s">
        <v>142</v>
      </c>
      <c r="H995" s="9" t="s">
        <v>166</v>
      </c>
      <c r="I995" s="9" t="s">
        <v>411</v>
      </c>
      <c r="J995" s="9" t="s">
        <v>139</v>
      </c>
      <c r="K995" s="10">
        <v>37754.591134259259</v>
      </c>
    </row>
    <row r="996" spans="1:11" x14ac:dyDescent="0.25">
      <c r="A996" s="8">
        <v>1806</v>
      </c>
      <c r="B996" s="9" t="s">
        <v>9062</v>
      </c>
      <c r="C996" s="9" t="s">
        <v>139</v>
      </c>
      <c r="D996" s="9" t="s">
        <v>139</v>
      </c>
      <c r="E996" s="9">
        <v>75</v>
      </c>
      <c r="F996" s="9" t="s">
        <v>413</v>
      </c>
      <c r="G996" s="9" t="s">
        <v>142</v>
      </c>
      <c r="H996" s="9" t="s">
        <v>139</v>
      </c>
      <c r="I996" s="9" t="s">
        <v>143</v>
      </c>
      <c r="J996" s="9" t="s">
        <v>139</v>
      </c>
      <c r="K996" s="10">
        <v>37760.730115740742</v>
      </c>
    </row>
    <row r="997" spans="1:11" x14ac:dyDescent="0.25">
      <c r="A997" s="8">
        <v>1807</v>
      </c>
      <c r="B997" s="9" t="s">
        <v>9063</v>
      </c>
      <c r="C997" s="9" t="s">
        <v>1986</v>
      </c>
      <c r="D997" s="9" t="s">
        <v>139</v>
      </c>
      <c r="E997" s="9" t="s">
        <v>314</v>
      </c>
      <c r="F997" s="9" t="s">
        <v>1987</v>
      </c>
      <c r="G997" s="9" t="s">
        <v>142</v>
      </c>
      <c r="H997" s="9" t="s">
        <v>258</v>
      </c>
      <c r="I997" s="9" t="s">
        <v>143</v>
      </c>
      <c r="J997" s="9" t="s">
        <v>139</v>
      </c>
      <c r="K997" s="10">
        <v>37760.732060185182</v>
      </c>
    </row>
    <row r="998" spans="1:11" x14ac:dyDescent="0.25">
      <c r="A998" s="8">
        <v>1808</v>
      </c>
      <c r="B998" s="9" t="s">
        <v>9064</v>
      </c>
      <c r="C998" s="9" t="s">
        <v>1988</v>
      </c>
      <c r="D998" s="9" t="s">
        <v>139</v>
      </c>
      <c r="E998" s="9" t="s">
        <v>1989</v>
      </c>
      <c r="F998" s="9" t="s">
        <v>1990</v>
      </c>
      <c r="G998" s="9" t="s">
        <v>142</v>
      </c>
      <c r="H998" s="9" t="s">
        <v>139</v>
      </c>
      <c r="I998" s="9" t="s">
        <v>143</v>
      </c>
      <c r="J998" s="9" t="s">
        <v>139</v>
      </c>
      <c r="K998" s="10">
        <v>37760.733668981484</v>
      </c>
    </row>
    <row r="999" spans="1:11" x14ac:dyDescent="0.25">
      <c r="A999" s="8">
        <v>1809</v>
      </c>
      <c r="B999" s="9" t="s">
        <v>9065</v>
      </c>
      <c r="C999" s="9" t="s">
        <v>1991</v>
      </c>
      <c r="D999" s="9" t="s">
        <v>139</v>
      </c>
      <c r="E999" s="9" t="s">
        <v>1989</v>
      </c>
      <c r="F999" s="9" t="s">
        <v>1990</v>
      </c>
      <c r="G999" s="9" t="s">
        <v>142</v>
      </c>
      <c r="H999" s="9" t="s">
        <v>139</v>
      </c>
      <c r="I999" s="9" t="s">
        <v>143</v>
      </c>
      <c r="J999" s="9" t="s">
        <v>139</v>
      </c>
      <c r="K999" s="10">
        <v>37760.734895833331</v>
      </c>
    </row>
    <row r="1000" spans="1:11" x14ac:dyDescent="0.25">
      <c r="A1000" s="8">
        <v>1810</v>
      </c>
      <c r="B1000" s="9" t="s">
        <v>9066</v>
      </c>
      <c r="C1000" s="9" t="s">
        <v>1992</v>
      </c>
      <c r="D1000" s="9" t="s">
        <v>139</v>
      </c>
      <c r="E1000" s="9" t="s">
        <v>1091</v>
      </c>
      <c r="F1000" s="9" t="s">
        <v>1092</v>
      </c>
      <c r="G1000" s="9" t="s">
        <v>142</v>
      </c>
      <c r="H1000" s="9" t="s">
        <v>139</v>
      </c>
      <c r="I1000" s="9" t="s">
        <v>143</v>
      </c>
      <c r="J1000" s="9" t="s">
        <v>139</v>
      </c>
      <c r="K1000" s="10">
        <v>37760.735925925925</v>
      </c>
    </row>
    <row r="1001" spans="1:11" x14ac:dyDescent="0.25">
      <c r="A1001" s="8">
        <v>1811</v>
      </c>
      <c r="B1001" s="9" t="s">
        <v>9067</v>
      </c>
      <c r="C1001" s="9" t="s">
        <v>1993</v>
      </c>
      <c r="D1001" s="9" t="s">
        <v>139</v>
      </c>
      <c r="E1001" s="9" t="s">
        <v>218</v>
      </c>
      <c r="F1001" s="9" t="s">
        <v>141</v>
      </c>
      <c r="G1001" s="9" t="s">
        <v>142</v>
      </c>
      <c r="H1001" s="9" t="s">
        <v>139</v>
      </c>
      <c r="I1001" s="9" t="s">
        <v>143</v>
      </c>
      <c r="J1001" s="9" t="s">
        <v>139</v>
      </c>
      <c r="K1001" s="10">
        <v>37760.737754629627</v>
      </c>
    </row>
    <row r="1002" spans="1:11" x14ac:dyDescent="0.25">
      <c r="A1002" s="8">
        <v>1812</v>
      </c>
      <c r="B1002" s="9" t="s">
        <v>9068</v>
      </c>
      <c r="C1002" s="9" t="s">
        <v>139</v>
      </c>
      <c r="D1002" s="9" t="s">
        <v>139</v>
      </c>
      <c r="E1002" s="9">
        <v>75</v>
      </c>
      <c r="F1002" s="9" t="s">
        <v>413</v>
      </c>
      <c r="G1002" s="9" t="s">
        <v>142</v>
      </c>
      <c r="H1002" s="9" t="s">
        <v>139</v>
      </c>
      <c r="I1002" s="9" t="s">
        <v>143</v>
      </c>
      <c r="J1002" s="9" t="s">
        <v>139</v>
      </c>
      <c r="K1002" s="10">
        <v>37760.739236111112</v>
      </c>
    </row>
    <row r="1003" spans="1:11" x14ac:dyDescent="0.25">
      <c r="A1003" s="8">
        <v>1813</v>
      </c>
      <c r="B1003" s="9" t="s">
        <v>9069</v>
      </c>
      <c r="C1003" s="9" t="s">
        <v>1994</v>
      </c>
      <c r="D1003" s="9" t="s">
        <v>139</v>
      </c>
      <c r="E1003" s="9" t="s">
        <v>416</v>
      </c>
      <c r="F1003" s="9" t="s">
        <v>1576</v>
      </c>
      <c r="G1003" s="9" t="s">
        <v>142</v>
      </c>
      <c r="H1003" s="9" t="s">
        <v>139</v>
      </c>
      <c r="I1003" s="9" t="s">
        <v>143</v>
      </c>
      <c r="J1003" s="9" t="s">
        <v>139</v>
      </c>
      <c r="K1003" s="10">
        <v>37760.740046296298</v>
      </c>
    </row>
    <row r="1004" spans="1:11" x14ac:dyDescent="0.25">
      <c r="A1004" s="8">
        <v>1814</v>
      </c>
      <c r="B1004" s="9" t="s">
        <v>9070</v>
      </c>
      <c r="C1004" s="9" t="s">
        <v>139</v>
      </c>
      <c r="D1004" s="9" t="s">
        <v>139</v>
      </c>
      <c r="E1004" s="9">
        <v>75</v>
      </c>
      <c r="F1004" s="9" t="s">
        <v>413</v>
      </c>
      <c r="G1004" s="9" t="s">
        <v>142</v>
      </c>
      <c r="H1004" s="9" t="s">
        <v>139</v>
      </c>
      <c r="I1004" s="9" t="s">
        <v>143</v>
      </c>
      <c r="J1004" s="9" t="s">
        <v>139</v>
      </c>
      <c r="K1004" s="10">
        <v>37760.740960648145</v>
      </c>
    </row>
    <row r="1005" spans="1:11" x14ac:dyDescent="0.25">
      <c r="A1005" s="8">
        <v>1815</v>
      </c>
      <c r="B1005" s="9" t="s">
        <v>9071</v>
      </c>
      <c r="C1005" s="9" t="s">
        <v>139</v>
      </c>
      <c r="D1005" s="9" t="s">
        <v>139</v>
      </c>
      <c r="E1005" s="9">
        <v>75</v>
      </c>
      <c r="F1005" s="9" t="s">
        <v>413</v>
      </c>
      <c r="G1005" s="9" t="s">
        <v>142</v>
      </c>
      <c r="H1005" s="9" t="s">
        <v>139</v>
      </c>
      <c r="I1005" s="9" t="s">
        <v>143</v>
      </c>
      <c r="J1005" s="9" t="s">
        <v>139</v>
      </c>
      <c r="K1005" s="10">
        <v>37760.741666666669</v>
      </c>
    </row>
    <row r="1006" spans="1:11" x14ac:dyDescent="0.25">
      <c r="A1006" s="8">
        <v>1816</v>
      </c>
      <c r="B1006" s="9" t="s">
        <v>9072</v>
      </c>
      <c r="C1006" s="9" t="s">
        <v>139</v>
      </c>
      <c r="D1006" s="9" t="s">
        <v>139</v>
      </c>
      <c r="E1006" s="9">
        <v>75</v>
      </c>
      <c r="F1006" s="9" t="s">
        <v>413</v>
      </c>
      <c r="G1006" s="9" t="s">
        <v>142</v>
      </c>
      <c r="H1006" s="9" t="s">
        <v>139</v>
      </c>
      <c r="I1006" s="9" t="s">
        <v>143</v>
      </c>
      <c r="J1006" s="9" t="s">
        <v>139</v>
      </c>
      <c r="K1006" s="10">
        <v>37760.742407407408</v>
      </c>
    </row>
    <row r="1007" spans="1:11" x14ac:dyDescent="0.25">
      <c r="A1007" s="8">
        <v>1817</v>
      </c>
      <c r="B1007" s="9" t="s">
        <v>9073</v>
      </c>
      <c r="C1007" s="9" t="s">
        <v>139</v>
      </c>
      <c r="D1007" s="9" t="s">
        <v>139</v>
      </c>
      <c r="E1007" s="9">
        <v>75</v>
      </c>
      <c r="F1007" s="9" t="s">
        <v>413</v>
      </c>
      <c r="G1007" s="9" t="s">
        <v>142</v>
      </c>
      <c r="H1007" s="9" t="s">
        <v>139</v>
      </c>
      <c r="I1007" s="9" t="s">
        <v>143</v>
      </c>
      <c r="J1007" s="9" t="s">
        <v>139</v>
      </c>
      <c r="K1007" s="10">
        <v>37760.742881944447</v>
      </c>
    </row>
    <row r="1008" spans="1:11" x14ac:dyDescent="0.25">
      <c r="A1008" s="8">
        <v>1818</v>
      </c>
      <c r="B1008" s="9" t="s">
        <v>9074</v>
      </c>
      <c r="C1008" s="9" t="s">
        <v>139</v>
      </c>
      <c r="D1008" s="9" t="s">
        <v>139</v>
      </c>
      <c r="E1008" s="9">
        <v>75</v>
      </c>
      <c r="F1008" s="9" t="s">
        <v>413</v>
      </c>
      <c r="G1008" s="9" t="s">
        <v>142</v>
      </c>
      <c r="H1008" s="9" t="s">
        <v>139</v>
      </c>
      <c r="I1008" s="9" t="s">
        <v>143</v>
      </c>
      <c r="J1008" s="9" t="s">
        <v>139</v>
      </c>
      <c r="K1008" s="10">
        <v>37760.743298611109</v>
      </c>
    </row>
    <row r="1009" spans="1:11" x14ac:dyDescent="0.25">
      <c r="A1009" s="8">
        <v>1819</v>
      </c>
      <c r="B1009" s="9" t="s">
        <v>9075</v>
      </c>
      <c r="C1009" s="9" t="s">
        <v>1995</v>
      </c>
      <c r="D1009" s="9" t="s">
        <v>139</v>
      </c>
      <c r="E1009" s="9" t="s">
        <v>246</v>
      </c>
      <c r="F1009" s="9" t="s">
        <v>1996</v>
      </c>
      <c r="G1009" s="9" t="s">
        <v>142</v>
      </c>
      <c r="H1009" s="9" t="s">
        <v>139</v>
      </c>
      <c r="I1009" s="9" t="s">
        <v>143</v>
      </c>
      <c r="J1009" s="9" t="s">
        <v>139</v>
      </c>
      <c r="K1009" s="10">
        <v>37762.642905092594</v>
      </c>
    </row>
    <row r="1010" spans="1:11" x14ac:dyDescent="0.25">
      <c r="A1010" s="8">
        <v>1820</v>
      </c>
      <c r="B1010" s="9" t="s">
        <v>9076</v>
      </c>
      <c r="C1010" s="9" t="s">
        <v>1997</v>
      </c>
      <c r="D1010" s="9" t="s">
        <v>139</v>
      </c>
      <c r="E1010" s="9" t="s">
        <v>1998</v>
      </c>
      <c r="F1010" s="9" t="s">
        <v>1999</v>
      </c>
      <c r="G1010" s="9" t="s">
        <v>142</v>
      </c>
      <c r="H1010" s="9" t="s">
        <v>1078</v>
      </c>
      <c r="I1010" s="9" t="s">
        <v>143</v>
      </c>
      <c r="J1010" s="9" t="s">
        <v>139</v>
      </c>
      <c r="K1010" s="10">
        <v>37762.644259259258</v>
      </c>
    </row>
    <row r="1011" spans="1:11" x14ac:dyDescent="0.25">
      <c r="A1011" s="8">
        <v>1821</v>
      </c>
      <c r="B1011" s="9" t="s">
        <v>9077</v>
      </c>
      <c r="C1011" s="9" t="s">
        <v>2000</v>
      </c>
      <c r="D1011" s="9" t="s">
        <v>139</v>
      </c>
      <c r="E1011" s="9" t="s">
        <v>197</v>
      </c>
      <c r="F1011" s="9" t="s">
        <v>141</v>
      </c>
      <c r="G1011" s="9" t="s">
        <v>142</v>
      </c>
      <c r="H1011" s="9" t="s">
        <v>139</v>
      </c>
      <c r="I1011" s="9" t="s">
        <v>143</v>
      </c>
      <c r="J1011" s="9" t="s">
        <v>139</v>
      </c>
      <c r="K1011" s="10">
        <v>37762.64534722222</v>
      </c>
    </row>
    <row r="1012" spans="1:11" x14ac:dyDescent="0.25">
      <c r="A1012" s="8">
        <v>1822</v>
      </c>
      <c r="B1012" s="9" t="s">
        <v>9078</v>
      </c>
      <c r="C1012" s="9" t="s">
        <v>2001</v>
      </c>
      <c r="D1012" s="9" t="s">
        <v>139</v>
      </c>
      <c r="E1012" s="9" t="s">
        <v>260</v>
      </c>
      <c r="F1012" s="9" t="s">
        <v>1944</v>
      </c>
      <c r="G1012" s="9" t="s">
        <v>142</v>
      </c>
      <c r="H1012" s="9" t="s">
        <v>139</v>
      </c>
      <c r="I1012" s="9" t="s">
        <v>143</v>
      </c>
      <c r="J1012" s="9" t="s">
        <v>139</v>
      </c>
      <c r="K1012" s="10">
        <v>37762.647152777776</v>
      </c>
    </row>
    <row r="1013" spans="1:11" x14ac:dyDescent="0.25">
      <c r="A1013" s="8">
        <v>1823</v>
      </c>
      <c r="B1013" s="9" t="s">
        <v>9079</v>
      </c>
      <c r="C1013" s="9" t="s">
        <v>139</v>
      </c>
      <c r="D1013" s="9" t="s">
        <v>139</v>
      </c>
      <c r="E1013" s="9">
        <v>75</v>
      </c>
      <c r="F1013" s="9" t="s">
        <v>413</v>
      </c>
      <c r="G1013" s="9" t="s">
        <v>142</v>
      </c>
      <c r="H1013" s="9" t="s">
        <v>139</v>
      </c>
      <c r="I1013" s="9" t="s">
        <v>143</v>
      </c>
      <c r="J1013" s="9" t="s">
        <v>139</v>
      </c>
      <c r="K1013" s="10">
        <v>37762.648530092592</v>
      </c>
    </row>
    <row r="1014" spans="1:11" x14ac:dyDescent="0.25">
      <c r="A1014" s="8">
        <v>1824</v>
      </c>
      <c r="B1014" s="9" t="s">
        <v>9080</v>
      </c>
      <c r="C1014" s="9" t="s">
        <v>139</v>
      </c>
      <c r="D1014" s="9" t="s">
        <v>139</v>
      </c>
      <c r="E1014" s="9">
        <v>75</v>
      </c>
      <c r="F1014" s="9" t="s">
        <v>413</v>
      </c>
      <c r="G1014" s="9" t="s">
        <v>142</v>
      </c>
      <c r="H1014" s="9" t="s">
        <v>139</v>
      </c>
      <c r="I1014" s="9" t="s">
        <v>143</v>
      </c>
      <c r="J1014" s="9" t="s">
        <v>139</v>
      </c>
      <c r="K1014" s="10">
        <v>37762.649062500001</v>
      </c>
    </row>
    <row r="1015" spans="1:11" x14ac:dyDescent="0.25">
      <c r="A1015" s="8">
        <v>1825</v>
      </c>
      <c r="B1015" s="9" t="s">
        <v>9081</v>
      </c>
      <c r="C1015" s="9" t="s">
        <v>139</v>
      </c>
      <c r="D1015" s="9" t="s">
        <v>139</v>
      </c>
      <c r="E1015" s="9">
        <v>75</v>
      </c>
      <c r="F1015" s="9" t="s">
        <v>413</v>
      </c>
      <c r="G1015" s="9" t="s">
        <v>142</v>
      </c>
      <c r="H1015" s="9" t="s">
        <v>139</v>
      </c>
      <c r="I1015" s="9" t="s">
        <v>143</v>
      </c>
      <c r="J1015" s="9" t="s">
        <v>139</v>
      </c>
      <c r="K1015" s="10">
        <v>37762.649953703702</v>
      </c>
    </row>
    <row r="1016" spans="1:11" x14ac:dyDescent="0.25">
      <c r="A1016" s="8">
        <v>1826</v>
      </c>
      <c r="B1016" s="9" t="s">
        <v>9082</v>
      </c>
      <c r="C1016" s="9" t="s">
        <v>139</v>
      </c>
      <c r="D1016" s="9" t="s">
        <v>139</v>
      </c>
      <c r="E1016" s="9">
        <v>75</v>
      </c>
      <c r="F1016" s="9" t="s">
        <v>413</v>
      </c>
      <c r="G1016" s="9" t="s">
        <v>142</v>
      </c>
      <c r="H1016" s="9" t="s">
        <v>139</v>
      </c>
      <c r="I1016" s="9" t="s">
        <v>143</v>
      </c>
      <c r="J1016" s="9" t="s">
        <v>139</v>
      </c>
      <c r="K1016" s="10">
        <v>37762.650509259256</v>
      </c>
    </row>
    <row r="1017" spans="1:11" x14ac:dyDescent="0.25">
      <c r="A1017" s="8">
        <v>1827</v>
      </c>
      <c r="B1017" s="9" t="s">
        <v>9083</v>
      </c>
      <c r="C1017" s="9" t="s">
        <v>139</v>
      </c>
      <c r="D1017" s="9" t="s">
        <v>139</v>
      </c>
      <c r="E1017" s="9">
        <v>75</v>
      </c>
      <c r="F1017" s="9" t="s">
        <v>413</v>
      </c>
      <c r="G1017" s="9" t="s">
        <v>142</v>
      </c>
      <c r="H1017" s="9" t="s">
        <v>139</v>
      </c>
      <c r="I1017" s="9" t="s">
        <v>143</v>
      </c>
      <c r="J1017" s="9" t="s">
        <v>139</v>
      </c>
      <c r="K1017" s="10">
        <v>37762.650821759256</v>
      </c>
    </row>
    <row r="1018" spans="1:11" x14ac:dyDescent="0.25">
      <c r="A1018" s="8">
        <v>1828</v>
      </c>
      <c r="B1018" s="9" t="s">
        <v>9084</v>
      </c>
      <c r="C1018" s="9" t="s">
        <v>139</v>
      </c>
      <c r="D1018" s="9" t="s">
        <v>139</v>
      </c>
      <c r="E1018" s="9">
        <v>75</v>
      </c>
      <c r="F1018" s="9" t="s">
        <v>413</v>
      </c>
      <c r="G1018" s="9" t="s">
        <v>142</v>
      </c>
      <c r="H1018" s="9" t="s">
        <v>139</v>
      </c>
      <c r="I1018" s="9" t="s">
        <v>143</v>
      </c>
      <c r="J1018" s="9" t="s">
        <v>139</v>
      </c>
      <c r="K1018" s="10">
        <v>37762.65111111111</v>
      </c>
    </row>
    <row r="1019" spans="1:11" x14ac:dyDescent="0.25">
      <c r="A1019" s="8">
        <v>1829</v>
      </c>
      <c r="B1019" s="9" t="s">
        <v>9085</v>
      </c>
      <c r="C1019" s="9" t="s">
        <v>139</v>
      </c>
      <c r="D1019" s="9" t="s">
        <v>139</v>
      </c>
      <c r="E1019" s="9">
        <v>75</v>
      </c>
      <c r="F1019" s="9" t="s">
        <v>413</v>
      </c>
      <c r="G1019" s="9" t="s">
        <v>142</v>
      </c>
      <c r="H1019" s="9" t="s">
        <v>139</v>
      </c>
      <c r="I1019" s="9" t="s">
        <v>143</v>
      </c>
      <c r="J1019" s="9" t="s">
        <v>139</v>
      </c>
      <c r="K1019" s="10">
        <v>37762.651469907411</v>
      </c>
    </row>
    <row r="1020" spans="1:11" x14ac:dyDescent="0.25">
      <c r="A1020" s="8">
        <v>1830</v>
      </c>
      <c r="B1020" s="9" t="s">
        <v>9086</v>
      </c>
      <c r="C1020" s="9" t="s">
        <v>139</v>
      </c>
      <c r="D1020" s="9" t="s">
        <v>139</v>
      </c>
      <c r="E1020" s="9">
        <v>75</v>
      </c>
      <c r="F1020" s="9" t="s">
        <v>413</v>
      </c>
      <c r="G1020" s="9" t="s">
        <v>142</v>
      </c>
      <c r="H1020" s="9" t="s">
        <v>139</v>
      </c>
      <c r="I1020" s="9" t="s">
        <v>143</v>
      </c>
      <c r="J1020" s="9" t="s">
        <v>139</v>
      </c>
      <c r="K1020" s="10">
        <v>37762.652025462965</v>
      </c>
    </row>
    <row r="1021" spans="1:11" x14ac:dyDescent="0.25">
      <c r="A1021" s="8">
        <v>1831</v>
      </c>
      <c r="B1021" s="9" t="s">
        <v>9087</v>
      </c>
      <c r="C1021" s="9" t="s">
        <v>139</v>
      </c>
      <c r="D1021" s="9" t="s">
        <v>139</v>
      </c>
      <c r="E1021" s="9">
        <v>75</v>
      </c>
      <c r="F1021" s="9" t="s">
        <v>413</v>
      </c>
      <c r="G1021" s="9" t="s">
        <v>142</v>
      </c>
      <c r="H1021" s="9" t="s">
        <v>139</v>
      </c>
      <c r="I1021" s="9" t="s">
        <v>143</v>
      </c>
      <c r="J1021" s="9" t="s">
        <v>139</v>
      </c>
      <c r="K1021" s="10">
        <v>37762.652395833335</v>
      </c>
    </row>
    <row r="1022" spans="1:11" x14ac:dyDescent="0.25">
      <c r="A1022" s="8">
        <v>1832</v>
      </c>
      <c r="B1022" s="9" t="s">
        <v>9088</v>
      </c>
      <c r="C1022" s="9" t="s">
        <v>139</v>
      </c>
      <c r="D1022" s="9" t="s">
        <v>139</v>
      </c>
      <c r="E1022" s="9">
        <v>75</v>
      </c>
      <c r="F1022" s="9" t="s">
        <v>413</v>
      </c>
      <c r="G1022" s="9" t="s">
        <v>142</v>
      </c>
      <c r="H1022" s="9" t="s">
        <v>139</v>
      </c>
      <c r="I1022" s="9" t="s">
        <v>143</v>
      </c>
      <c r="J1022" s="9" t="s">
        <v>139</v>
      </c>
      <c r="K1022" s="10">
        <v>37762.652708333335</v>
      </c>
    </row>
    <row r="1023" spans="1:11" x14ac:dyDescent="0.25">
      <c r="A1023" s="8">
        <v>1833</v>
      </c>
      <c r="B1023" s="9" t="s">
        <v>9089</v>
      </c>
      <c r="C1023" s="9" t="s">
        <v>139</v>
      </c>
      <c r="D1023" s="9" t="s">
        <v>139</v>
      </c>
      <c r="E1023" s="9">
        <v>75</v>
      </c>
      <c r="F1023" s="9" t="s">
        <v>413</v>
      </c>
      <c r="G1023" s="9" t="s">
        <v>142</v>
      </c>
      <c r="H1023" s="9" t="s">
        <v>139</v>
      </c>
      <c r="I1023" s="9" t="s">
        <v>143</v>
      </c>
      <c r="J1023" s="9" t="s">
        <v>139</v>
      </c>
      <c r="K1023" s="10">
        <v>37762.653078703705</v>
      </c>
    </row>
    <row r="1024" spans="1:11" x14ac:dyDescent="0.25">
      <c r="A1024" s="8">
        <v>1834</v>
      </c>
      <c r="B1024" s="9" t="s">
        <v>9090</v>
      </c>
      <c r="C1024" s="9" t="s">
        <v>139</v>
      </c>
      <c r="D1024" s="9" t="s">
        <v>139</v>
      </c>
      <c r="E1024" s="9">
        <v>75</v>
      </c>
      <c r="F1024" s="9" t="s">
        <v>413</v>
      </c>
      <c r="G1024" s="9" t="s">
        <v>142</v>
      </c>
      <c r="H1024" s="9" t="s">
        <v>139</v>
      </c>
      <c r="I1024" s="9" t="s">
        <v>143</v>
      </c>
      <c r="J1024" s="9" t="s">
        <v>139</v>
      </c>
      <c r="K1024" s="10">
        <v>37762.653437499997</v>
      </c>
    </row>
    <row r="1025" spans="1:11" x14ac:dyDescent="0.25">
      <c r="A1025" s="8">
        <v>1835</v>
      </c>
      <c r="B1025" s="9" t="s">
        <v>9091</v>
      </c>
      <c r="C1025" s="9" t="s">
        <v>139</v>
      </c>
      <c r="D1025" s="9" t="s">
        <v>139</v>
      </c>
      <c r="E1025" s="9">
        <v>75</v>
      </c>
      <c r="F1025" s="9" t="s">
        <v>413</v>
      </c>
      <c r="G1025" s="9" t="s">
        <v>142</v>
      </c>
      <c r="H1025" s="9" t="s">
        <v>139</v>
      </c>
      <c r="I1025" s="9" t="s">
        <v>143</v>
      </c>
      <c r="J1025" s="9" t="s">
        <v>139</v>
      </c>
      <c r="K1025" s="10">
        <v>37762.653726851851</v>
      </c>
    </row>
    <row r="1026" spans="1:11" x14ac:dyDescent="0.25">
      <c r="A1026" s="8">
        <v>1836</v>
      </c>
      <c r="B1026" s="9" t="s">
        <v>9092</v>
      </c>
      <c r="C1026" s="9" t="s">
        <v>139</v>
      </c>
      <c r="D1026" s="9" t="s">
        <v>139</v>
      </c>
      <c r="E1026" s="9">
        <v>75</v>
      </c>
      <c r="F1026" s="9" t="s">
        <v>413</v>
      </c>
      <c r="G1026" s="9" t="s">
        <v>142</v>
      </c>
      <c r="H1026" s="9" t="s">
        <v>139</v>
      </c>
      <c r="I1026" s="9" t="s">
        <v>143</v>
      </c>
      <c r="J1026" s="9" t="s">
        <v>139</v>
      </c>
      <c r="K1026" s="10">
        <v>37762.654097222221</v>
      </c>
    </row>
    <row r="1027" spans="1:11" x14ac:dyDescent="0.25">
      <c r="A1027" s="8">
        <v>1837</v>
      </c>
      <c r="B1027" s="9" t="s">
        <v>9093</v>
      </c>
      <c r="C1027" s="9" t="s">
        <v>139</v>
      </c>
      <c r="D1027" s="9" t="s">
        <v>139</v>
      </c>
      <c r="E1027" s="9">
        <v>75</v>
      </c>
      <c r="F1027" s="9" t="s">
        <v>413</v>
      </c>
      <c r="G1027" s="9" t="s">
        <v>142</v>
      </c>
      <c r="H1027" s="9" t="s">
        <v>139</v>
      </c>
      <c r="I1027" s="9" t="s">
        <v>143</v>
      </c>
      <c r="J1027" s="9" t="s">
        <v>139</v>
      </c>
      <c r="K1027" s="10">
        <v>37762.654421296298</v>
      </c>
    </row>
    <row r="1028" spans="1:11" x14ac:dyDescent="0.25">
      <c r="A1028" s="8">
        <v>1838</v>
      </c>
      <c r="B1028" s="9" t="s">
        <v>9301</v>
      </c>
      <c r="C1028" s="9" t="s">
        <v>2002</v>
      </c>
      <c r="D1028" s="9" t="s">
        <v>139</v>
      </c>
      <c r="E1028" s="9" t="s">
        <v>416</v>
      </c>
      <c r="F1028" s="9" t="s">
        <v>2003</v>
      </c>
      <c r="G1028" s="9" t="s">
        <v>142</v>
      </c>
      <c r="H1028" s="9" t="s">
        <v>139</v>
      </c>
      <c r="I1028" s="9" t="s">
        <v>1062</v>
      </c>
      <c r="J1028" s="9" t="s">
        <v>139</v>
      </c>
      <c r="K1028" s="10">
        <v>37762.757372685184</v>
      </c>
    </row>
    <row r="1029" spans="1:11" x14ac:dyDescent="0.25">
      <c r="A1029" s="8">
        <v>1842</v>
      </c>
      <c r="B1029" s="9" t="s">
        <v>9094</v>
      </c>
      <c r="C1029" s="9" t="s">
        <v>2004</v>
      </c>
      <c r="D1029" s="9" t="s">
        <v>139</v>
      </c>
      <c r="E1029" s="9" t="s">
        <v>906</v>
      </c>
      <c r="F1029" s="9" t="s">
        <v>907</v>
      </c>
      <c r="G1029" s="9" t="s">
        <v>142</v>
      </c>
      <c r="H1029" s="9" t="s">
        <v>139</v>
      </c>
      <c r="I1029" s="9" t="s">
        <v>143</v>
      </c>
      <c r="J1029" s="9" t="s">
        <v>139</v>
      </c>
      <c r="K1029" s="10">
        <v>37765.658321759256</v>
      </c>
    </row>
    <row r="1030" spans="1:11" x14ac:dyDescent="0.25">
      <c r="A1030" s="8">
        <v>1843</v>
      </c>
      <c r="B1030" s="9" t="s">
        <v>5583</v>
      </c>
      <c r="C1030" s="9" t="s">
        <v>2005</v>
      </c>
      <c r="D1030" s="9" t="s">
        <v>139</v>
      </c>
      <c r="E1030" s="9" t="s">
        <v>1863</v>
      </c>
      <c r="F1030" s="9" t="s">
        <v>1864</v>
      </c>
      <c r="G1030" s="9" t="s">
        <v>142</v>
      </c>
      <c r="H1030" s="9" t="s">
        <v>139</v>
      </c>
      <c r="I1030" s="9" t="s">
        <v>411</v>
      </c>
      <c r="J1030" s="9" t="s">
        <v>139</v>
      </c>
      <c r="K1030" s="10">
        <v>37769.56689814815</v>
      </c>
    </row>
    <row r="1031" spans="1:11" x14ac:dyDescent="0.25">
      <c r="A1031" s="8">
        <v>1848</v>
      </c>
      <c r="B1031" s="9" t="s">
        <v>5584</v>
      </c>
      <c r="C1031" s="9" t="s">
        <v>2006</v>
      </c>
      <c r="D1031" s="9" t="s">
        <v>139</v>
      </c>
      <c r="E1031" s="9" t="s">
        <v>2007</v>
      </c>
      <c r="F1031" s="9" t="s">
        <v>2008</v>
      </c>
      <c r="G1031" s="9" t="s">
        <v>142</v>
      </c>
      <c r="H1031" s="9" t="s">
        <v>139</v>
      </c>
      <c r="I1031" s="9" t="s">
        <v>411</v>
      </c>
      <c r="J1031" s="9" t="s">
        <v>139</v>
      </c>
      <c r="K1031" s="10">
        <v>37769.63177083333</v>
      </c>
    </row>
    <row r="1032" spans="1:11" x14ac:dyDescent="0.25">
      <c r="A1032" s="8">
        <v>1849</v>
      </c>
      <c r="B1032" s="9" t="s">
        <v>9095</v>
      </c>
      <c r="C1032" s="9" t="s">
        <v>2009</v>
      </c>
      <c r="D1032" s="9" t="s">
        <v>139</v>
      </c>
      <c r="E1032" s="9" t="s">
        <v>2010</v>
      </c>
      <c r="F1032" s="9" t="s">
        <v>2011</v>
      </c>
      <c r="G1032" s="9" t="s">
        <v>142</v>
      </c>
      <c r="H1032" s="9" t="s">
        <v>139</v>
      </c>
      <c r="I1032" s="9" t="s">
        <v>143</v>
      </c>
      <c r="J1032" s="9" t="s">
        <v>139</v>
      </c>
      <c r="K1032" s="10">
        <v>37774.66646990741</v>
      </c>
    </row>
    <row r="1033" spans="1:11" x14ac:dyDescent="0.25">
      <c r="A1033" s="8">
        <v>1850</v>
      </c>
      <c r="B1033" s="9" t="s">
        <v>9302</v>
      </c>
      <c r="C1033" s="9" t="s">
        <v>2012</v>
      </c>
      <c r="D1033" s="9" t="s">
        <v>2013</v>
      </c>
      <c r="E1033" s="9" t="s">
        <v>2014</v>
      </c>
      <c r="F1033" s="9" t="s">
        <v>2015</v>
      </c>
      <c r="G1033" s="9" t="s">
        <v>142</v>
      </c>
      <c r="H1033" s="9" t="s">
        <v>139</v>
      </c>
      <c r="I1033" s="9" t="s">
        <v>1062</v>
      </c>
      <c r="J1033" s="9" t="s">
        <v>139</v>
      </c>
      <c r="K1033" s="10">
        <v>37774.692083333335</v>
      </c>
    </row>
    <row r="1034" spans="1:11" x14ac:dyDescent="0.25">
      <c r="A1034" s="8">
        <v>1854</v>
      </c>
      <c r="B1034" s="9" t="s">
        <v>5585</v>
      </c>
      <c r="C1034" s="9" t="s">
        <v>2016</v>
      </c>
      <c r="D1034" s="9" t="s">
        <v>139</v>
      </c>
      <c r="E1034" s="9" t="s">
        <v>2017</v>
      </c>
      <c r="F1034" s="9" t="s">
        <v>2018</v>
      </c>
      <c r="G1034" s="9" t="s">
        <v>142</v>
      </c>
      <c r="H1034" s="9" t="s">
        <v>139</v>
      </c>
      <c r="I1034" s="9" t="s">
        <v>411</v>
      </c>
      <c r="J1034" s="9" t="s">
        <v>139</v>
      </c>
      <c r="K1034" s="10">
        <v>37776.747777777775</v>
      </c>
    </row>
    <row r="1035" spans="1:11" x14ac:dyDescent="0.25">
      <c r="A1035" s="8">
        <v>1855</v>
      </c>
      <c r="B1035" s="9" t="s">
        <v>5586</v>
      </c>
      <c r="C1035" s="9" t="s">
        <v>2019</v>
      </c>
      <c r="D1035" s="9"/>
      <c r="E1035" s="9" t="s">
        <v>1103</v>
      </c>
      <c r="F1035" s="9" t="s">
        <v>1104</v>
      </c>
      <c r="G1035" s="9" t="s">
        <v>142</v>
      </c>
      <c r="H1035" s="9" t="s">
        <v>139</v>
      </c>
      <c r="I1035" s="9" t="s">
        <v>411</v>
      </c>
      <c r="J1035" s="9" t="s">
        <v>139</v>
      </c>
      <c r="K1035" s="10">
        <v>37784.723680555559</v>
      </c>
    </row>
    <row r="1036" spans="1:11" x14ac:dyDescent="0.25">
      <c r="A1036" s="8">
        <v>1859</v>
      </c>
      <c r="B1036" s="9" t="s">
        <v>5587</v>
      </c>
      <c r="C1036" s="9" t="s">
        <v>2020</v>
      </c>
      <c r="D1036" s="9" t="s">
        <v>139</v>
      </c>
      <c r="E1036" s="9" t="s">
        <v>2021</v>
      </c>
      <c r="F1036" s="9" t="s">
        <v>2022</v>
      </c>
      <c r="G1036" s="9" t="s">
        <v>142</v>
      </c>
      <c r="H1036" s="9" t="s">
        <v>139</v>
      </c>
      <c r="I1036" s="9" t="s">
        <v>411</v>
      </c>
      <c r="J1036" s="9" t="s">
        <v>139</v>
      </c>
      <c r="K1036" s="10">
        <v>37796.71534722222</v>
      </c>
    </row>
    <row r="1037" spans="1:11" x14ac:dyDescent="0.25">
      <c r="A1037" s="8">
        <v>1860</v>
      </c>
      <c r="B1037" s="9" t="s">
        <v>5588</v>
      </c>
      <c r="C1037" s="9" t="s">
        <v>2023</v>
      </c>
      <c r="D1037" s="9" t="s">
        <v>139</v>
      </c>
      <c r="E1037" s="9" t="s">
        <v>2024</v>
      </c>
      <c r="F1037" s="9" t="s">
        <v>2025</v>
      </c>
      <c r="G1037" s="9" t="s">
        <v>142</v>
      </c>
      <c r="H1037" s="9" t="s">
        <v>139</v>
      </c>
      <c r="I1037" s="9" t="s">
        <v>411</v>
      </c>
      <c r="J1037" s="9" t="s">
        <v>139</v>
      </c>
      <c r="K1037" s="10">
        <v>37818.561747685184</v>
      </c>
    </row>
    <row r="1038" spans="1:11" x14ac:dyDescent="0.25">
      <c r="A1038" s="8">
        <v>1862</v>
      </c>
      <c r="B1038" s="9" t="s">
        <v>9096</v>
      </c>
      <c r="C1038" s="9" t="s">
        <v>2026</v>
      </c>
      <c r="D1038" s="9" t="s">
        <v>139</v>
      </c>
      <c r="E1038" s="9" t="s">
        <v>606</v>
      </c>
      <c r="F1038" s="9" t="s">
        <v>2027</v>
      </c>
      <c r="G1038" s="9" t="s">
        <v>142</v>
      </c>
      <c r="H1038" s="9" t="s">
        <v>166</v>
      </c>
      <c r="I1038" s="9" t="s">
        <v>143</v>
      </c>
      <c r="J1038" s="9" t="s">
        <v>139</v>
      </c>
      <c r="K1038" s="10">
        <v>37821.502835648149</v>
      </c>
    </row>
    <row r="1039" spans="1:11" x14ac:dyDescent="0.25">
      <c r="A1039" s="8">
        <v>1863</v>
      </c>
      <c r="B1039" s="9" t="s">
        <v>5589</v>
      </c>
      <c r="C1039" s="9" t="s">
        <v>2028</v>
      </c>
      <c r="D1039" s="9" t="s">
        <v>139</v>
      </c>
      <c r="E1039" s="9" t="s">
        <v>1187</v>
      </c>
      <c r="F1039" s="9" t="s">
        <v>971</v>
      </c>
      <c r="G1039" s="9" t="s">
        <v>142</v>
      </c>
      <c r="H1039" s="9" t="s">
        <v>139</v>
      </c>
      <c r="I1039" s="9" t="s">
        <v>411</v>
      </c>
      <c r="J1039" s="9" t="s">
        <v>139</v>
      </c>
      <c r="K1039" s="10">
        <v>37824.680115740739</v>
      </c>
    </row>
    <row r="1040" spans="1:11" x14ac:dyDescent="0.25">
      <c r="A1040" s="8">
        <v>1865</v>
      </c>
      <c r="B1040" s="9" t="s">
        <v>5590</v>
      </c>
      <c r="C1040" s="9" t="s">
        <v>2029</v>
      </c>
      <c r="D1040" s="9" t="s">
        <v>139</v>
      </c>
      <c r="E1040" s="9" t="s">
        <v>1187</v>
      </c>
      <c r="F1040" s="9" t="s">
        <v>971</v>
      </c>
      <c r="G1040" s="9" t="s">
        <v>142</v>
      </c>
      <c r="H1040" s="9" t="s">
        <v>139</v>
      </c>
      <c r="I1040" s="9" t="s">
        <v>411</v>
      </c>
      <c r="J1040" s="9" t="s">
        <v>139</v>
      </c>
      <c r="K1040" s="10">
        <v>37824.684374999997</v>
      </c>
    </row>
    <row r="1041" spans="1:11" x14ac:dyDescent="0.25">
      <c r="A1041" s="8">
        <v>1867</v>
      </c>
      <c r="B1041" s="9" t="s">
        <v>5591</v>
      </c>
      <c r="C1041" s="9" t="s">
        <v>2030</v>
      </c>
      <c r="D1041" s="9" t="s">
        <v>139</v>
      </c>
      <c r="E1041" s="9" t="s">
        <v>371</v>
      </c>
      <c r="F1041" s="9" t="s">
        <v>372</v>
      </c>
      <c r="G1041" s="9" t="s">
        <v>142</v>
      </c>
      <c r="H1041" s="9" t="s">
        <v>139</v>
      </c>
      <c r="I1041" s="9" t="s">
        <v>411</v>
      </c>
      <c r="J1041" s="9" t="s">
        <v>139</v>
      </c>
      <c r="K1041" s="10">
        <v>37824.688645833332</v>
      </c>
    </row>
    <row r="1042" spans="1:11" x14ac:dyDescent="0.25">
      <c r="A1042" s="8">
        <v>1872</v>
      </c>
      <c r="B1042" s="9" t="s">
        <v>5592</v>
      </c>
      <c r="C1042" s="9" t="s">
        <v>2031</v>
      </c>
      <c r="D1042" s="9" t="s">
        <v>139</v>
      </c>
      <c r="E1042" s="9" t="s">
        <v>1847</v>
      </c>
      <c r="F1042" s="9" t="s">
        <v>914</v>
      </c>
      <c r="G1042" s="9" t="s">
        <v>142</v>
      </c>
      <c r="H1042" s="9" t="s">
        <v>139</v>
      </c>
      <c r="I1042" s="9" t="s">
        <v>411</v>
      </c>
      <c r="J1042" s="9" t="s">
        <v>139</v>
      </c>
      <c r="K1042" s="10">
        <v>37824.703530092593</v>
      </c>
    </row>
    <row r="1043" spans="1:11" x14ac:dyDescent="0.25">
      <c r="A1043" s="8">
        <v>1873</v>
      </c>
      <c r="B1043" s="9" t="s">
        <v>5593</v>
      </c>
      <c r="C1043" s="9" t="s">
        <v>2032</v>
      </c>
      <c r="D1043" s="9" t="s">
        <v>2033</v>
      </c>
      <c r="E1043" s="9" t="s">
        <v>2034</v>
      </c>
      <c r="F1043" s="9" t="s">
        <v>2035</v>
      </c>
      <c r="G1043" s="9" t="s">
        <v>142</v>
      </c>
      <c r="H1043" s="9" t="s">
        <v>139</v>
      </c>
      <c r="I1043" s="9" t="s">
        <v>411</v>
      </c>
      <c r="J1043" s="9" t="s">
        <v>139</v>
      </c>
      <c r="K1043" s="10">
        <v>37824.704872685186</v>
      </c>
    </row>
    <row r="1044" spans="1:11" x14ac:dyDescent="0.25">
      <c r="A1044" s="8">
        <v>1875</v>
      </c>
      <c r="B1044" s="9" t="s">
        <v>5594</v>
      </c>
      <c r="C1044" s="9" t="s">
        <v>2036</v>
      </c>
      <c r="D1044" s="9" t="s">
        <v>2037</v>
      </c>
      <c r="E1044" s="9" t="s">
        <v>2038</v>
      </c>
      <c r="F1044" s="9" t="s">
        <v>2039</v>
      </c>
      <c r="G1044" s="9" t="s">
        <v>142</v>
      </c>
      <c r="H1044" s="9" t="s">
        <v>139</v>
      </c>
      <c r="I1044" s="9" t="s">
        <v>411</v>
      </c>
      <c r="J1044" s="9" t="s">
        <v>139</v>
      </c>
      <c r="K1044" s="10">
        <v>37824.707928240743</v>
      </c>
    </row>
    <row r="1045" spans="1:11" x14ac:dyDescent="0.25">
      <c r="A1045" s="8">
        <v>1878</v>
      </c>
      <c r="B1045" s="9" t="s">
        <v>5595</v>
      </c>
      <c r="C1045" s="9" t="s">
        <v>2040</v>
      </c>
      <c r="D1045" s="9" t="s">
        <v>139</v>
      </c>
      <c r="E1045" s="9" t="s">
        <v>2041</v>
      </c>
      <c r="F1045" s="9" t="s">
        <v>2042</v>
      </c>
      <c r="G1045" s="9" t="s">
        <v>142</v>
      </c>
      <c r="H1045" s="9" t="s">
        <v>139</v>
      </c>
      <c r="I1045" s="9" t="s">
        <v>411</v>
      </c>
      <c r="J1045" s="9" t="s">
        <v>139</v>
      </c>
      <c r="K1045" s="10">
        <v>37824.711956018517</v>
      </c>
    </row>
    <row r="1046" spans="1:11" x14ac:dyDescent="0.25">
      <c r="A1046" s="8">
        <v>1879</v>
      </c>
      <c r="B1046" s="9" t="s">
        <v>5596</v>
      </c>
      <c r="C1046" s="9" t="s">
        <v>2043</v>
      </c>
      <c r="D1046" s="9" t="s">
        <v>139</v>
      </c>
      <c r="E1046" s="9" t="s">
        <v>2044</v>
      </c>
      <c r="F1046" s="9" t="s">
        <v>2045</v>
      </c>
      <c r="G1046" s="9" t="s">
        <v>142</v>
      </c>
      <c r="H1046" s="9" t="s">
        <v>139</v>
      </c>
      <c r="I1046" s="9" t="s">
        <v>411</v>
      </c>
      <c r="J1046" s="9" t="s">
        <v>139</v>
      </c>
      <c r="K1046" s="10">
        <v>37824.713449074072</v>
      </c>
    </row>
    <row r="1047" spans="1:11" x14ac:dyDescent="0.25">
      <c r="A1047" s="8">
        <v>1880</v>
      </c>
      <c r="B1047" s="9" t="s">
        <v>5597</v>
      </c>
      <c r="C1047" s="9" t="s">
        <v>2046</v>
      </c>
      <c r="D1047" s="9" t="s">
        <v>139</v>
      </c>
      <c r="E1047" s="9" t="s">
        <v>1982</v>
      </c>
      <c r="F1047" s="9" t="s">
        <v>1983</v>
      </c>
      <c r="G1047" s="9" t="s">
        <v>142</v>
      </c>
      <c r="H1047" s="9" t="s">
        <v>139</v>
      </c>
      <c r="I1047" s="9" t="s">
        <v>411</v>
      </c>
      <c r="J1047" s="9" t="s">
        <v>139</v>
      </c>
      <c r="K1047" s="10">
        <v>37824.714861111112</v>
      </c>
    </row>
    <row r="1048" spans="1:11" x14ac:dyDescent="0.25">
      <c r="A1048" s="8">
        <v>1884</v>
      </c>
      <c r="B1048" s="9" t="s">
        <v>5598</v>
      </c>
      <c r="C1048" s="9" t="s">
        <v>2047</v>
      </c>
      <c r="D1048" s="9" t="s">
        <v>139</v>
      </c>
      <c r="E1048" s="9" t="s">
        <v>2048</v>
      </c>
      <c r="F1048" s="9" t="s">
        <v>2049</v>
      </c>
      <c r="G1048" s="9" t="s">
        <v>873</v>
      </c>
      <c r="H1048" s="9" t="s">
        <v>139</v>
      </c>
      <c r="I1048" s="9" t="s">
        <v>411</v>
      </c>
      <c r="J1048" s="9" t="s">
        <v>139</v>
      </c>
      <c r="K1048" s="10">
        <v>37825.697511574072</v>
      </c>
    </row>
    <row r="1049" spans="1:11" x14ac:dyDescent="0.25">
      <c r="A1049" s="8">
        <v>1885</v>
      </c>
      <c r="B1049" s="9" t="s">
        <v>5599</v>
      </c>
      <c r="C1049" s="9" t="s">
        <v>2050</v>
      </c>
      <c r="D1049" s="9" t="s">
        <v>139</v>
      </c>
      <c r="E1049" s="9" t="s">
        <v>2051</v>
      </c>
      <c r="F1049" s="9" t="s">
        <v>2052</v>
      </c>
      <c r="G1049" s="9" t="s">
        <v>142</v>
      </c>
      <c r="H1049" s="9" t="s">
        <v>139</v>
      </c>
      <c r="I1049" s="9" t="s">
        <v>411</v>
      </c>
      <c r="J1049" s="9" t="s">
        <v>139</v>
      </c>
      <c r="K1049" s="10">
        <v>37825.699386574073</v>
      </c>
    </row>
    <row r="1050" spans="1:11" x14ac:dyDescent="0.25">
      <c r="A1050" s="8">
        <v>1887</v>
      </c>
      <c r="B1050" s="9" t="s">
        <v>5600</v>
      </c>
      <c r="C1050" s="9" t="s">
        <v>2053</v>
      </c>
      <c r="D1050" s="9" t="s">
        <v>139</v>
      </c>
      <c r="E1050" s="9" t="s">
        <v>2054</v>
      </c>
      <c r="F1050" s="9" t="s">
        <v>2055</v>
      </c>
      <c r="G1050" s="9" t="s">
        <v>142</v>
      </c>
      <c r="H1050" s="9" t="s">
        <v>139</v>
      </c>
      <c r="I1050" s="9" t="s">
        <v>411</v>
      </c>
      <c r="J1050" s="9" t="s">
        <v>139</v>
      </c>
      <c r="K1050" s="10">
        <v>37825.706990740742</v>
      </c>
    </row>
    <row r="1051" spans="1:11" x14ac:dyDescent="0.25">
      <c r="A1051" s="8">
        <v>1888</v>
      </c>
      <c r="B1051" s="9" t="s">
        <v>5601</v>
      </c>
      <c r="C1051" s="9" t="s">
        <v>2056</v>
      </c>
      <c r="D1051" s="9" t="s">
        <v>139</v>
      </c>
      <c r="E1051" s="9" t="s">
        <v>2057</v>
      </c>
      <c r="F1051" s="9" t="s">
        <v>1469</v>
      </c>
      <c r="G1051" s="9" t="s">
        <v>142</v>
      </c>
      <c r="H1051" s="9" t="s">
        <v>139</v>
      </c>
      <c r="I1051" s="9" t="s">
        <v>411</v>
      </c>
      <c r="J1051" s="9" t="s">
        <v>139</v>
      </c>
      <c r="K1051" s="10">
        <v>37825.708437499998</v>
      </c>
    </row>
    <row r="1052" spans="1:11" x14ac:dyDescent="0.25">
      <c r="A1052" s="8">
        <v>1890</v>
      </c>
      <c r="B1052" s="9" t="s">
        <v>5602</v>
      </c>
      <c r="C1052" s="9" t="s">
        <v>2058</v>
      </c>
      <c r="D1052" s="9" t="s">
        <v>139</v>
      </c>
      <c r="E1052" s="9" t="s">
        <v>2059</v>
      </c>
      <c r="F1052" s="9" t="s">
        <v>2060</v>
      </c>
      <c r="G1052" s="9" t="s">
        <v>142</v>
      </c>
      <c r="H1052" s="9" t="s">
        <v>166</v>
      </c>
      <c r="I1052" s="9" t="s">
        <v>411</v>
      </c>
      <c r="J1052" s="9" t="s">
        <v>139</v>
      </c>
      <c r="K1052" s="10">
        <v>37825.710555555554</v>
      </c>
    </row>
    <row r="1053" spans="1:11" x14ac:dyDescent="0.25">
      <c r="A1053" s="8">
        <v>1891</v>
      </c>
      <c r="B1053" s="9" t="s">
        <v>5603</v>
      </c>
      <c r="C1053" s="9" t="s">
        <v>139</v>
      </c>
      <c r="D1053" s="9" t="s">
        <v>139</v>
      </c>
      <c r="E1053" s="9" t="s">
        <v>2061</v>
      </c>
      <c r="F1053" s="9" t="s">
        <v>2062</v>
      </c>
      <c r="G1053" s="9" t="s">
        <v>873</v>
      </c>
      <c r="H1053" s="9" t="s">
        <v>139</v>
      </c>
      <c r="I1053" s="9" t="s">
        <v>411</v>
      </c>
      <c r="J1053" s="9" t="s">
        <v>139</v>
      </c>
      <c r="K1053" s="10">
        <v>37825.715821759259</v>
      </c>
    </row>
    <row r="1054" spans="1:11" x14ac:dyDescent="0.25">
      <c r="A1054" s="8">
        <v>1893</v>
      </c>
      <c r="B1054" s="9" t="s">
        <v>5604</v>
      </c>
      <c r="C1054" s="9" t="s">
        <v>2063</v>
      </c>
      <c r="D1054" s="9" t="s">
        <v>139</v>
      </c>
      <c r="E1054" s="9" t="s">
        <v>2064</v>
      </c>
      <c r="F1054" s="9" t="s">
        <v>2065</v>
      </c>
      <c r="G1054" s="9" t="s">
        <v>873</v>
      </c>
      <c r="H1054" s="9" t="s">
        <v>139</v>
      </c>
      <c r="I1054" s="9" t="s">
        <v>411</v>
      </c>
      <c r="J1054" s="9" t="s">
        <v>139</v>
      </c>
      <c r="K1054" s="10">
        <v>37825.71979166667</v>
      </c>
    </row>
    <row r="1055" spans="1:11" x14ac:dyDescent="0.25">
      <c r="A1055" s="8">
        <v>1897</v>
      </c>
      <c r="B1055" s="9" t="s">
        <v>5605</v>
      </c>
      <c r="C1055" s="9" t="s">
        <v>2066</v>
      </c>
      <c r="D1055" s="9" t="s">
        <v>2067</v>
      </c>
      <c r="E1055" s="9" t="s">
        <v>2068</v>
      </c>
      <c r="F1055" s="9" t="s">
        <v>2069</v>
      </c>
      <c r="G1055" s="9" t="s">
        <v>142</v>
      </c>
      <c r="H1055" s="9" t="s">
        <v>166</v>
      </c>
      <c r="I1055" s="9" t="s">
        <v>411</v>
      </c>
      <c r="J1055" s="9" t="s">
        <v>139</v>
      </c>
      <c r="K1055" s="10">
        <v>37825.726041666669</v>
      </c>
    </row>
    <row r="1056" spans="1:11" x14ac:dyDescent="0.25">
      <c r="A1056" s="8">
        <v>1898</v>
      </c>
      <c r="B1056" s="9" t="s">
        <v>5606</v>
      </c>
      <c r="C1056" s="9" t="s">
        <v>2070</v>
      </c>
      <c r="D1056" s="9" t="s">
        <v>139</v>
      </c>
      <c r="E1056" s="9" t="s">
        <v>2071</v>
      </c>
      <c r="F1056" s="9" t="s">
        <v>2072</v>
      </c>
      <c r="G1056" s="9" t="s">
        <v>142</v>
      </c>
      <c r="H1056" s="9" t="s">
        <v>139</v>
      </c>
      <c r="I1056" s="9" t="s">
        <v>411</v>
      </c>
      <c r="J1056" s="9" t="s">
        <v>139</v>
      </c>
      <c r="K1056" s="10">
        <v>37825.72892361111</v>
      </c>
    </row>
    <row r="1057" spans="1:11" x14ac:dyDescent="0.25">
      <c r="A1057" s="8">
        <v>1900</v>
      </c>
      <c r="B1057" s="9" t="s">
        <v>5607</v>
      </c>
      <c r="C1057" s="9" t="s">
        <v>2073</v>
      </c>
      <c r="D1057" s="9" t="s">
        <v>139</v>
      </c>
      <c r="E1057" s="9" t="s">
        <v>736</v>
      </c>
      <c r="F1057" s="9" t="s">
        <v>737</v>
      </c>
      <c r="G1057" s="9" t="s">
        <v>142</v>
      </c>
      <c r="H1057" s="9" t="s">
        <v>139</v>
      </c>
      <c r="I1057" s="9" t="s">
        <v>411</v>
      </c>
      <c r="J1057" s="9" t="s">
        <v>139</v>
      </c>
      <c r="K1057" s="10">
        <v>37825.732094907406</v>
      </c>
    </row>
    <row r="1058" spans="1:11" x14ac:dyDescent="0.25">
      <c r="A1058" s="8">
        <v>1901</v>
      </c>
      <c r="B1058" s="9" t="s">
        <v>5608</v>
      </c>
      <c r="C1058" s="9" t="s">
        <v>2073</v>
      </c>
      <c r="D1058" s="9" t="s">
        <v>139</v>
      </c>
      <c r="E1058" s="9" t="s">
        <v>736</v>
      </c>
      <c r="F1058" s="9" t="s">
        <v>737</v>
      </c>
      <c r="G1058" s="9" t="s">
        <v>142</v>
      </c>
      <c r="H1058" s="9" t="s">
        <v>241</v>
      </c>
      <c r="I1058" s="9" t="s">
        <v>411</v>
      </c>
      <c r="J1058" s="9" t="s">
        <v>139</v>
      </c>
      <c r="K1058" s="10">
        <v>37825.732905092591</v>
      </c>
    </row>
    <row r="1059" spans="1:11" x14ac:dyDescent="0.25">
      <c r="A1059" s="8">
        <v>1902</v>
      </c>
      <c r="B1059" s="9" t="s">
        <v>5609</v>
      </c>
      <c r="C1059" s="9" t="s">
        <v>2074</v>
      </c>
      <c r="D1059" s="9" t="s">
        <v>139</v>
      </c>
      <c r="E1059" s="9" t="s">
        <v>2075</v>
      </c>
      <c r="F1059" s="9" t="s">
        <v>2076</v>
      </c>
      <c r="G1059" s="9" t="s">
        <v>142</v>
      </c>
      <c r="H1059" s="9" t="s">
        <v>139</v>
      </c>
      <c r="I1059" s="9" t="s">
        <v>411</v>
      </c>
      <c r="J1059" s="9" t="s">
        <v>139</v>
      </c>
      <c r="K1059" s="10">
        <v>37825.733599537038</v>
      </c>
    </row>
    <row r="1060" spans="1:11" x14ac:dyDescent="0.25">
      <c r="A1060" s="8">
        <v>1906</v>
      </c>
      <c r="B1060" s="9" t="s">
        <v>5610</v>
      </c>
      <c r="C1060" s="9" t="s">
        <v>2077</v>
      </c>
      <c r="D1060" s="9" t="s">
        <v>139</v>
      </c>
      <c r="E1060" s="9" t="s">
        <v>2078</v>
      </c>
      <c r="F1060" s="9" t="s">
        <v>2079</v>
      </c>
      <c r="G1060" s="9" t="s">
        <v>142</v>
      </c>
      <c r="H1060" s="9" t="s">
        <v>139</v>
      </c>
      <c r="I1060" s="9" t="s">
        <v>411</v>
      </c>
      <c r="J1060" s="9" t="s">
        <v>139</v>
      </c>
      <c r="K1060" s="10">
        <v>37826.582905092589</v>
      </c>
    </row>
    <row r="1061" spans="1:11" x14ac:dyDescent="0.25">
      <c r="A1061" s="8">
        <v>1907</v>
      </c>
      <c r="B1061" s="9" t="s">
        <v>9097</v>
      </c>
      <c r="C1061" s="9" t="s">
        <v>139</v>
      </c>
      <c r="D1061" s="9" t="s">
        <v>139</v>
      </c>
      <c r="E1061" s="9">
        <v>75</v>
      </c>
      <c r="F1061" s="9" t="s">
        <v>413</v>
      </c>
      <c r="G1061" s="9" t="s">
        <v>142</v>
      </c>
      <c r="H1061" s="9" t="s">
        <v>321</v>
      </c>
      <c r="I1061" s="9" t="s">
        <v>143</v>
      </c>
      <c r="J1061" s="9" t="s">
        <v>139</v>
      </c>
      <c r="K1061" s="10">
        <v>37827.680104166669</v>
      </c>
    </row>
    <row r="1062" spans="1:11" x14ac:dyDescent="0.25">
      <c r="A1062" s="8">
        <v>1908</v>
      </c>
      <c r="B1062" s="9" t="s">
        <v>9098</v>
      </c>
      <c r="C1062" s="9" t="s">
        <v>139</v>
      </c>
      <c r="D1062" s="9" t="s">
        <v>139</v>
      </c>
      <c r="E1062" s="9">
        <v>75</v>
      </c>
      <c r="F1062" s="9" t="s">
        <v>413</v>
      </c>
      <c r="G1062" s="9" t="s">
        <v>142</v>
      </c>
      <c r="H1062" s="9" t="s">
        <v>166</v>
      </c>
      <c r="I1062" s="9" t="s">
        <v>143</v>
      </c>
      <c r="J1062" s="9" t="s">
        <v>139</v>
      </c>
      <c r="K1062" s="10">
        <v>37828.639884259261</v>
      </c>
    </row>
    <row r="1063" spans="1:11" x14ac:dyDescent="0.25">
      <c r="A1063" s="8">
        <v>1909</v>
      </c>
      <c r="B1063" s="9" t="s">
        <v>9099</v>
      </c>
      <c r="C1063" s="9" t="s">
        <v>139</v>
      </c>
      <c r="D1063" s="9" t="s">
        <v>139</v>
      </c>
      <c r="E1063" s="9">
        <v>75</v>
      </c>
      <c r="F1063" s="9" t="s">
        <v>413</v>
      </c>
      <c r="G1063" s="9" t="s">
        <v>142</v>
      </c>
      <c r="H1063" s="9" t="s">
        <v>139</v>
      </c>
      <c r="I1063" s="9" t="s">
        <v>143</v>
      </c>
      <c r="J1063" s="9" t="s">
        <v>139</v>
      </c>
      <c r="K1063" s="10">
        <v>37834.787511574075</v>
      </c>
    </row>
    <row r="1064" spans="1:11" x14ac:dyDescent="0.25">
      <c r="A1064" s="8">
        <v>1910</v>
      </c>
      <c r="B1064" s="9" t="s">
        <v>9100</v>
      </c>
      <c r="C1064" s="9" t="s">
        <v>139</v>
      </c>
      <c r="D1064" s="9" t="s">
        <v>139</v>
      </c>
      <c r="E1064" s="9">
        <v>75</v>
      </c>
      <c r="F1064" s="9" t="s">
        <v>413</v>
      </c>
      <c r="G1064" s="9" t="s">
        <v>142</v>
      </c>
      <c r="H1064" s="9" t="s">
        <v>139</v>
      </c>
      <c r="I1064" s="9" t="s">
        <v>143</v>
      </c>
      <c r="J1064" s="9" t="s">
        <v>139</v>
      </c>
      <c r="K1064" s="10">
        <v>37835.588518518518</v>
      </c>
    </row>
    <row r="1065" spans="1:11" x14ac:dyDescent="0.25">
      <c r="A1065" s="8">
        <v>1911</v>
      </c>
      <c r="B1065" s="9" t="s">
        <v>9101</v>
      </c>
      <c r="C1065" s="9" t="s">
        <v>2080</v>
      </c>
      <c r="D1065" s="9" t="s">
        <v>139</v>
      </c>
      <c r="E1065" s="9" t="s">
        <v>308</v>
      </c>
      <c r="F1065" s="9" t="s">
        <v>141</v>
      </c>
      <c r="G1065" s="9" t="s">
        <v>142</v>
      </c>
      <c r="H1065" s="9" t="s">
        <v>241</v>
      </c>
      <c r="I1065" s="9" t="s">
        <v>143</v>
      </c>
      <c r="J1065" s="9" t="s">
        <v>139</v>
      </c>
      <c r="K1065" s="10">
        <v>37835.66333333333</v>
      </c>
    </row>
    <row r="1066" spans="1:11" x14ac:dyDescent="0.25">
      <c r="A1066" s="8">
        <v>1912</v>
      </c>
      <c r="B1066" s="9" t="s">
        <v>9102</v>
      </c>
      <c r="C1066" s="9" t="s">
        <v>2081</v>
      </c>
      <c r="D1066" s="9" t="s">
        <v>139</v>
      </c>
      <c r="E1066" s="9" t="s">
        <v>1616</v>
      </c>
      <c r="F1066" s="9" t="s">
        <v>2082</v>
      </c>
      <c r="G1066" s="9" t="s">
        <v>142</v>
      </c>
      <c r="H1066" s="9" t="s">
        <v>139</v>
      </c>
      <c r="I1066" s="9" t="s">
        <v>143</v>
      </c>
      <c r="J1066" s="9" t="s">
        <v>139</v>
      </c>
      <c r="K1066" s="10">
        <v>37835.719525462962</v>
      </c>
    </row>
    <row r="1067" spans="1:11" x14ac:dyDescent="0.25">
      <c r="A1067" s="8">
        <v>1914</v>
      </c>
      <c r="B1067" s="9" t="s">
        <v>5611</v>
      </c>
      <c r="C1067" s="9" t="s">
        <v>139</v>
      </c>
      <c r="D1067" s="9" t="s">
        <v>139</v>
      </c>
      <c r="E1067" s="9">
        <v>75</v>
      </c>
      <c r="F1067" s="9" t="s">
        <v>413</v>
      </c>
      <c r="G1067" s="9" t="s">
        <v>142</v>
      </c>
      <c r="H1067" s="9" t="s">
        <v>139</v>
      </c>
      <c r="I1067" s="9" t="s">
        <v>411</v>
      </c>
      <c r="J1067" s="9" t="s">
        <v>139</v>
      </c>
      <c r="K1067" s="10">
        <v>37865.60434027778</v>
      </c>
    </row>
    <row r="1068" spans="1:11" x14ac:dyDescent="0.25">
      <c r="A1068" s="8">
        <v>1915</v>
      </c>
      <c r="B1068" s="9" t="s">
        <v>9103</v>
      </c>
      <c r="C1068" s="9" t="s">
        <v>2083</v>
      </c>
      <c r="D1068" s="9" t="s">
        <v>139</v>
      </c>
      <c r="E1068" s="9" t="s">
        <v>299</v>
      </c>
      <c r="F1068" s="9" t="s">
        <v>300</v>
      </c>
      <c r="G1068" s="9" t="s">
        <v>142</v>
      </c>
      <c r="H1068" s="9" t="s">
        <v>139</v>
      </c>
      <c r="I1068" s="9" t="s">
        <v>143</v>
      </c>
      <c r="J1068" s="9" t="s">
        <v>139</v>
      </c>
      <c r="K1068" s="10">
        <v>37866.465729166666</v>
      </c>
    </row>
    <row r="1069" spans="1:11" x14ac:dyDescent="0.25">
      <c r="A1069" s="8">
        <v>1917</v>
      </c>
      <c r="B1069" s="9" t="s">
        <v>5612</v>
      </c>
      <c r="C1069" s="9" t="s">
        <v>139</v>
      </c>
      <c r="D1069" s="9" t="s">
        <v>139</v>
      </c>
      <c r="E1069" s="9">
        <v>75</v>
      </c>
      <c r="F1069" s="9" t="s">
        <v>413</v>
      </c>
      <c r="G1069" s="9" t="s">
        <v>142</v>
      </c>
      <c r="H1069" s="9" t="s">
        <v>139</v>
      </c>
      <c r="I1069" s="9" t="s">
        <v>411</v>
      </c>
      <c r="J1069" s="9" t="s">
        <v>139</v>
      </c>
      <c r="K1069" s="10">
        <v>37867.831192129626</v>
      </c>
    </row>
    <row r="1070" spans="1:11" x14ac:dyDescent="0.25">
      <c r="A1070" s="8">
        <v>1919</v>
      </c>
      <c r="B1070" s="9" t="s">
        <v>5613</v>
      </c>
      <c r="C1070" s="9" t="s">
        <v>2084</v>
      </c>
      <c r="D1070" s="9" t="s">
        <v>139</v>
      </c>
      <c r="E1070" s="9" t="s">
        <v>139</v>
      </c>
      <c r="F1070" s="9" t="s">
        <v>2085</v>
      </c>
      <c r="G1070" s="9" t="s">
        <v>424</v>
      </c>
      <c r="H1070" s="9" t="s">
        <v>139</v>
      </c>
      <c r="I1070" s="9" t="s">
        <v>411</v>
      </c>
      <c r="J1070" s="9" t="s">
        <v>2086</v>
      </c>
      <c r="K1070" s="10">
        <v>37871.506909722222</v>
      </c>
    </row>
    <row r="1071" spans="1:11" x14ac:dyDescent="0.25">
      <c r="A1071" s="8">
        <v>1920</v>
      </c>
      <c r="B1071" s="9" t="s">
        <v>5614</v>
      </c>
      <c r="C1071" s="9" t="s">
        <v>2087</v>
      </c>
      <c r="D1071" s="9" t="s">
        <v>139</v>
      </c>
      <c r="E1071" s="9" t="s">
        <v>2088</v>
      </c>
      <c r="F1071" s="9" t="s">
        <v>2089</v>
      </c>
      <c r="G1071" s="9" t="s">
        <v>602</v>
      </c>
      <c r="H1071" s="9" t="s">
        <v>139</v>
      </c>
      <c r="I1071" s="9" t="s">
        <v>411</v>
      </c>
      <c r="J1071" s="9" t="s">
        <v>2090</v>
      </c>
      <c r="K1071" s="10">
        <v>37871.514363425929</v>
      </c>
    </row>
    <row r="1072" spans="1:11" x14ac:dyDescent="0.25">
      <c r="A1072" s="8">
        <v>1921</v>
      </c>
      <c r="B1072" s="9" t="s">
        <v>5615</v>
      </c>
      <c r="C1072" s="9" t="s">
        <v>2091</v>
      </c>
      <c r="D1072" s="9" t="s">
        <v>2092</v>
      </c>
      <c r="E1072" s="9" t="s">
        <v>2093</v>
      </c>
      <c r="F1072" s="9" t="s">
        <v>2094</v>
      </c>
      <c r="G1072" s="9" t="s">
        <v>142</v>
      </c>
      <c r="H1072" s="9" t="s">
        <v>139</v>
      </c>
      <c r="I1072" s="9" t="s">
        <v>411</v>
      </c>
      <c r="J1072" s="9" t="s">
        <v>139</v>
      </c>
      <c r="K1072" s="10">
        <v>37873.475752314815</v>
      </c>
    </row>
    <row r="1073" spans="1:11" x14ac:dyDescent="0.25">
      <c r="A1073" s="8">
        <v>1922</v>
      </c>
      <c r="B1073" s="9" t="s">
        <v>5616</v>
      </c>
      <c r="C1073" s="9" t="s">
        <v>2095</v>
      </c>
      <c r="D1073" s="9" t="s">
        <v>139</v>
      </c>
      <c r="E1073" s="9" t="s">
        <v>1385</v>
      </c>
      <c r="F1073" s="9" t="s">
        <v>1386</v>
      </c>
      <c r="G1073" s="9" t="s">
        <v>142</v>
      </c>
      <c r="H1073" s="9" t="s">
        <v>139</v>
      </c>
      <c r="I1073" s="9" t="s">
        <v>411</v>
      </c>
      <c r="J1073" s="9" t="s">
        <v>139</v>
      </c>
      <c r="K1073" s="10">
        <v>37873.484918981485</v>
      </c>
    </row>
    <row r="1074" spans="1:11" x14ac:dyDescent="0.25">
      <c r="A1074" s="8">
        <v>1923</v>
      </c>
      <c r="B1074" s="9" t="s">
        <v>5617</v>
      </c>
      <c r="C1074" s="9" t="s">
        <v>2096</v>
      </c>
      <c r="D1074" s="9" t="s">
        <v>139</v>
      </c>
      <c r="E1074" s="9" t="s">
        <v>2097</v>
      </c>
      <c r="F1074" s="9" t="s">
        <v>2098</v>
      </c>
      <c r="G1074" s="9" t="s">
        <v>142</v>
      </c>
      <c r="H1074" s="9" t="s">
        <v>139</v>
      </c>
      <c r="I1074" s="9" t="s">
        <v>411</v>
      </c>
      <c r="J1074" s="9" t="s">
        <v>139</v>
      </c>
      <c r="K1074" s="10">
        <v>37873.48877314815</v>
      </c>
    </row>
    <row r="1075" spans="1:11" x14ac:dyDescent="0.25">
      <c r="A1075" s="8">
        <v>1925</v>
      </c>
      <c r="B1075" s="9" t="s">
        <v>5618</v>
      </c>
      <c r="C1075" s="9" t="s">
        <v>2099</v>
      </c>
      <c r="D1075" s="9" t="s">
        <v>2100</v>
      </c>
      <c r="E1075" s="9" t="s">
        <v>2101</v>
      </c>
      <c r="F1075" s="9" t="s">
        <v>2102</v>
      </c>
      <c r="G1075" s="9" t="s">
        <v>142</v>
      </c>
      <c r="H1075" s="9" t="s">
        <v>241</v>
      </c>
      <c r="I1075" s="9" t="s">
        <v>411</v>
      </c>
      <c r="J1075" s="9" t="s">
        <v>2103</v>
      </c>
      <c r="K1075" s="10">
        <v>37873.610115740739</v>
      </c>
    </row>
    <row r="1076" spans="1:11" x14ac:dyDescent="0.25">
      <c r="A1076" s="8">
        <v>1926</v>
      </c>
      <c r="B1076" s="9" t="s">
        <v>5619</v>
      </c>
      <c r="C1076" s="9" t="s">
        <v>2104</v>
      </c>
      <c r="D1076" s="9" t="s">
        <v>139</v>
      </c>
      <c r="E1076" s="9" t="s">
        <v>2105</v>
      </c>
      <c r="F1076" s="9" t="s">
        <v>2106</v>
      </c>
      <c r="G1076" s="9" t="s">
        <v>882</v>
      </c>
      <c r="H1076" s="9" t="s">
        <v>139</v>
      </c>
      <c r="I1076" s="9" t="s">
        <v>411</v>
      </c>
      <c r="J1076" s="9" t="s">
        <v>2107</v>
      </c>
      <c r="K1076" s="10">
        <v>37873.611620370371</v>
      </c>
    </row>
    <row r="1077" spans="1:11" x14ac:dyDescent="0.25">
      <c r="A1077" s="8">
        <v>1927</v>
      </c>
      <c r="B1077" s="9" t="s">
        <v>5620</v>
      </c>
      <c r="C1077" s="9" t="s">
        <v>2108</v>
      </c>
      <c r="D1077" s="9" t="s">
        <v>139</v>
      </c>
      <c r="E1077" s="9" t="s">
        <v>2109</v>
      </c>
      <c r="F1077" s="9" t="s">
        <v>2110</v>
      </c>
      <c r="G1077" s="9" t="s">
        <v>1409</v>
      </c>
      <c r="H1077" s="9" t="s">
        <v>166</v>
      </c>
      <c r="I1077" s="9" t="s">
        <v>411</v>
      </c>
      <c r="J1077" s="9" t="s">
        <v>2111</v>
      </c>
      <c r="K1077" s="10">
        <v>37873.61824074074</v>
      </c>
    </row>
    <row r="1078" spans="1:11" x14ac:dyDescent="0.25">
      <c r="A1078" s="8">
        <v>1928</v>
      </c>
      <c r="B1078" s="9" t="s">
        <v>8419</v>
      </c>
      <c r="C1078" s="9" t="s">
        <v>2112</v>
      </c>
      <c r="D1078" s="9" t="s">
        <v>139</v>
      </c>
      <c r="E1078" s="9" t="s">
        <v>2113</v>
      </c>
      <c r="F1078" s="9" t="s">
        <v>2114</v>
      </c>
      <c r="G1078" s="9" t="s">
        <v>142</v>
      </c>
      <c r="H1078" s="9" t="s">
        <v>139</v>
      </c>
      <c r="I1078" s="9" t="s">
        <v>617</v>
      </c>
      <c r="J1078" s="9" t="s">
        <v>139</v>
      </c>
      <c r="K1078" s="10">
        <v>37873.621365740742</v>
      </c>
    </row>
    <row r="1079" spans="1:11" x14ac:dyDescent="0.25">
      <c r="A1079" s="8">
        <v>1930</v>
      </c>
      <c r="B1079" s="9" t="s">
        <v>5621</v>
      </c>
      <c r="C1079" s="9" t="s">
        <v>2115</v>
      </c>
      <c r="D1079" s="9" t="s">
        <v>139</v>
      </c>
      <c r="E1079" s="9" t="s">
        <v>2116</v>
      </c>
      <c r="F1079" s="9" t="s">
        <v>2117</v>
      </c>
      <c r="G1079" s="9" t="s">
        <v>142</v>
      </c>
      <c r="H1079" s="9" t="s">
        <v>139</v>
      </c>
      <c r="I1079" s="9" t="s">
        <v>411</v>
      </c>
      <c r="J1079" s="9" t="s">
        <v>139</v>
      </c>
      <c r="K1079" s="10">
        <v>37874.487893518519</v>
      </c>
    </row>
    <row r="1080" spans="1:11" x14ac:dyDescent="0.25">
      <c r="A1080" s="8">
        <v>1931</v>
      </c>
      <c r="B1080" s="9" t="s">
        <v>5622</v>
      </c>
      <c r="C1080" s="9" t="s">
        <v>2118</v>
      </c>
      <c r="D1080" s="9" t="s">
        <v>139</v>
      </c>
      <c r="E1080" s="9" t="s">
        <v>2119</v>
      </c>
      <c r="F1080" s="9" t="s">
        <v>2120</v>
      </c>
      <c r="G1080" s="9" t="s">
        <v>1004</v>
      </c>
      <c r="H1080" s="9" t="s">
        <v>139</v>
      </c>
      <c r="I1080" s="9" t="s">
        <v>411</v>
      </c>
      <c r="J1080" s="9" t="s">
        <v>139</v>
      </c>
      <c r="K1080" s="10">
        <v>37874.617222222223</v>
      </c>
    </row>
    <row r="1081" spans="1:11" x14ac:dyDescent="0.25">
      <c r="A1081" s="8">
        <v>1932</v>
      </c>
      <c r="B1081" s="9" t="s">
        <v>9104</v>
      </c>
      <c r="C1081" s="9" t="s">
        <v>2121</v>
      </c>
      <c r="D1081" s="9" t="s">
        <v>139</v>
      </c>
      <c r="E1081" s="9" t="s">
        <v>2122</v>
      </c>
      <c r="F1081" s="9" t="s">
        <v>2123</v>
      </c>
      <c r="G1081" s="9" t="s">
        <v>142</v>
      </c>
      <c r="H1081" s="9" t="s">
        <v>241</v>
      </c>
      <c r="I1081" s="9" t="s">
        <v>143</v>
      </c>
      <c r="J1081" s="9" t="s">
        <v>139</v>
      </c>
      <c r="K1081" s="10">
        <v>37876.581550925926</v>
      </c>
    </row>
    <row r="1082" spans="1:11" x14ac:dyDescent="0.25">
      <c r="A1082" s="8">
        <v>1934</v>
      </c>
      <c r="B1082" s="9" t="s">
        <v>5623</v>
      </c>
      <c r="C1082" s="9" t="s">
        <v>2124</v>
      </c>
      <c r="D1082" s="9" t="s">
        <v>139</v>
      </c>
      <c r="E1082" s="9" t="s">
        <v>2125</v>
      </c>
      <c r="F1082" s="9" t="s">
        <v>2126</v>
      </c>
      <c r="G1082" s="9" t="s">
        <v>142</v>
      </c>
      <c r="H1082" s="9" t="s">
        <v>166</v>
      </c>
      <c r="I1082" s="9" t="s">
        <v>411</v>
      </c>
      <c r="J1082" s="9" t="s">
        <v>139</v>
      </c>
      <c r="K1082" s="10">
        <v>37876.586030092592</v>
      </c>
    </row>
    <row r="1083" spans="1:11" x14ac:dyDescent="0.25">
      <c r="A1083" s="8">
        <v>1935</v>
      </c>
      <c r="B1083" s="9" t="s">
        <v>5624</v>
      </c>
      <c r="C1083" s="9" t="s">
        <v>2127</v>
      </c>
      <c r="D1083" s="9" t="s">
        <v>2128</v>
      </c>
      <c r="E1083" s="9" t="s">
        <v>2129</v>
      </c>
      <c r="F1083" s="9" t="s">
        <v>971</v>
      </c>
      <c r="G1083" s="9" t="s">
        <v>142</v>
      </c>
      <c r="H1083" s="9" t="s">
        <v>139</v>
      </c>
      <c r="I1083" s="9" t="s">
        <v>411</v>
      </c>
      <c r="J1083" s="9" t="s">
        <v>2130</v>
      </c>
      <c r="K1083" s="10">
        <v>37876.750706018516</v>
      </c>
    </row>
    <row r="1084" spans="1:11" x14ac:dyDescent="0.25">
      <c r="A1084" s="8">
        <v>1936</v>
      </c>
      <c r="B1084" s="9" t="s">
        <v>5625</v>
      </c>
      <c r="C1084" s="9" t="s">
        <v>2131</v>
      </c>
      <c r="D1084" s="9" t="s">
        <v>139</v>
      </c>
      <c r="E1084" s="9" t="s">
        <v>2132</v>
      </c>
      <c r="F1084" s="9" t="s">
        <v>2133</v>
      </c>
      <c r="G1084" s="9" t="s">
        <v>142</v>
      </c>
      <c r="H1084" s="9" t="s">
        <v>139</v>
      </c>
      <c r="I1084" s="9" t="s">
        <v>411</v>
      </c>
      <c r="J1084" s="9" t="s">
        <v>139</v>
      </c>
      <c r="K1084" s="10">
        <v>37876.832997685182</v>
      </c>
    </row>
    <row r="1085" spans="1:11" x14ac:dyDescent="0.25">
      <c r="A1085" s="8">
        <v>1937</v>
      </c>
      <c r="B1085" s="9" t="s">
        <v>5626</v>
      </c>
      <c r="C1085" s="9" t="s">
        <v>2134</v>
      </c>
      <c r="D1085" s="9" t="s">
        <v>139</v>
      </c>
      <c r="E1085" s="9" t="s">
        <v>2135</v>
      </c>
      <c r="F1085" s="9" t="s">
        <v>2136</v>
      </c>
      <c r="G1085" s="9" t="s">
        <v>142</v>
      </c>
      <c r="H1085" s="9" t="s">
        <v>139</v>
      </c>
      <c r="I1085" s="9" t="s">
        <v>411</v>
      </c>
      <c r="J1085" s="9" t="s">
        <v>2137</v>
      </c>
      <c r="K1085" s="10">
        <v>37879.611643518518</v>
      </c>
    </row>
    <row r="1086" spans="1:11" x14ac:dyDescent="0.25">
      <c r="A1086" s="8">
        <v>1938</v>
      </c>
      <c r="B1086" s="9" t="s">
        <v>5627</v>
      </c>
      <c r="C1086" s="9" t="s">
        <v>2138</v>
      </c>
      <c r="D1086" s="9" t="s">
        <v>139</v>
      </c>
      <c r="E1086" s="9" t="s">
        <v>145</v>
      </c>
      <c r="F1086" s="9" t="s">
        <v>141</v>
      </c>
      <c r="G1086" s="9" t="s">
        <v>142</v>
      </c>
      <c r="H1086" s="9" t="s">
        <v>139</v>
      </c>
      <c r="I1086" s="9" t="s">
        <v>411</v>
      </c>
      <c r="J1086" s="9" t="s">
        <v>139</v>
      </c>
      <c r="K1086" s="10">
        <v>37879.655324074076</v>
      </c>
    </row>
    <row r="1087" spans="1:11" x14ac:dyDescent="0.25">
      <c r="A1087" s="8">
        <v>1940</v>
      </c>
      <c r="B1087" s="9" t="s">
        <v>8420</v>
      </c>
      <c r="C1087" s="9" t="s">
        <v>2139</v>
      </c>
      <c r="D1087" s="9" t="s">
        <v>139</v>
      </c>
      <c r="E1087" s="9" t="s">
        <v>2140</v>
      </c>
      <c r="F1087" s="9" t="s">
        <v>2141</v>
      </c>
      <c r="G1087" s="9" t="s">
        <v>142</v>
      </c>
      <c r="H1087" s="9" t="s">
        <v>139</v>
      </c>
      <c r="I1087" s="9" t="s">
        <v>617</v>
      </c>
      <c r="J1087" s="9" t="s">
        <v>139</v>
      </c>
      <c r="K1087" s="10">
        <v>37879.663993055554</v>
      </c>
    </row>
    <row r="1088" spans="1:11" x14ac:dyDescent="0.25">
      <c r="A1088" s="8">
        <v>1941</v>
      </c>
      <c r="B1088" s="9" t="s">
        <v>5628</v>
      </c>
      <c r="C1088" s="9" t="s">
        <v>2142</v>
      </c>
      <c r="D1088" s="9" t="s">
        <v>139</v>
      </c>
      <c r="E1088" s="9" t="s">
        <v>2143</v>
      </c>
      <c r="F1088" s="9" t="s">
        <v>8398</v>
      </c>
      <c r="G1088" s="9" t="s">
        <v>2144</v>
      </c>
      <c r="H1088" s="9" t="s">
        <v>139</v>
      </c>
      <c r="I1088" s="9" t="s">
        <v>411</v>
      </c>
      <c r="J1088" s="9" t="s">
        <v>2145</v>
      </c>
      <c r="K1088" s="10">
        <v>37881.689421296294</v>
      </c>
    </row>
    <row r="1089" spans="1:11" x14ac:dyDescent="0.25">
      <c r="A1089" s="8">
        <v>1942</v>
      </c>
      <c r="B1089" s="9" t="s">
        <v>9105</v>
      </c>
      <c r="C1089" s="9" t="s">
        <v>2146</v>
      </c>
      <c r="D1089" s="9" t="s">
        <v>139</v>
      </c>
      <c r="E1089" s="9" t="s">
        <v>2147</v>
      </c>
      <c r="F1089" s="9" t="s">
        <v>2148</v>
      </c>
      <c r="G1089" s="9" t="s">
        <v>142</v>
      </c>
      <c r="H1089" s="9" t="s">
        <v>139</v>
      </c>
      <c r="I1089" s="9" t="s">
        <v>143</v>
      </c>
      <c r="J1089" s="9" t="s">
        <v>139</v>
      </c>
      <c r="K1089" s="10">
        <v>37884.70385416667</v>
      </c>
    </row>
    <row r="1090" spans="1:11" x14ac:dyDescent="0.25">
      <c r="A1090" s="8">
        <v>1943</v>
      </c>
      <c r="B1090" s="9" t="s">
        <v>9106</v>
      </c>
      <c r="C1090" s="9" t="s">
        <v>2149</v>
      </c>
      <c r="D1090" s="9" t="s">
        <v>139</v>
      </c>
      <c r="E1090" s="9" t="s">
        <v>821</v>
      </c>
      <c r="F1090" s="9" t="s">
        <v>822</v>
      </c>
      <c r="G1090" s="9" t="s">
        <v>142</v>
      </c>
      <c r="H1090" s="9" t="s">
        <v>139</v>
      </c>
      <c r="I1090" s="9" t="s">
        <v>143</v>
      </c>
      <c r="J1090" s="9" t="s">
        <v>139</v>
      </c>
      <c r="K1090" s="10">
        <v>37884.70453703704</v>
      </c>
    </row>
    <row r="1091" spans="1:11" x14ac:dyDescent="0.25">
      <c r="A1091" s="8">
        <v>1944</v>
      </c>
      <c r="B1091" s="9" t="s">
        <v>5629</v>
      </c>
      <c r="C1091" s="9" t="s">
        <v>2150</v>
      </c>
      <c r="D1091" s="9" t="s">
        <v>139</v>
      </c>
      <c r="E1091" s="9" t="s">
        <v>371</v>
      </c>
      <c r="F1091" s="9" t="s">
        <v>372</v>
      </c>
      <c r="G1091" s="9" t="s">
        <v>142</v>
      </c>
      <c r="H1091" s="9" t="s">
        <v>139</v>
      </c>
      <c r="I1091" s="9" t="s">
        <v>411</v>
      </c>
      <c r="J1091" s="9" t="s">
        <v>139</v>
      </c>
      <c r="K1091" s="10">
        <v>37884.707939814813</v>
      </c>
    </row>
    <row r="1092" spans="1:11" x14ac:dyDescent="0.25">
      <c r="A1092" s="8">
        <v>1945</v>
      </c>
      <c r="B1092" s="9" t="s">
        <v>5630</v>
      </c>
      <c r="C1092" s="9" t="s">
        <v>2151</v>
      </c>
      <c r="D1092" s="9" t="s">
        <v>139</v>
      </c>
      <c r="E1092" s="9" t="s">
        <v>2152</v>
      </c>
      <c r="F1092" s="9" t="s">
        <v>2153</v>
      </c>
      <c r="G1092" s="9" t="s">
        <v>602</v>
      </c>
      <c r="H1092" s="9" t="s">
        <v>139</v>
      </c>
      <c r="I1092" s="9" t="s">
        <v>411</v>
      </c>
      <c r="J1092" s="9" t="s">
        <v>2154</v>
      </c>
      <c r="K1092" s="10">
        <v>37884.711377314816</v>
      </c>
    </row>
    <row r="1093" spans="1:11" x14ac:dyDescent="0.25">
      <c r="A1093" s="8">
        <v>1946</v>
      </c>
      <c r="B1093" s="9" t="s">
        <v>5631</v>
      </c>
      <c r="C1093" s="9" t="s">
        <v>2155</v>
      </c>
      <c r="D1093" s="9" t="s">
        <v>139</v>
      </c>
      <c r="E1093" s="9" t="s">
        <v>202</v>
      </c>
      <c r="F1093" s="9" t="s">
        <v>141</v>
      </c>
      <c r="G1093" s="9" t="s">
        <v>142</v>
      </c>
      <c r="H1093" s="9" t="s">
        <v>139</v>
      </c>
      <c r="I1093" s="9" t="s">
        <v>411</v>
      </c>
      <c r="J1093" s="9" t="s">
        <v>139</v>
      </c>
      <c r="K1093" s="10">
        <v>37884.714537037034</v>
      </c>
    </row>
    <row r="1094" spans="1:11" x14ac:dyDescent="0.25">
      <c r="A1094" s="8">
        <v>1947</v>
      </c>
      <c r="B1094" s="9" t="s">
        <v>5632</v>
      </c>
      <c r="C1094" s="9" t="s">
        <v>2156</v>
      </c>
      <c r="D1094" s="9" t="s">
        <v>139</v>
      </c>
      <c r="E1094" s="9" t="s">
        <v>2157</v>
      </c>
      <c r="F1094" s="9" t="s">
        <v>2158</v>
      </c>
      <c r="G1094" s="9" t="s">
        <v>142</v>
      </c>
      <c r="H1094" s="9" t="s">
        <v>139</v>
      </c>
      <c r="I1094" s="9" t="s">
        <v>411</v>
      </c>
      <c r="J1094" s="9" t="s">
        <v>139</v>
      </c>
      <c r="K1094" s="10">
        <v>37884.74391203704</v>
      </c>
    </row>
    <row r="1095" spans="1:11" x14ac:dyDescent="0.25">
      <c r="A1095" s="8">
        <v>1949</v>
      </c>
      <c r="B1095" s="9" t="s">
        <v>5633</v>
      </c>
      <c r="C1095" s="9" t="s">
        <v>2159</v>
      </c>
      <c r="D1095" s="9" t="s">
        <v>139</v>
      </c>
      <c r="E1095" s="9" t="s">
        <v>1067</v>
      </c>
      <c r="F1095" s="9" t="s">
        <v>1068</v>
      </c>
      <c r="G1095" s="9" t="s">
        <v>142</v>
      </c>
      <c r="H1095" s="9" t="s">
        <v>139</v>
      </c>
      <c r="I1095" s="9" t="s">
        <v>411</v>
      </c>
      <c r="J1095" s="9" t="s">
        <v>139</v>
      </c>
      <c r="K1095" s="10">
        <v>37884.755740740744</v>
      </c>
    </row>
    <row r="1096" spans="1:11" x14ac:dyDescent="0.25">
      <c r="A1096" s="8">
        <v>1950</v>
      </c>
      <c r="B1096" s="9" t="s">
        <v>5634</v>
      </c>
      <c r="C1096" s="9" t="s">
        <v>2160</v>
      </c>
      <c r="D1096" s="9" t="s">
        <v>139</v>
      </c>
      <c r="E1096" s="9" t="s">
        <v>168</v>
      </c>
      <c r="F1096" s="9" t="s">
        <v>169</v>
      </c>
      <c r="G1096" s="9" t="s">
        <v>142</v>
      </c>
      <c r="H1096" s="9" t="s">
        <v>139</v>
      </c>
      <c r="I1096" s="9" t="s">
        <v>411</v>
      </c>
      <c r="J1096" s="9" t="s">
        <v>139</v>
      </c>
      <c r="K1096" s="10">
        <v>37884.757962962962</v>
      </c>
    </row>
    <row r="1097" spans="1:11" x14ac:dyDescent="0.25">
      <c r="A1097" s="8">
        <v>1951</v>
      </c>
      <c r="B1097" s="9" t="s">
        <v>5635</v>
      </c>
      <c r="C1097" s="9" t="s">
        <v>2161</v>
      </c>
      <c r="D1097" s="9" t="s">
        <v>139</v>
      </c>
      <c r="E1097" s="9" t="s">
        <v>2162</v>
      </c>
      <c r="F1097" s="9" t="s">
        <v>2163</v>
      </c>
      <c r="G1097" s="9" t="s">
        <v>1409</v>
      </c>
      <c r="H1097" s="9" t="s">
        <v>139</v>
      </c>
      <c r="I1097" s="9" t="s">
        <v>411</v>
      </c>
      <c r="J1097" s="9" t="s">
        <v>139</v>
      </c>
      <c r="K1097" s="10">
        <v>37884.760104166664</v>
      </c>
    </row>
    <row r="1098" spans="1:11" x14ac:dyDescent="0.25">
      <c r="A1098" s="8">
        <v>1952</v>
      </c>
      <c r="B1098" s="9" t="s">
        <v>5636</v>
      </c>
      <c r="C1098" s="9" t="s">
        <v>2164</v>
      </c>
      <c r="D1098" s="9" t="s">
        <v>139</v>
      </c>
      <c r="E1098" s="9" t="s">
        <v>2165</v>
      </c>
      <c r="F1098" s="9" t="s">
        <v>2166</v>
      </c>
      <c r="G1098" s="9" t="s">
        <v>142</v>
      </c>
      <c r="H1098" s="9" t="s">
        <v>139</v>
      </c>
      <c r="I1098" s="9" t="s">
        <v>411</v>
      </c>
      <c r="J1098" s="9" t="s">
        <v>139</v>
      </c>
      <c r="K1098" s="10">
        <v>37884.767766203702</v>
      </c>
    </row>
    <row r="1099" spans="1:11" x14ac:dyDescent="0.25">
      <c r="A1099" s="8">
        <v>1954</v>
      </c>
      <c r="B1099" s="9" t="s">
        <v>5637</v>
      </c>
      <c r="C1099" s="9" t="s">
        <v>2167</v>
      </c>
      <c r="D1099" s="9" t="s">
        <v>139</v>
      </c>
      <c r="E1099" s="9" t="s">
        <v>2168</v>
      </c>
      <c r="F1099" s="9" t="s">
        <v>2169</v>
      </c>
      <c r="G1099" s="9" t="s">
        <v>873</v>
      </c>
      <c r="H1099" s="9" t="s">
        <v>139</v>
      </c>
      <c r="I1099" s="9" t="s">
        <v>411</v>
      </c>
      <c r="J1099" s="9" t="s">
        <v>2170</v>
      </c>
      <c r="K1099" s="10">
        <v>37884.771469907406</v>
      </c>
    </row>
    <row r="1100" spans="1:11" x14ac:dyDescent="0.25">
      <c r="A1100" s="8">
        <v>1955</v>
      </c>
      <c r="B1100" s="9" t="s">
        <v>5638</v>
      </c>
      <c r="C1100" s="9" t="s">
        <v>2171</v>
      </c>
      <c r="D1100" s="9" t="s">
        <v>139</v>
      </c>
      <c r="E1100" s="9" t="s">
        <v>2172</v>
      </c>
      <c r="F1100" s="9" t="s">
        <v>2173</v>
      </c>
      <c r="G1100" s="9" t="s">
        <v>142</v>
      </c>
      <c r="H1100" s="9" t="s">
        <v>139</v>
      </c>
      <c r="I1100" s="9" t="s">
        <v>411</v>
      </c>
      <c r="J1100" s="9" t="s">
        <v>139</v>
      </c>
      <c r="K1100" s="10">
        <v>37884.773865740739</v>
      </c>
    </row>
    <row r="1101" spans="1:11" x14ac:dyDescent="0.25">
      <c r="A1101" s="8">
        <v>1956</v>
      </c>
      <c r="B1101" s="9" t="s">
        <v>5639</v>
      </c>
      <c r="C1101" s="9" t="s">
        <v>2174</v>
      </c>
      <c r="D1101" s="9"/>
      <c r="E1101" s="9" t="s">
        <v>267</v>
      </c>
      <c r="F1101" s="9" t="s">
        <v>141</v>
      </c>
      <c r="G1101" s="9" t="s">
        <v>142</v>
      </c>
      <c r="H1101" s="9" t="s">
        <v>241</v>
      </c>
      <c r="I1101" s="9" t="s">
        <v>411</v>
      </c>
      <c r="J1101" s="9" t="s">
        <v>139</v>
      </c>
      <c r="K1101" s="10">
        <v>37884.775312500002</v>
      </c>
    </row>
    <row r="1102" spans="1:11" x14ac:dyDescent="0.25">
      <c r="A1102" s="8">
        <v>1957</v>
      </c>
      <c r="B1102" s="9" t="s">
        <v>5640</v>
      </c>
      <c r="C1102" s="9" t="s">
        <v>2175</v>
      </c>
      <c r="D1102" s="9" t="s">
        <v>139</v>
      </c>
      <c r="E1102" s="9" t="s">
        <v>1756</v>
      </c>
      <c r="F1102" s="9" t="s">
        <v>2176</v>
      </c>
      <c r="G1102" s="9" t="s">
        <v>142</v>
      </c>
      <c r="H1102" s="9" t="s">
        <v>241</v>
      </c>
      <c r="I1102" s="9" t="s">
        <v>411</v>
      </c>
      <c r="J1102" s="9" t="s">
        <v>139</v>
      </c>
      <c r="K1102" s="10">
        <v>37887.581655092596</v>
      </c>
    </row>
    <row r="1103" spans="1:11" x14ac:dyDescent="0.25">
      <c r="A1103" s="8">
        <v>1961</v>
      </c>
      <c r="B1103" s="9" t="s">
        <v>5641</v>
      </c>
      <c r="C1103" s="9" t="s">
        <v>2177</v>
      </c>
      <c r="D1103" s="9" t="s">
        <v>139</v>
      </c>
      <c r="E1103" s="9" t="s">
        <v>2178</v>
      </c>
      <c r="F1103" s="9" t="s">
        <v>2179</v>
      </c>
      <c r="G1103" s="9" t="s">
        <v>621</v>
      </c>
      <c r="H1103" s="9" t="s">
        <v>166</v>
      </c>
      <c r="I1103" s="9" t="s">
        <v>411</v>
      </c>
      <c r="J1103" s="9" t="s">
        <v>139</v>
      </c>
      <c r="K1103" s="10">
        <v>37887.646666666667</v>
      </c>
    </row>
    <row r="1104" spans="1:11" x14ac:dyDescent="0.25">
      <c r="A1104" s="8">
        <v>1966</v>
      </c>
      <c r="B1104" s="9" t="s">
        <v>5642</v>
      </c>
      <c r="C1104" s="9" t="s">
        <v>2180</v>
      </c>
      <c r="D1104" s="9" t="s">
        <v>139</v>
      </c>
      <c r="E1104" s="9" t="s">
        <v>2181</v>
      </c>
      <c r="F1104" s="9" t="s">
        <v>2182</v>
      </c>
      <c r="G1104" s="9" t="s">
        <v>444</v>
      </c>
      <c r="H1104" s="9" t="s">
        <v>258</v>
      </c>
      <c r="I1104" s="9" t="s">
        <v>411</v>
      </c>
      <c r="J1104" s="9" t="s">
        <v>139</v>
      </c>
      <c r="K1104" s="10">
        <v>37887.672314814816</v>
      </c>
    </row>
    <row r="1105" spans="1:11" x14ac:dyDescent="0.25">
      <c r="A1105" s="8">
        <v>1968</v>
      </c>
      <c r="B1105" s="9" t="s">
        <v>5643</v>
      </c>
      <c r="C1105" s="9" t="s">
        <v>2183</v>
      </c>
      <c r="D1105" s="9" t="s">
        <v>139</v>
      </c>
      <c r="E1105" s="9" t="s">
        <v>1629</v>
      </c>
      <c r="F1105" s="9" t="s">
        <v>169</v>
      </c>
      <c r="G1105" s="9" t="s">
        <v>142</v>
      </c>
      <c r="H1105" s="9" t="s">
        <v>139</v>
      </c>
      <c r="I1105" s="9" t="s">
        <v>411</v>
      </c>
      <c r="J1105" s="9" t="s">
        <v>139</v>
      </c>
      <c r="K1105" s="10">
        <v>37887.680972222224</v>
      </c>
    </row>
    <row r="1106" spans="1:11" x14ac:dyDescent="0.25">
      <c r="A1106" s="8">
        <v>1969</v>
      </c>
      <c r="B1106" s="9" t="s">
        <v>5644</v>
      </c>
      <c r="C1106" s="9" t="s">
        <v>2184</v>
      </c>
      <c r="D1106" s="9" t="s">
        <v>139</v>
      </c>
      <c r="E1106" s="9" t="s">
        <v>1629</v>
      </c>
      <c r="F1106" s="9" t="s">
        <v>169</v>
      </c>
      <c r="G1106" s="9" t="s">
        <v>142</v>
      </c>
      <c r="H1106" s="9" t="s">
        <v>139</v>
      </c>
      <c r="I1106" s="9" t="s">
        <v>411</v>
      </c>
      <c r="J1106" s="9" t="s">
        <v>139</v>
      </c>
      <c r="K1106" s="10">
        <v>37887.687314814815</v>
      </c>
    </row>
    <row r="1107" spans="1:11" x14ac:dyDescent="0.25">
      <c r="A1107" s="8">
        <v>1972</v>
      </c>
      <c r="B1107" s="9" t="s">
        <v>9107</v>
      </c>
      <c r="C1107" s="9" t="s">
        <v>2185</v>
      </c>
      <c r="D1107" s="9" t="s">
        <v>139</v>
      </c>
      <c r="E1107" s="9" t="s">
        <v>191</v>
      </c>
      <c r="F1107" s="9" t="s">
        <v>709</v>
      </c>
      <c r="G1107" s="9" t="s">
        <v>142</v>
      </c>
      <c r="H1107" s="9" t="s">
        <v>166</v>
      </c>
      <c r="I1107" s="9" t="s">
        <v>143</v>
      </c>
      <c r="J1107" s="9" t="s">
        <v>139</v>
      </c>
      <c r="K1107" s="10">
        <v>37891.691979166666</v>
      </c>
    </row>
    <row r="1108" spans="1:11" x14ac:dyDescent="0.25">
      <c r="A1108" s="8">
        <v>1973</v>
      </c>
      <c r="B1108" s="9" t="s">
        <v>9108</v>
      </c>
      <c r="C1108" s="9" t="s">
        <v>2186</v>
      </c>
      <c r="D1108" s="9" t="s">
        <v>139</v>
      </c>
      <c r="E1108" s="9" t="s">
        <v>2187</v>
      </c>
      <c r="F1108" s="9" t="s">
        <v>2188</v>
      </c>
      <c r="G1108" s="9" t="s">
        <v>142</v>
      </c>
      <c r="H1108" s="9" t="s">
        <v>139</v>
      </c>
      <c r="I1108" s="9" t="s">
        <v>143</v>
      </c>
      <c r="J1108" s="9" t="s">
        <v>139</v>
      </c>
      <c r="K1108" s="10">
        <v>37893.556168981479</v>
      </c>
    </row>
    <row r="1109" spans="1:11" x14ac:dyDescent="0.25">
      <c r="A1109" s="8">
        <v>1974</v>
      </c>
      <c r="B1109" s="9" t="s">
        <v>9109</v>
      </c>
      <c r="C1109" s="9" t="s">
        <v>2189</v>
      </c>
      <c r="D1109" s="9" t="s">
        <v>139</v>
      </c>
      <c r="E1109" s="9" t="s">
        <v>2190</v>
      </c>
      <c r="F1109" s="9" t="s">
        <v>2191</v>
      </c>
      <c r="G1109" s="9" t="s">
        <v>142</v>
      </c>
      <c r="H1109" s="9" t="s">
        <v>139</v>
      </c>
      <c r="I1109" s="9" t="s">
        <v>143</v>
      </c>
      <c r="J1109" s="9" t="s">
        <v>139</v>
      </c>
      <c r="K1109" s="10">
        <v>37893.559733796297</v>
      </c>
    </row>
    <row r="1110" spans="1:11" x14ac:dyDescent="0.25">
      <c r="A1110" s="8">
        <v>1975</v>
      </c>
      <c r="B1110" s="9" t="s">
        <v>9110</v>
      </c>
      <c r="C1110" s="9" t="s">
        <v>2192</v>
      </c>
      <c r="D1110" s="9" t="s">
        <v>139</v>
      </c>
      <c r="E1110" s="9" t="s">
        <v>212</v>
      </c>
      <c r="F1110" s="9" t="s">
        <v>141</v>
      </c>
      <c r="G1110" s="9" t="s">
        <v>142</v>
      </c>
      <c r="H1110" s="9" t="s">
        <v>139</v>
      </c>
      <c r="I1110" s="9" t="s">
        <v>143</v>
      </c>
      <c r="J1110" s="9" t="s">
        <v>139</v>
      </c>
      <c r="K1110" s="10">
        <v>37894.628495370373</v>
      </c>
    </row>
    <row r="1111" spans="1:11" x14ac:dyDescent="0.25">
      <c r="A1111" s="8">
        <v>1977</v>
      </c>
      <c r="B1111" s="9" t="s">
        <v>5645</v>
      </c>
      <c r="C1111" s="9" t="s">
        <v>410</v>
      </c>
      <c r="D1111" s="9" t="s">
        <v>139</v>
      </c>
      <c r="E1111" s="9" t="s">
        <v>161</v>
      </c>
      <c r="F1111" s="9" t="s">
        <v>9304</v>
      </c>
      <c r="G1111" s="9" t="s">
        <v>142</v>
      </c>
      <c r="H1111" s="9" t="s">
        <v>139</v>
      </c>
      <c r="I1111" s="9" t="s">
        <v>411</v>
      </c>
      <c r="J1111" s="9" t="s">
        <v>2194</v>
      </c>
      <c r="K1111" s="10">
        <v>37895.503032407411</v>
      </c>
    </row>
    <row r="1112" spans="1:11" x14ac:dyDescent="0.25">
      <c r="A1112" s="8">
        <v>1978</v>
      </c>
      <c r="B1112" s="9" t="s">
        <v>9111</v>
      </c>
      <c r="C1112" s="9" t="s">
        <v>2195</v>
      </c>
      <c r="D1112" s="9" t="s">
        <v>139</v>
      </c>
      <c r="E1112" s="9" t="s">
        <v>2196</v>
      </c>
      <c r="F1112" s="9" t="s">
        <v>2197</v>
      </c>
      <c r="G1112" s="9" t="s">
        <v>142</v>
      </c>
      <c r="H1112" s="9" t="s">
        <v>139</v>
      </c>
      <c r="I1112" s="9" t="s">
        <v>143</v>
      </c>
      <c r="J1112" s="9" t="s">
        <v>139</v>
      </c>
      <c r="K1112" s="10">
        <v>37896.686006944445</v>
      </c>
    </row>
    <row r="1113" spans="1:11" x14ac:dyDescent="0.25">
      <c r="A1113" s="8">
        <v>1980</v>
      </c>
      <c r="B1113" s="9" t="s">
        <v>5646</v>
      </c>
      <c r="C1113" s="9" t="s">
        <v>2198</v>
      </c>
      <c r="D1113" s="9" t="s">
        <v>139</v>
      </c>
      <c r="E1113" s="9" t="s">
        <v>2199</v>
      </c>
      <c r="F1113" s="9" t="s">
        <v>2200</v>
      </c>
      <c r="G1113" s="9" t="s">
        <v>2144</v>
      </c>
      <c r="H1113" s="9" t="s">
        <v>139</v>
      </c>
      <c r="I1113" s="9" t="s">
        <v>411</v>
      </c>
      <c r="J1113" s="9" t="s">
        <v>2201</v>
      </c>
      <c r="K1113" s="10">
        <v>37898.814687500002</v>
      </c>
    </row>
    <row r="1114" spans="1:11" x14ac:dyDescent="0.25">
      <c r="A1114" s="8">
        <v>1981</v>
      </c>
      <c r="B1114" s="9" t="s">
        <v>9112</v>
      </c>
      <c r="C1114" s="9" t="s">
        <v>2202</v>
      </c>
      <c r="D1114" s="9" t="s">
        <v>139</v>
      </c>
      <c r="E1114" s="9">
        <v>75</v>
      </c>
      <c r="F1114" s="9" t="s">
        <v>413</v>
      </c>
      <c r="G1114" s="9" t="s">
        <v>142</v>
      </c>
      <c r="H1114" s="9" t="s">
        <v>241</v>
      </c>
      <c r="I1114" s="9" t="s">
        <v>143</v>
      </c>
      <c r="J1114" s="9" t="s">
        <v>139</v>
      </c>
      <c r="K1114" s="10">
        <v>37901.682696759257</v>
      </c>
    </row>
    <row r="1115" spans="1:11" x14ac:dyDescent="0.25">
      <c r="A1115" s="8">
        <v>1982</v>
      </c>
      <c r="B1115" s="9" t="s">
        <v>5647</v>
      </c>
      <c r="C1115" s="9" t="s">
        <v>2203</v>
      </c>
      <c r="D1115" s="9" t="s">
        <v>139</v>
      </c>
      <c r="E1115" s="9" t="s">
        <v>2204</v>
      </c>
      <c r="F1115" s="9" t="s">
        <v>2205</v>
      </c>
      <c r="G1115" s="9" t="s">
        <v>142</v>
      </c>
      <c r="H1115" s="9" t="s">
        <v>241</v>
      </c>
      <c r="I1115" s="9" t="s">
        <v>411</v>
      </c>
      <c r="J1115" s="9" t="s">
        <v>139</v>
      </c>
      <c r="K1115" s="10">
        <v>37902.517002314817</v>
      </c>
    </row>
    <row r="1116" spans="1:11" x14ac:dyDescent="0.25">
      <c r="A1116" s="8">
        <v>1983</v>
      </c>
      <c r="B1116" s="9" t="s">
        <v>9113</v>
      </c>
      <c r="C1116" s="9" t="s">
        <v>2206</v>
      </c>
      <c r="D1116" s="9" t="s">
        <v>139</v>
      </c>
      <c r="E1116" s="9" t="s">
        <v>361</v>
      </c>
      <c r="F1116" s="9" t="s">
        <v>2207</v>
      </c>
      <c r="G1116" s="9" t="s">
        <v>142</v>
      </c>
      <c r="H1116" s="9" t="s">
        <v>166</v>
      </c>
      <c r="I1116" s="9" t="s">
        <v>143</v>
      </c>
      <c r="J1116" s="9" t="s">
        <v>139</v>
      </c>
      <c r="K1116" s="10">
        <v>37902.711493055554</v>
      </c>
    </row>
    <row r="1117" spans="1:11" x14ac:dyDescent="0.25">
      <c r="A1117" s="8">
        <v>1984</v>
      </c>
      <c r="B1117" s="9" t="s">
        <v>9114</v>
      </c>
      <c r="C1117" s="9" t="s">
        <v>2208</v>
      </c>
      <c r="D1117" s="9" t="s">
        <v>139</v>
      </c>
      <c r="E1117" s="9" t="s">
        <v>229</v>
      </c>
      <c r="F1117" s="9" t="s">
        <v>709</v>
      </c>
      <c r="G1117" s="9" t="s">
        <v>142</v>
      </c>
      <c r="H1117" s="9" t="s">
        <v>166</v>
      </c>
      <c r="I1117" s="9" t="s">
        <v>143</v>
      </c>
      <c r="J1117" s="9" t="s">
        <v>139</v>
      </c>
      <c r="K1117" s="10">
        <v>37903.78019675926</v>
      </c>
    </row>
    <row r="1118" spans="1:11" x14ac:dyDescent="0.25">
      <c r="A1118" s="8">
        <v>1986</v>
      </c>
      <c r="B1118" s="9" t="s">
        <v>5648</v>
      </c>
      <c r="C1118" s="9" t="s">
        <v>2209</v>
      </c>
      <c r="D1118" s="9" t="s">
        <v>2210</v>
      </c>
      <c r="E1118" s="9" t="s">
        <v>2211</v>
      </c>
      <c r="F1118" s="9" t="s">
        <v>2212</v>
      </c>
      <c r="G1118" s="9" t="s">
        <v>142</v>
      </c>
      <c r="H1118" s="9" t="s">
        <v>241</v>
      </c>
      <c r="I1118" s="9" t="s">
        <v>411</v>
      </c>
      <c r="J1118" s="9" t="s">
        <v>139</v>
      </c>
      <c r="K1118" s="10">
        <v>37904.719409722224</v>
      </c>
    </row>
    <row r="1119" spans="1:11" x14ac:dyDescent="0.25">
      <c r="A1119" s="8">
        <v>1987</v>
      </c>
      <c r="B1119" s="9" t="s">
        <v>5649</v>
      </c>
      <c r="C1119" s="9" t="s">
        <v>2213</v>
      </c>
      <c r="D1119" s="9" t="s">
        <v>2214</v>
      </c>
      <c r="E1119" s="9" t="s">
        <v>147</v>
      </c>
      <c r="F1119" s="9" t="s">
        <v>413</v>
      </c>
      <c r="G1119" s="9" t="s">
        <v>142</v>
      </c>
      <c r="H1119" s="9" t="s">
        <v>241</v>
      </c>
      <c r="I1119" s="9" t="s">
        <v>411</v>
      </c>
      <c r="J1119" s="9" t="s">
        <v>139</v>
      </c>
      <c r="K1119" s="10">
        <v>37904.725300925929</v>
      </c>
    </row>
    <row r="1120" spans="1:11" x14ac:dyDescent="0.25">
      <c r="A1120" s="8">
        <v>1988</v>
      </c>
      <c r="B1120" s="9" t="s">
        <v>5650</v>
      </c>
      <c r="C1120" s="9" t="s">
        <v>2215</v>
      </c>
      <c r="D1120" s="9" t="s">
        <v>139</v>
      </c>
      <c r="E1120" s="9" t="s">
        <v>202</v>
      </c>
      <c r="F1120" s="9" t="s">
        <v>413</v>
      </c>
      <c r="G1120" s="9" t="s">
        <v>142</v>
      </c>
      <c r="H1120" s="9" t="s">
        <v>241</v>
      </c>
      <c r="I1120" s="9" t="s">
        <v>411</v>
      </c>
      <c r="J1120" s="9" t="s">
        <v>139</v>
      </c>
      <c r="K1120" s="10">
        <v>37904.728310185186</v>
      </c>
    </row>
    <row r="1121" spans="1:11" x14ac:dyDescent="0.25">
      <c r="A1121" s="8">
        <v>1989</v>
      </c>
      <c r="B1121" s="9" t="s">
        <v>5651</v>
      </c>
      <c r="C1121" s="9" t="s">
        <v>2216</v>
      </c>
      <c r="D1121" s="9" t="s">
        <v>139</v>
      </c>
      <c r="E1121" s="9" t="s">
        <v>202</v>
      </c>
      <c r="F1121" s="9" t="s">
        <v>413</v>
      </c>
      <c r="G1121" s="9" t="s">
        <v>142</v>
      </c>
      <c r="H1121" s="9" t="s">
        <v>139</v>
      </c>
      <c r="I1121" s="9" t="s">
        <v>411</v>
      </c>
      <c r="J1121" s="9" t="s">
        <v>139</v>
      </c>
      <c r="K1121" s="10">
        <v>37904.73269675926</v>
      </c>
    </row>
    <row r="1122" spans="1:11" x14ac:dyDescent="0.25">
      <c r="A1122" s="8">
        <v>1990</v>
      </c>
      <c r="B1122" s="9" t="s">
        <v>5652</v>
      </c>
      <c r="C1122" s="9" t="s">
        <v>2217</v>
      </c>
      <c r="D1122" s="9" t="s">
        <v>139</v>
      </c>
      <c r="E1122" s="9" t="s">
        <v>212</v>
      </c>
      <c r="F1122" s="9" t="s">
        <v>413</v>
      </c>
      <c r="G1122" s="9" t="s">
        <v>142</v>
      </c>
      <c r="H1122" s="9" t="s">
        <v>241</v>
      </c>
      <c r="I1122" s="9" t="s">
        <v>411</v>
      </c>
      <c r="J1122" s="9" t="s">
        <v>139</v>
      </c>
      <c r="K1122" s="10">
        <v>37904.736203703702</v>
      </c>
    </row>
    <row r="1123" spans="1:11" x14ac:dyDescent="0.25">
      <c r="A1123" s="8">
        <v>1993</v>
      </c>
      <c r="B1123" s="9" t="s">
        <v>9115</v>
      </c>
      <c r="C1123" s="9" t="s">
        <v>2218</v>
      </c>
      <c r="D1123" s="9" t="s">
        <v>139</v>
      </c>
      <c r="E1123" s="9">
        <v>75003</v>
      </c>
      <c r="F1123" s="9" t="s">
        <v>413</v>
      </c>
      <c r="G1123" s="9" t="s">
        <v>142</v>
      </c>
      <c r="H1123" s="9" t="s">
        <v>166</v>
      </c>
      <c r="I1123" s="9" t="s">
        <v>143</v>
      </c>
      <c r="J1123" s="9" t="s">
        <v>139</v>
      </c>
      <c r="K1123" s="10">
        <v>37904.76290509259</v>
      </c>
    </row>
    <row r="1124" spans="1:11" x14ac:dyDescent="0.25">
      <c r="A1124" s="8">
        <v>1995</v>
      </c>
      <c r="B1124" s="9" t="s">
        <v>5653</v>
      </c>
      <c r="C1124" s="9" t="s">
        <v>2219</v>
      </c>
      <c r="D1124" s="9" t="s">
        <v>139</v>
      </c>
      <c r="E1124" s="9" t="s">
        <v>732</v>
      </c>
      <c r="F1124" s="9" t="s">
        <v>2220</v>
      </c>
      <c r="G1124" s="9" t="s">
        <v>142</v>
      </c>
      <c r="H1124" s="9" t="s">
        <v>139</v>
      </c>
      <c r="I1124" s="9" t="s">
        <v>411</v>
      </c>
      <c r="J1124" s="9" t="s">
        <v>139</v>
      </c>
      <c r="K1124" s="10">
        <v>37904.802523148152</v>
      </c>
    </row>
    <row r="1125" spans="1:11" x14ac:dyDescent="0.25">
      <c r="A1125" s="8">
        <v>1996</v>
      </c>
      <c r="B1125" s="9" t="s">
        <v>5654</v>
      </c>
      <c r="C1125" s="9" t="s">
        <v>2221</v>
      </c>
      <c r="D1125" s="9" t="s">
        <v>139</v>
      </c>
      <c r="E1125" s="9" t="s">
        <v>732</v>
      </c>
      <c r="F1125" s="9" t="s">
        <v>2220</v>
      </c>
      <c r="G1125" s="9" t="s">
        <v>142</v>
      </c>
      <c r="H1125" s="9" t="s">
        <v>139</v>
      </c>
      <c r="I1125" s="9" t="s">
        <v>411</v>
      </c>
      <c r="J1125" s="9" t="s">
        <v>139</v>
      </c>
      <c r="K1125" s="10">
        <v>37904.804490740738</v>
      </c>
    </row>
    <row r="1126" spans="1:11" x14ac:dyDescent="0.25">
      <c r="A1126" s="8">
        <v>1997</v>
      </c>
      <c r="B1126" s="9" t="s">
        <v>5655</v>
      </c>
      <c r="C1126" s="9" t="s">
        <v>2222</v>
      </c>
      <c r="D1126" s="9" t="s">
        <v>139</v>
      </c>
      <c r="E1126" s="9" t="s">
        <v>286</v>
      </c>
      <c r="F1126" s="9" t="s">
        <v>709</v>
      </c>
      <c r="G1126" s="9" t="s">
        <v>142</v>
      </c>
      <c r="H1126" s="9" t="s">
        <v>139</v>
      </c>
      <c r="I1126" s="9" t="s">
        <v>411</v>
      </c>
      <c r="J1126" s="9" t="s">
        <v>139</v>
      </c>
      <c r="K1126" s="10">
        <v>37904.812928240739</v>
      </c>
    </row>
    <row r="1127" spans="1:11" x14ac:dyDescent="0.25">
      <c r="A1127" s="8">
        <v>1998</v>
      </c>
      <c r="B1127" s="9" t="s">
        <v>9116</v>
      </c>
      <c r="C1127" s="9" t="s">
        <v>2223</v>
      </c>
      <c r="D1127" s="9" t="s">
        <v>139</v>
      </c>
      <c r="E1127" s="9" t="s">
        <v>1756</v>
      </c>
      <c r="F1127" s="9" t="s">
        <v>2176</v>
      </c>
      <c r="G1127" s="9" t="s">
        <v>142</v>
      </c>
      <c r="H1127" s="9" t="s">
        <v>166</v>
      </c>
      <c r="I1127" s="9" t="s">
        <v>143</v>
      </c>
      <c r="J1127" s="9" t="s">
        <v>139</v>
      </c>
      <c r="K1127" s="10">
        <v>37905.548645833333</v>
      </c>
    </row>
    <row r="1128" spans="1:11" x14ac:dyDescent="0.25">
      <c r="A1128" s="8">
        <v>1999</v>
      </c>
      <c r="B1128" s="9" t="s">
        <v>5656</v>
      </c>
      <c r="C1128" s="9" t="s">
        <v>139</v>
      </c>
      <c r="D1128" s="9" t="s">
        <v>139</v>
      </c>
      <c r="E1128" s="9">
        <v>75</v>
      </c>
      <c r="F1128" s="9" t="s">
        <v>413</v>
      </c>
      <c r="G1128" s="9" t="s">
        <v>142</v>
      </c>
      <c r="H1128" s="9" t="s">
        <v>241</v>
      </c>
      <c r="I1128" s="9" t="s">
        <v>411</v>
      </c>
      <c r="J1128" s="9" t="s">
        <v>139</v>
      </c>
      <c r="K1128" s="10">
        <v>37905.567465277774</v>
      </c>
    </row>
    <row r="1129" spans="1:11" x14ac:dyDescent="0.25">
      <c r="A1129" s="8">
        <v>2000</v>
      </c>
      <c r="B1129" s="9" t="s">
        <v>5657</v>
      </c>
      <c r="C1129" s="9" t="s">
        <v>2224</v>
      </c>
      <c r="D1129" s="9" t="s">
        <v>139</v>
      </c>
      <c r="E1129" s="9" t="s">
        <v>732</v>
      </c>
      <c r="F1129" s="9" t="s">
        <v>733</v>
      </c>
      <c r="G1129" s="9" t="s">
        <v>142</v>
      </c>
      <c r="H1129" s="9" t="s">
        <v>166</v>
      </c>
      <c r="I1129" s="9" t="s">
        <v>411</v>
      </c>
      <c r="J1129" s="9" t="s">
        <v>2225</v>
      </c>
      <c r="K1129" s="10">
        <v>37907.468958333331</v>
      </c>
    </row>
    <row r="1130" spans="1:11" x14ac:dyDescent="0.25">
      <c r="A1130" s="8">
        <v>2003</v>
      </c>
      <c r="B1130" s="9" t="s">
        <v>5658</v>
      </c>
      <c r="C1130" s="9" t="s">
        <v>2226</v>
      </c>
      <c r="D1130" s="9" t="s">
        <v>139</v>
      </c>
      <c r="E1130" s="9" t="s">
        <v>2227</v>
      </c>
      <c r="F1130" s="9" t="s">
        <v>2228</v>
      </c>
      <c r="G1130" s="9" t="s">
        <v>1042</v>
      </c>
      <c r="H1130" s="9" t="s">
        <v>321</v>
      </c>
      <c r="I1130" s="9" t="s">
        <v>411</v>
      </c>
      <c r="J1130" s="9" t="s">
        <v>139</v>
      </c>
      <c r="K1130" s="10">
        <v>37908.610208333332</v>
      </c>
    </row>
    <row r="1131" spans="1:11" x14ac:dyDescent="0.25">
      <c r="A1131" s="8">
        <v>2004</v>
      </c>
      <c r="B1131" s="9" t="s">
        <v>5659</v>
      </c>
      <c r="C1131" s="9" t="s">
        <v>2229</v>
      </c>
      <c r="D1131" s="9" t="s">
        <v>139</v>
      </c>
      <c r="E1131" s="9" t="s">
        <v>2230</v>
      </c>
      <c r="F1131" s="9" t="s">
        <v>2231</v>
      </c>
      <c r="G1131" s="9" t="s">
        <v>602</v>
      </c>
      <c r="H1131" s="9" t="s">
        <v>139</v>
      </c>
      <c r="I1131" s="9" t="s">
        <v>411</v>
      </c>
      <c r="J1131" s="9" t="s">
        <v>139</v>
      </c>
      <c r="K1131" s="10">
        <v>37908.61273148148</v>
      </c>
    </row>
    <row r="1132" spans="1:11" x14ac:dyDescent="0.25">
      <c r="A1132" s="8">
        <v>2005</v>
      </c>
      <c r="B1132" s="9" t="s">
        <v>5660</v>
      </c>
      <c r="C1132" s="9" t="s">
        <v>2232</v>
      </c>
      <c r="D1132" s="9" t="s">
        <v>139</v>
      </c>
      <c r="E1132" s="9" t="s">
        <v>2178</v>
      </c>
      <c r="F1132" s="9" t="s">
        <v>2179</v>
      </c>
      <c r="G1132" s="9" t="s">
        <v>621</v>
      </c>
      <c r="H1132" s="9" t="s">
        <v>139</v>
      </c>
      <c r="I1132" s="9" t="s">
        <v>411</v>
      </c>
      <c r="J1132" s="9" t="s">
        <v>139</v>
      </c>
      <c r="K1132" s="10">
        <v>37910.513842592591</v>
      </c>
    </row>
    <row r="1133" spans="1:11" x14ac:dyDescent="0.25">
      <c r="A1133" s="8">
        <v>2006</v>
      </c>
      <c r="B1133" s="9" t="s">
        <v>5661</v>
      </c>
      <c r="C1133" s="9" t="s">
        <v>2233</v>
      </c>
      <c r="D1133" s="9" t="s">
        <v>139</v>
      </c>
      <c r="E1133" s="9" t="s">
        <v>204</v>
      </c>
      <c r="F1133" s="9" t="s">
        <v>2234</v>
      </c>
      <c r="G1133" s="9" t="s">
        <v>142</v>
      </c>
      <c r="H1133" s="9" t="s">
        <v>139</v>
      </c>
      <c r="I1133" s="9" t="s">
        <v>411</v>
      </c>
      <c r="J1133" s="9" t="s">
        <v>139</v>
      </c>
      <c r="K1133" s="10">
        <v>37910.665300925924</v>
      </c>
    </row>
    <row r="1134" spans="1:11" x14ac:dyDescent="0.25">
      <c r="A1134" s="8">
        <v>2009</v>
      </c>
      <c r="B1134" s="9" t="s">
        <v>5662</v>
      </c>
      <c r="C1134" s="9" t="s">
        <v>2235</v>
      </c>
      <c r="D1134" s="9" t="s">
        <v>139</v>
      </c>
      <c r="E1134" s="9" t="s">
        <v>204</v>
      </c>
      <c r="F1134" s="9" t="s">
        <v>2236</v>
      </c>
      <c r="G1134" s="9" t="s">
        <v>142</v>
      </c>
      <c r="H1134" s="9" t="s">
        <v>139</v>
      </c>
      <c r="I1134" s="9" t="s">
        <v>411</v>
      </c>
      <c r="J1134" s="9" t="s">
        <v>139</v>
      </c>
      <c r="K1134" s="10">
        <v>37910.671354166669</v>
      </c>
    </row>
    <row r="1135" spans="1:11" x14ac:dyDescent="0.25">
      <c r="A1135" s="8">
        <v>2013</v>
      </c>
      <c r="B1135" s="9" t="s">
        <v>5663</v>
      </c>
      <c r="C1135" s="9" t="s">
        <v>2237</v>
      </c>
      <c r="D1135" s="9" t="s">
        <v>139</v>
      </c>
      <c r="E1135" s="9" t="s">
        <v>204</v>
      </c>
      <c r="F1135" s="9" t="s">
        <v>2238</v>
      </c>
      <c r="G1135" s="9" t="s">
        <v>142</v>
      </c>
      <c r="H1135" s="9" t="s">
        <v>139</v>
      </c>
      <c r="I1135" s="9" t="s">
        <v>411</v>
      </c>
      <c r="J1135" s="9" t="s">
        <v>139</v>
      </c>
      <c r="K1135" s="10">
        <v>37910.685312499998</v>
      </c>
    </row>
    <row r="1136" spans="1:11" x14ac:dyDescent="0.25">
      <c r="A1136" s="8">
        <v>2015</v>
      </c>
      <c r="B1136" s="9" t="s">
        <v>5664</v>
      </c>
      <c r="C1136" s="9" t="s">
        <v>2239</v>
      </c>
      <c r="D1136" s="9" t="s">
        <v>2240</v>
      </c>
      <c r="E1136" s="9" t="s">
        <v>2241</v>
      </c>
      <c r="F1136" s="9" t="s">
        <v>2242</v>
      </c>
      <c r="G1136" s="9" t="s">
        <v>142</v>
      </c>
      <c r="H1136" s="9" t="s">
        <v>166</v>
      </c>
      <c r="I1136" s="9" t="s">
        <v>411</v>
      </c>
      <c r="J1136" s="9" t="s">
        <v>139</v>
      </c>
      <c r="K1136" s="10">
        <v>37910.691516203704</v>
      </c>
    </row>
    <row r="1137" spans="1:11" x14ac:dyDescent="0.25">
      <c r="A1137" s="8">
        <v>2017</v>
      </c>
      <c r="B1137" s="9" t="s">
        <v>9117</v>
      </c>
      <c r="C1137" s="9" t="s">
        <v>139</v>
      </c>
      <c r="D1137" s="9" t="s">
        <v>139</v>
      </c>
      <c r="E1137" s="9">
        <v>75</v>
      </c>
      <c r="F1137" s="9" t="s">
        <v>413</v>
      </c>
      <c r="G1137" s="9" t="s">
        <v>142</v>
      </c>
      <c r="H1137" s="9" t="s">
        <v>139</v>
      </c>
      <c r="I1137" s="9" t="s">
        <v>143</v>
      </c>
      <c r="J1137" s="9" t="s">
        <v>139</v>
      </c>
      <c r="K1137" s="10">
        <v>37912.698738425926</v>
      </c>
    </row>
    <row r="1138" spans="1:11" x14ac:dyDescent="0.25">
      <c r="A1138" s="8">
        <v>2018</v>
      </c>
      <c r="B1138" s="9" t="s">
        <v>5665</v>
      </c>
      <c r="C1138" s="9" t="s">
        <v>2243</v>
      </c>
      <c r="D1138" s="9" t="s">
        <v>139</v>
      </c>
      <c r="E1138" s="9" t="s">
        <v>2244</v>
      </c>
      <c r="F1138" s="9" t="s">
        <v>2245</v>
      </c>
      <c r="G1138" s="9" t="s">
        <v>142</v>
      </c>
      <c r="H1138" s="9" t="s">
        <v>241</v>
      </c>
      <c r="I1138" s="9" t="s">
        <v>411</v>
      </c>
      <c r="J1138" s="9" t="s">
        <v>2246</v>
      </c>
      <c r="K1138" s="10">
        <v>37915.701979166668</v>
      </c>
    </row>
    <row r="1139" spans="1:11" x14ac:dyDescent="0.25">
      <c r="A1139" s="8">
        <v>2019</v>
      </c>
      <c r="B1139" s="9" t="s">
        <v>9118</v>
      </c>
      <c r="C1139" s="9" t="s">
        <v>2247</v>
      </c>
      <c r="D1139" s="9" t="s">
        <v>139</v>
      </c>
      <c r="E1139" s="9" t="s">
        <v>2248</v>
      </c>
      <c r="F1139" s="9" t="s">
        <v>2249</v>
      </c>
      <c r="G1139" s="9" t="s">
        <v>142</v>
      </c>
      <c r="H1139" s="9" t="s">
        <v>166</v>
      </c>
      <c r="I1139" s="9" t="s">
        <v>143</v>
      </c>
      <c r="J1139" s="9" t="s">
        <v>139</v>
      </c>
      <c r="K1139" s="10">
        <v>37915.705254629633</v>
      </c>
    </row>
    <row r="1140" spans="1:11" x14ac:dyDescent="0.25">
      <c r="A1140" s="8">
        <v>2020</v>
      </c>
      <c r="B1140" s="9" t="s">
        <v>9119</v>
      </c>
      <c r="C1140" s="9" t="s">
        <v>2250</v>
      </c>
      <c r="D1140" s="9" t="s">
        <v>139</v>
      </c>
      <c r="E1140" s="9" t="s">
        <v>2251</v>
      </c>
      <c r="F1140" s="9" t="s">
        <v>2252</v>
      </c>
      <c r="G1140" s="9" t="s">
        <v>142</v>
      </c>
      <c r="H1140" s="9" t="s">
        <v>166</v>
      </c>
      <c r="I1140" s="9" t="s">
        <v>143</v>
      </c>
      <c r="J1140" s="9" t="s">
        <v>139</v>
      </c>
      <c r="K1140" s="10">
        <v>37915.755254629628</v>
      </c>
    </row>
    <row r="1141" spans="1:11" x14ac:dyDescent="0.25">
      <c r="A1141" s="8">
        <v>2021</v>
      </c>
      <c r="B1141" s="9" t="s">
        <v>5666</v>
      </c>
      <c r="C1141" s="9" t="s">
        <v>2253</v>
      </c>
      <c r="D1141" s="9" t="s">
        <v>139</v>
      </c>
      <c r="E1141" s="9" t="s">
        <v>2254</v>
      </c>
      <c r="F1141" s="9" t="s">
        <v>2255</v>
      </c>
      <c r="G1141" s="9" t="s">
        <v>142</v>
      </c>
      <c r="H1141" s="9" t="s">
        <v>166</v>
      </c>
      <c r="I1141" s="9" t="s">
        <v>411</v>
      </c>
      <c r="J1141" s="9" t="s">
        <v>139</v>
      </c>
      <c r="K1141" s="10">
        <v>37915.760243055556</v>
      </c>
    </row>
    <row r="1142" spans="1:11" x14ac:dyDescent="0.25">
      <c r="A1142" s="8">
        <v>2022</v>
      </c>
      <c r="B1142" s="9" t="s">
        <v>5667</v>
      </c>
      <c r="C1142" s="9" t="s">
        <v>2256</v>
      </c>
      <c r="D1142" s="9" t="s">
        <v>139</v>
      </c>
      <c r="E1142" s="9" t="s">
        <v>2257</v>
      </c>
      <c r="F1142" s="9" t="s">
        <v>2258</v>
      </c>
      <c r="G1142" s="9" t="s">
        <v>142</v>
      </c>
      <c r="H1142" s="9" t="s">
        <v>139</v>
      </c>
      <c r="I1142" s="9" t="s">
        <v>411</v>
      </c>
      <c r="J1142" s="9" t="s">
        <v>2259</v>
      </c>
      <c r="K1142" s="10">
        <v>37918.518043981479</v>
      </c>
    </row>
    <row r="1143" spans="1:11" x14ac:dyDescent="0.25">
      <c r="A1143" s="8">
        <v>2024</v>
      </c>
      <c r="B1143" s="9" t="s">
        <v>9120</v>
      </c>
      <c r="C1143" s="9" t="s">
        <v>139</v>
      </c>
      <c r="D1143" s="9" t="s">
        <v>139</v>
      </c>
      <c r="E1143" s="9">
        <v>75</v>
      </c>
      <c r="F1143" s="9" t="s">
        <v>413</v>
      </c>
      <c r="G1143" s="9" t="s">
        <v>142</v>
      </c>
      <c r="H1143" s="9" t="s">
        <v>166</v>
      </c>
      <c r="I1143" s="9" t="s">
        <v>143</v>
      </c>
      <c r="J1143" s="9" t="s">
        <v>139</v>
      </c>
      <c r="K1143" s="10">
        <v>37919.587962962964</v>
      </c>
    </row>
    <row r="1144" spans="1:11" x14ac:dyDescent="0.25">
      <c r="A1144" s="8">
        <v>2025</v>
      </c>
      <c r="B1144" s="9" t="s">
        <v>9121</v>
      </c>
      <c r="C1144" s="9" t="s">
        <v>2260</v>
      </c>
      <c r="D1144" s="9" t="s">
        <v>139</v>
      </c>
      <c r="E1144" s="9" t="s">
        <v>191</v>
      </c>
      <c r="F1144" s="9" t="s">
        <v>709</v>
      </c>
      <c r="G1144" s="9" t="s">
        <v>142</v>
      </c>
      <c r="H1144" s="9" t="s">
        <v>166</v>
      </c>
      <c r="I1144" s="9" t="s">
        <v>143</v>
      </c>
      <c r="J1144" s="9" t="s">
        <v>139</v>
      </c>
      <c r="K1144" s="10">
        <v>37919.589317129627</v>
      </c>
    </row>
    <row r="1145" spans="1:11" x14ac:dyDescent="0.25">
      <c r="A1145" s="8">
        <v>2026</v>
      </c>
      <c r="B1145" s="9" t="s">
        <v>9122</v>
      </c>
      <c r="C1145" s="9" t="s">
        <v>139</v>
      </c>
      <c r="D1145" s="9" t="s">
        <v>139</v>
      </c>
      <c r="E1145" s="9">
        <v>75</v>
      </c>
      <c r="F1145" s="9" t="s">
        <v>413</v>
      </c>
      <c r="G1145" s="9" t="s">
        <v>142</v>
      </c>
      <c r="H1145" s="9" t="s">
        <v>166</v>
      </c>
      <c r="I1145" s="9" t="s">
        <v>143</v>
      </c>
      <c r="J1145" s="9" t="s">
        <v>139</v>
      </c>
      <c r="K1145" s="10">
        <v>37923.703819444447</v>
      </c>
    </row>
    <row r="1146" spans="1:11" x14ac:dyDescent="0.25">
      <c r="A1146" s="8">
        <v>2027</v>
      </c>
      <c r="B1146" s="9" t="s">
        <v>5668</v>
      </c>
      <c r="C1146" s="9" t="s">
        <v>2261</v>
      </c>
      <c r="D1146" s="9" t="s">
        <v>139</v>
      </c>
      <c r="E1146" s="9" t="s">
        <v>2262</v>
      </c>
      <c r="F1146" s="9" t="s">
        <v>2263</v>
      </c>
      <c r="G1146" s="9" t="s">
        <v>142</v>
      </c>
      <c r="H1146" s="9" t="s">
        <v>241</v>
      </c>
      <c r="I1146" s="9" t="s">
        <v>411</v>
      </c>
      <c r="J1146" s="9" t="s">
        <v>139</v>
      </c>
      <c r="K1146" s="10">
        <v>37925.459050925929</v>
      </c>
    </row>
    <row r="1147" spans="1:11" x14ac:dyDescent="0.25">
      <c r="A1147" s="8">
        <v>2028</v>
      </c>
      <c r="B1147" s="9" t="s">
        <v>9123</v>
      </c>
      <c r="C1147" s="9" t="s">
        <v>2264</v>
      </c>
      <c r="D1147" s="9" t="s">
        <v>139</v>
      </c>
      <c r="E1147" s="9" t="s">
        <v>2265</v>
      </c>
      <c r="F1147" s="9" t="s">
        <v>2266</v>
      </c>
      <c r="G1147" s="9" t="s">
        <v>142</v>
      </c>
      <c r="H1147" s="9" t="s">
        <v>139</v>
      </c>
      <c r="I1147" s="9" t="s">
        <v>143</v>
      </c>
      <c r="J1147" s="9" t="s">
        <v>139</v>
      </c>
      <c r="K1147" s="10">
        <v>37925.538715277777</v>
      </c>
    </row>
    <row r="1148" spans="1:11" x14ac:dyDescent="0.25">
      <c r="A1148" s="8">
        <v>2029</v>
      </c>
      <c r="B1148" s="9" t="s">
        <v>5669</v>
      </c>
      <c r="C1148" s="9" t="s">
        <v>2267</v>
      </c>
      <c r="D1148" s="9" t="s">
        <v>139</v>
      </c>
      <c r="E1148" s="9" t="s">
        <v>2268</v>
      </c>
      <c r="F1148" s="9" t="s">
        <v>2269</v>
      </c>
      <c r="G1148" s="9" t="s">
        <v>142</v>
      </c>
      <c r="H1148" s="9" t="s">
        <v>139</v>
      </c>
      <c r="I1148" s="9" t="s">
        <v>411</v>
      </c>
      <c r="J1148" s="9" t="s">
        <v>2270</v>
      </c>
      <c r="K1148" s="10">
        <v>37925.566793981481</v>
      </c>
    </row>
    <row r="1149" spans="1:11" x14ac:dyDescent="0.25">
      <c r="A1149" s="8">
        <v>2030</v>
      </c>
      <c r="B1149" s="9" t="s">
        <v>5670</v>
      </c>
      <c r="C1149" s="9" t="s">
        <v>2271</v>
      </c>
      <c r="D1149" s="9" t="s">
        <v>139</v>
      </c>
      <c r="E1149" s="9" t="s">
        <v>1232</v>
      </c>
      <c r="F1149" s="9" t="s">
        <v>1233</v>
      </c>
      <c r="G1149" s="9" t="s">
        <v>142</v>
      </c>
      <c r="H1149" s="9" t="s">
        <v>139</v>
      </c>
      <c r="I1149" s="9" t="s">
        <v>411</v>
      </c>
      <c r="J1149" s="9" t="s">
        <v>139</v>
      </c>
      <c r="K1149" s="10">
        <v>37925.615567129629</v>
      </c>
    </row>
    <row r="1150" spans="1:11" x14ac:dyDescent="0.25">
      <c r="A1150" s="8">
        <v>2032</v>
      </c>
      <c r="B1150" s="9" t="s">
        <v>5671</v>
      </c>
      <c r="C1150" s="9" t="s">
        <v>2272</v>
      </c>
      <c r="D1150" s="9" t="s">
        <v>139</v>
      </c>
      <c r="E1150" s="9" t="s">
        <v>149</v>
      </c>
      <c r="F1150" s="9" t="s">
        <v>141</v>
      </c>
      <c r="G1150" s="9" t="s">
        <v>142</v>
      </c>
      <c r="H1150" s="9" t="s">
        <v>139</v>
      </c>
      <c r="I1150" s="9" t="s">
        <v>411</v>
      </c>
      <c r="J1150" s="9" t="s">
        <v>139</v>
      </c>
      <c r="K1150" s="10">
        <v>37931.653194444443</v>
      </c>
    </row>
    <row r="1151" spans="1:11" x14ac:dyDescent="0.25">
      <c r="A1151" s="8">
        <v>2033</v>
      </c>
      <c r="B1151" s="9" t="s">
        <v>5672</v>
      </c>
      <c r="C1151" s="9" t="s">
        <v>2273</v>
      </c>
      <c r="D1151" s="9" t="s">
        <v>139</v>
      </c>
      <c r="E1151" s="9" t="s">
        <v>408</v>
      </c>
      <c r="F1151" s="9" t="s">
        <v>409</v>
      </c>
      <c r="G1151" s="9" t="s">
        <v>142</v>
      </c>
      <c r="H1151" s="9" t="s">
        <v>139</v>
      </c>
      <c r="I1151" s="9" t="s">
        <v>411</v>
      </c>
      <c r="J1151" s="9" t="s">
        <v>139</v>
      </c>
      <c r="K1151" s="10">
        <v>37931.663090277776</v>
      </c>
    </row>
    <row r="1152" spans="1:11" x14ac:dyDescent="0.25">
      <c r="A1152" s="8">
        <v>2034</v>
      </c>
      <c r="B1152" s="9" t="s">
        <v>5673</v>
      </c>
      <c r="C1152" s="9" t="s">
        <v>2274</v>
      </c>
      <c r="D1152" s="9" t="s">
        <v>139</v>
      </c>
      <c r="E1152" s="9" t="s">
        <v>2275</v>
      </c>
      <c r="F1152" s="9" t="s">
        <v>2276</v>
      </c>
      <c r="G1152" s="9" t="s">
        <v>142</v>
      </c>
      <c r="H1152" s="9" t="s">
        <v>139</v>
      </c>
      <c r="I1152" s="9" t="s">
        <v>411</v>
      </c>
      <c r="J1152" s="9" t="s">
        <v>139</v>
      </c>
      <c r="K1152" s="10">
        <v>37932.639999999999</v>
      </c>
    </row>
    <row r="1153" spans="1:11" x14ac:dyDescent="0.25">
      <c r="A1153" s="8">
        <v>2035</v>
      </c>
      <c r="B1153" s="9" t="s">
        <v>9124</v>
      </c>
      <c r="C1153" s="9" t="s">
        <v>139</v>
      </c>
      <c r="D1153" s="9" t="s">
        <v>139</v>
      </c>
      <c r="E1153" s="9">
        <v>75</v>
      </c>
      <c r="F1153" s="9" t="s">
        <v>413</v>
      </c>
      <c r="G1153" s="9" t="s">
        <v>142</v>
      </c>
      <c r="H1153" s="9" t="s">
        <v>139</v>
      </c>
      <c r="I1153" s="9" t="s">
        <v>143</v>
      </c>
      <c r="J1153" s="9" t="s">
        <v>139</v>
      </c>
      <c r="K1153" s="10">
        <v>37939.566053240742</v>
      </c>
    </row>
    <row r="1154" spans="1:11" x14ac:dyDescent="0.25">
      <c r="A1154" s="8">
        <v>2039</v>
      </c>
      <c r="B1154" s="9" t="s">
        <v>5674</v>
      </c>
      <c r="C1154" s="9" t="s">
        <v>2277</v>
      </c>
      <c r="D1154" s="9" t="s">
        <v>2278</v>
      </c>
      <c r="E1154" s="9" t="s">
        <v>2279</v>
      </c>
      <c r="F1154" s="9" t="s">
        <v>2280</v>
      </c>
      <c r="G1154" s="9" t="s">
        <v>142</v>
      </c>
      <c r="H1154" s="9" t="s">
        <v>139</v>
      </c>
      <c r="I1154" s="9" t="s">
        <v>411</v>
      </c>
      <c r="J1154" s="9" t="s">
        <v>139</v>
      </c>
      <c r="K1154" s="10">
        <v>37945.672210648147</v>
      </c>
    </row>
    <row r="1155" spans="1:11" x14ac:dyDescent="0.25">
      <c r="A1155" s="8">
        <v>2040</v>
      </c>
      <c r="B1155" s="9" t="s">
        <v>5675</v>
      </c>
      <c r="C1155" s="9" t="s">
        <v>2281</v>
      </c>
      <c r="D1155" s="9" t="s">
        <v>2282</v>
      </c>
      <c r="E1155" s="9" t="s">
        <v>2283</v>
      </c>
      <c r="F1155" s="9" t="s">
        <v>2284</v>
      </c>
      <c r="G1155" s="9" t="s">
        <v>142</v>
      </c>
      <c r="H1155" s="9" t="s">
        <v>139</v>
      </c>
      <c r="I1155" s="9" t="s">
        <v>411</v>
      </c>
      <c r="J1155" s="9" t="s">
        <v>139</v>
      </c>
      <c r="K1155" s="10">
        <v>37945.678124999999</v>
      </c>
    </row>
    <row r="1156" spans="1:11" x14ac:dyDescent="0.25">
      <c r="A1156" s="8">
        <v>2041</v>
      </c>
      <c r="B1156" s="9" t="s">
        <v>9125</v>
      </c>
      <c r="C1156" s="9" t="s">
        <v>2285</v>
      </c>
      <c r="D1156" s="9" t="s">
        <v>139</v>
      </c>
      <c r="E1156" s="9" t="s">
        <v>2286</v>
      </c>
      <c r="F1156" s="9" t="s">
        <v>2287</v>
      </c>
      <c r="G1156" s="9" t="s">
        <v>142</v>
      </c>
      <c r="H1156" s="9" t="s">
        <v>139</v>
      </c>
      <c r="I1156" s="9" t="s">
        <v>143</v>
      </c>
      <c r="J1156" s="9" t="s">
        <v>139</v>
      </c>
      <c r="K1156" s="10">
        <v>37945.682638888888</v>
      </c>
    </row>
    <row r="1157" spans="1:11" x14ac:dyDescent="0.25">
      <c r="A1157" s="8">
        <v>2044</v>
      </c>
      <c r="B1157" s="9" t="s">
        <v>5676</v>
      </c>
      <c r="C1157" s="9" t="s">
        <v>2288</v>
      </c>
      <c r="D1157" s="9" t="s">
        <v>2289</v>
      </c>
      <c r="E1157" s="9" t="s">
        <v>2290</v>
      </c>
      <c r="F1157" s="9" t="s">
        <v>2291</v>
      </c>
      <c r="G1157" s="9" t="s">
        <v>1004</v>
      </c>
      <c r="H1157" s="9" t="s">
        <v>241</v>
      </c>
      <c r="I1157" s="9" t="s">
        <v>411</v>
      </c>
      <c r="J1157" s="9" t="s">
        <v>139</v>
      </c>
      <c r="K1157" s="10">
        <v>37945.715115740742</v>
      </c>
    </row>
    <row r="1158" spans="1:11" x14ac:dyDescent="0.25">
      <c r="A1158" s="8">
        <v>2045</v>
      </c>
      <c r="B1158" s="9" t="s">
        <v>9126</v>
      </c>
      <c r="C1158" s="9" t="s">
        <v>2292</v>
      </c>
      <c r="D1158" s="9" t="s">
        <v>139</v>
      </c>
      <c r="E1158" s="9" t="s">
        <v>2293</v>
      </c>
      <c r="F1158" s="9" t="s">
        <v>2294</v>
      </c>
      <c r="G1158" s="9" t="s">
        <v>142</v>
      </c>
      <c r="H1158" s="9" t="s">
        <v>258</v>
      </c>
      <c r="I1158" s="9" t="s">
        <v>143</v>
      </c>
      <c r="J1158" s="9" t="s">
        <v>139</v>
      </c>
      <c r="K1158" s="10">
        <v>37945.733414351853</v>
      </c>
    </row>
    <row r="1159" spans="1:11" x14ac:dyDescent="0.25">
      <c r="A1159" s="8">
        <v>2046</v>
      </c>
      <c r="B1159" s="9" t="s">
        <v>9127</v>
      </c>
      <c r="C1159" s="9" t="s">
        <v>2295</v>
      </c>
      <c r="D1159" s="9" t="s">
        <v>139</v>
      </c>
      <c r="E1159" s="9" t="s">
        <v>149</v>
      </c>
      <c r="F1159" s="9" t="s">
        <v>413</v>
      </c>
      <c r="G1159" s="9" t="s">
        <v>142</v>
      </c>
      <c r="H1159" s="9" t="s">
        <v>139</v>
      </c>
      <c r="I1159" s="9" t="s">
        <v>143</v>
      </c>
      <c r="J1159" s="9" t="s">
        <v>139</v>
      </c>
      <c r="K1159" s="10">
        <v>37945.736875000002</v>
      </c>
    </row>
    <row r="1160" spans="1:11" x14ac:dyDescent="0.25">
      <c r="A1160" s="8">
        <v>2050</v>
      </c>
      <c r="B1160" s="9" t="s">
        <v>5677</v>
      </c>
      <c r="C1160" s="9" t="s">
        <v>2296</v>
      </c>
      <c r="D1160" s="9" t="s">
        <v>139</v>
      </c>
      <c r="E1160" s="9" t="s">
        <v>306</v>
      </c>
      <c r="F1160" s="9" t="s">
        <v>413</v>
      </c>
      <c r="G1160" s="9" t="s">
        <v>142</v>
      </c>
      <c r="H1160" s="9" t="s">
        <v>258</v>
      </c>
      <c r="I1160" s="9" t="s">
        <v>411</v>
      </c>
      <c r="J1160" s="9" t="s">
        <v>139</v>
      </c>
      <c r="K1160" s="10">
        <v>37947.520497685182</v>
      </c>
    </row>
    <row r="1161" spans="1:11" x14ac:dyDescent="0.25">
      <c r="A1161" s="8">
        <v>2055</v>
      </c>
      <c r="B1161" s="9" t="s">
        <v>5678</v>
      </c>
      <c r="C1161" s="9" t="s">
        <v>2297</v>
      </c>
      <c r="D1161" s="9" t="s">
        <v>139</v>
      </c>
      <c r="E1161" s="9" t="s">
        <v>229</v>
      </c>
      <c r="F1161" s="9" t="s">
        <v>709</v>
      </c>
      <c r="G1161" s="9" t="s">
        <v>142</v>
      </c>
      <c r="H1161" s="9" t="s">
        <v>139</v>
      </c>
      <c r="I1161" s="9" t="s">
        <v>411</v>
      </c>
      <c r="J1161" s="9" t="s">
        <v>139</v>
      </c>
      <c r="K1161" s="10">
        <v>37947.530439814815</v>
      </c>
    </row>
    <row r="1162" spans="1:11" x14ac:dyDescent="0.25">
      <c r="A1162" s="8">
        <v>2056</v>
      </c>
      <c r="B1162" s="9" t="s">
        <v>5679</v>
      </c>
      <c r="C1162" s="9" t="s">
        <v>2298</v>
      </c>
      <c r="D1162" s="9" t="s">
        <v>139</v>
      </c>
      <c r="E1162" s="9" t="s">
        <v>202</v>
      </c>
      <c r="F1162" s="9" t="s">
        <v>413</v>
      </c>
      <c r="G1162" s="9" t="s">
        <v>142</v>
      </c>
      <c r="H1162" s="9" t="s">
        <v>139</v>
      </c>
      <c r="I1162" s="9" t="s">
        <v>411</v>
      </c>
      <c r="J1162" s="9" t="s">
        <v>139</v>
      </c>
      <c r="K1162" s="10">
        <v>37947.532407407409</v>
      </c>
    </row>
    <row r="1163" spans="1:11" x14ac:dyDescent="0.25">
      <c r="A1163" s="8">
        <v>2057</v>
      </c>
      <c r="B1163" s="9" t="s">
        <v>5680</v>
      </c>
      <c r="C1163" s="9" t="s">
        <v>2299</v>
      </c>
      <c r="D1163" s="9" t="s">
        <v>2300</v>
      </c>
      <c r="E1163" s="9" t="s">
        <v>147</v>
      </c>
      <c r="F1163" s="9" t="s">
        <v>413</v>
      </c>
      <c r="G1163" s="9" t="s">
        <v>142</v>
      </c>
      <c r="H1163" s="9" t="s">
        <v>139</v>
      </c>
      <c r="I1163" s="9" t="s">
        <v>411</v>
      </c>
      <c r="J1163" s="9" t="s">
        <v>139</v>
      </c>
      <c r="K1163" s="10">
        <v>37947.534768518519</v>
      </c>
    </row>
    <row r="1164" spans="1:11" x14ac:dyDescent="0.25">
      <c r="A1164" s="8">
        <v>2058</v>
      </c>
      <c r="B1164" s="9" t="s">
        <v>9128</v>
      </c>
      <c r="C1164" s="9" t="s">
        <v>2301</v>
      </c>
      <c r="D1164" s="9" t="s">
        <v>139</v>
      </c>
      <c r="E1164" s="9" t="s">
        <v>328</v>
      </c>
      <c r="F1164" s="9" t="s">
        <v>141</v>
      </c>
      <c r="G1164" s="9" t="s">
        <v>142</v>
      </c>
      <c r="H1164" s="9" t="s">
        <v>241</v>
      </c>
      <c r="I1164" s="9" t="s">
        <v>143</v>
      </c>
      <c r="J1164" s="9" t="s">
        <v>139</v>
      </c>
      <c r="K1164" s="10">
        <v>37950.730405092596</v>
      </c>
    </row>
    <row r="1165" spans="1:11" x14ac:dyDescent="0.25">
      <c r="A1165" s="8">
        <v>2059</v>
      </c>
      <c r="B1165" s="9" t="s">
        <v>5681</v>
      </c>
      <c r="C1165" s="9" t="s">
        <v>2302</v>
      </c>
      <c r="D1165" s="9" t="s">
        <v>139</v>
      </c>
      <c r="E1165" s="9" t="s">
        <v>419</v>
      </c>
      <c r="F1165" s="9" t="s">
        <v>2303</v>
      </c>
      <c r="G1165" s="9" t="s">
        <v>142</v>
      </c>
      <c r="H1165" s="9" t="s">
        <v>241</v>
      </c>
      <c r="I1165" s="9" t="s">
        <v>411</v>
      </c>
      <c r="J1165" s="9" t="s">
        <v>139</v>
      </c>
      <c r="K1165" s="10">
        <v>37951.569513888891</v>
      </c>
    </row>
    <row r="1166" spans="1:11" x14ac:dyDescent="0.25">
      <c r="A1166" s="8">
        <v>2060</v>
      </c>
      <c r="B1166" s="9" t="s">
        <v>5682</v>
      </c>
      <c r="C1166" s="9" t="s">
        <v>2304</v>
      </c>
      <c r="D1166" s="9" t="s">
        <v>139</v>
      </c>
      <c r="E1166" s="9" t="s">
        <v>299</v>
      </c>
      <c r="F1166" s="9" t="s">
        <v>300</v>
      </c>
      <c r="G1166" s="9" t="s">
        <v>142</v>
      </c>
      <c r="H1166" s="9" t="s">
        <v>139</v>
      </c>
      <c r="I1166" s="9" t="s">
        <v>411</v>
      </c>
      <c r="J1166" s="9" t="s">
        <v>2305</v>
      </c>
      <c r="K1166" s="10">
        <v>37952.551504629628</v>
      </c>
    </row>
    <row r="1167" spans="1:11" x14ac:dyDescent="0.25">
      <c r="A1167" s="8">
        <v>2061</v>
      </c>
      <c r="B1167" s="9" t="s">
        <v>9129</v>
      </c>
      <c r="C1167" s="9" t="s">
        <v>2306</v>
      </c>
      <c r="D1167" s="9" t="s">
        <v>139</v>
      </c>
      <c r="E1167" s="9" t="s">
        <v>263</v>
      </c>
      <c r="F1167" s="9" t="s">
        <v>141</v>
      </c>
      <c r="G1167" s="9" t="s">
        <v>142</v>
      </c>
      <c r="H1167" s="9" t="s">
        <v>166</v>
      </c>
      <c r="I1167" s="9" t="s">
        <v>143</v>
      </c>
      <c r="J1167" s="9" t="s">
        <v>139</v>
      </c>
      <c r="K1167" s="10">
        <v>37952.748159722221</v>
      </c>
    </row>
    <row r="1168" spans="1:11" x14ac:dyDescent="0.25">
      <c r="A1168" s="8">
        <v>2062</v>
      </c>
      <c r="B1168" s="9" t="s">
        <v>9130</v>
      </c>
      <c r="C1168" s="9" t="s">
        <v>2307</v>
      </c>
      <c r="D1168" s="9" t="s">
        <v>139</v>
      </c>
      <c r="E1168" s="9" t="s">
        <v>308</v>
      </c>
      <c r="F1168" s="9" t="s">
        <v>141</v>
      </c>
      <c r="G1168" s="9" t="s">
        <v>142</v>
      </c>
      <c r="H1168" s="9" t="s">
        <v>166</v>
      </c>
      <c r="I1168" s="9" t="s">
        <v>143</v>
      </c>
      <c r="J1168" s="9" t="s">
        <v>139</v>
      </c>
      <c r="K1168" s="10">
        <v>37952.74895833333</v>
      </c>
    </row>
    <row r="1169" spans="1:11" x14ac:dyDescent="0.25">
      <c r="A1169" s="8">
        <v>2063</v>
      </c>
      <c r="B1169" s="9" t="s">
        <v>9131</v>
      </c>
      <c r="C1169" s="9" t="s">
        <v>139</v>
      </c>
      <c r="D1169" s="9" t="s">
        <v>139</v>
      </c>
      <c r="E1169" s="9">
        <v>75</v>
      </c>
      <c r="F1169" s="9" t="s">
        <v>413</v>
      </c>
      <c r="G1169" s="9" t="s">
        <v>142</v>
      </c>
      <c r="H1169" s="9" t="s">
        <v>166</v>
      </c>
      <c r="I1169" s="9" t="s">
        <v>143</v>
      </c>
      <c r="J1169" s="9" t="s">
        <v>139</v>
      </c>
      <c r="K1169" s="10">
        <v>37954.745625000003</v>
      </c>
    </row>
    <row r="1170" spans="1:11" x14ac:dyDescent="0.25">
      <c r="A1170" s="8">
        <v>2064</v>
      </c>
      <c r="B1170" s="9" t="s">
        <v>9132</v>
      </c>
      <c r="C1170" s="9" t="s">
        <v>139</v>
      </c>
      <c r="D1170" s="9" t="s">
        <v>139</v>
      </c>
      <c r="E1170" s="9">
        <v>75</v>
      </c>
      <c r="F1170" s="9" t="s">
        <v>413</v>
      </c>
      <c r="G1170" s="9" t="s">
        <v>142</v>
      </c>
      <c r="H1170" s="9" t="s">
        <v>166</v>
      </c>
      <c r="I1170" s="9" t="s">
        <v>143</v>
      </c>
      <c r="J1170" s="9" t="s">
        <v>139</v>
      </c>
      <c r="K1170" s="10">
        <v>37954.746249999997</v>
      </c>
    </row>
    <row r="1171" spans="1:11" x14ac:dyDescent="0.25">
      <c r="A1171" s="8">
        <v>2067</v>
      </c>
      <c r="B1171" s="9" t="s">
        <v>5683</v>
      </c>
      <c r="C1171" s="9" t="s">
        <v>2308</v>
      </c>
      <c r="D1171" s="9" t="s">
        <v>139</v>
      </c>
      <c r="E1171" s="9" t="s">
        <v>140</v>
      </c>
      <c r="F1171" s="9" t="s">
        <v>709</v>
      </c>
      <c r="G1171" s="9" t="s">
        <v>142</v>
      </c>
      <c r="H1171" s="9" t="s">
        <v>139</v>
      </c>
      <c r="I1171" s="9" t="s">
        <v>411</v>
      </c>
      <c r="J1171" s="9" t="s">
        <v>139</v>
      </c>
      <c r="K1171" s="10">
        <v>37960.542974537035</v>
      </c>
    </row>
    <row r="1172" spans="1:11" x14ac:dyDescent="0.25">
      <c r="A1172" s="8">
        <v>2068</v>
      </c>
      <c r="B1172" s="9" t="s">
        <v>5684</v>
      </c>
      <c r="C1172" s="9" t="s">
        <v>2309</v>
      </c>
      <c r="D1172" s="9" t="s">
        <v>139</v>
      </c>
      <c r="E1172" s="9" t="s">
        <v>145</v>
      </c>
      <c r="F1172" s="9" t="s">
        <v>413</v>
      </c>
      <c r="G1172" s="9" t="s">
        <v>142</v>
      </c>
      <c r="H1172" s="9" t="s">
        <v>139</v>
      </c>
      <c r="I1172" s="9" t="s">
        <v>411</v>
      </c>
      <c r="J1172" s="9" t="s">
        <v>139</v>
      </c>
      <c r="K1172" s="10">
        <v>37960.545312499999</v>
      </c>
    </row>
    <row r="1173" spans="1:11" x14ac:dyDescent="0.25">
      <c r="A1173" s="8">
        <v>2071</v>
      </c>
      <c r="B1173" s="9" t="s">
        <v>9133</v>
      </c>
      <c r="C1173" s="9" t="s">
        <v>2310</v>
      </c>
      <c r="D1173" s="9" t="s">
        <v>139</v>
      </c>
      <c r="E1173" s="9" t="s">
        <v>140</v>
      </c>
      <c r="F1173" s="9" t="s">
        <v>413</v>
      </c>
      <c r="G1173" s="9" t="s">
        <v>142</v>
      </c>
      <c r="H1173" s="9" t="s">
        <v>241</v>
      </c>
      <c r="I1173" s="9" t="s">
        <v>143</v>
      </c>
      <c r="J1173" s="9" t="s">
        <v>139</v>
      </c>
      <c r="K1173" s="10">
        <v>37960.549560185187</v>
      </c>
    </row>
    <row r="1174" spans="1:11" x14ac:dyDescent="0.25">
      <c r="A1174" s="8">
        <v>2073</v>
      </c>
      <c r="B1174" s="9" t="s">
        <v>5685</v>
      </c>
      <c r="C1174" s="9" t="s">
        <v>2311</v>
      </c>
      <c r="D1174" s="9" t="s">
        <v>139</v>
      </c>
      <c r="E1174" s="9" t="s">
        <v>140</v>
      </c>
      <c r="F1174" s="9" t="s">
        <v>413</v>
      </c>
      <c r="G1174" s="9" t="s">
        <v>142</v>
      </c>
      <c r="H1174" s="9" t="s">
        <v>139</v>
      </c>
      <c r="I1174" s="9" t="s">
        <v>411</v>
      </c>
      <c r="J1174" s="9" t="s">
        <v>139</v>
      </c>
      <c r="K1174" s="10">
        <v>37960.552488425928</v>
      </c>
    </row>
    <row r="1175" spans="1:11" x14ac:dyDescent="0.25">
      <c r="A1175" s="8">
        <v>2074</v>
      </c>
      <c r="B1175" s="9" t="s">
        <v>5686</v>
      </c>
      <c r="C1175" s="9" t="s">
        <v>2312</v>
      </c>
      <c r="D1175" s="9" t="s">
        <v>139</v>
      </c>
      <c r="E1175" s="9" t="s">
        <v>145</v>
      </c>
      <c r="F1175" s="9" t="s">
        <v>413</v>
      </c>
      <c r="G1175" s="9" t="s">
        <v>142</v>
      </c>
      <c r="H1175" s="9" t="s">
        <v>139</v>
      </c>
      <c r="I1175" s="9" t="s">
        <v>411</v>
      </c>
      <c r="J1175" s="9" t="s">
        <v>139</v>
      </c>
      <c r="K1175" s="10">
        <v>37960.554513888892</v>
      </c>
    </row>
    <row r="1176" spans="1:11" x14ac:dyDescent="0.25">
      <c r="A1176" s="8">
        <v>2076</v>
      </c>
      <c r="B1176" s="9" t="s">
        <v>9134</v>
      </c>
      <c r="C1176" s="9" t="s">
        <v>2313</v>
      </c>
      <c r="D1176" s="9" t="s">
        <v>139</v>
      </c>
      <c r="E1176" s="9" t="s">
        <v>229</v>
      </c>
      <c r="F1176" s="9" t="s">
        <v>413</v>
      </c>
      <c r="G1176" s="9" t="s">
        <v>142</v>
      </c>
      <c r="H1176" s="9" t="s">
        <v>139</v>
      </c>
      <c r="I1176" s="9" t="s">
        <v>143</v>
      </c>
      <c r="J1176" s="9" t="s">
        <v>139</v>
      </c>
      <c r="K1176" s="10">
        <v>37960.558067129627</v>
      </c>
    </row>
    <row r="1177" spans="1:11" x14ac:dyDescent="0.25">
      <c r="A1177" s="8">
        <v>2077</v>
      </c>
      <c r="B1177" s="9" t="s">
        <v>9135</v>
      </c>
      <c r="C1177" s="9" t="s">
        <v>2314</v>
      </c>
      <c r="D1177" s="9" t="s">
        <v>139</v>
      </c>
      <c r="E1177" s="9" t="s">
        <v>328</v>
      </c>
      <c r="F1177" s="9" t="s">
        <v>413</v>
      </c>
      <c r="G1177" s="9" t="s">
        <v>142</v>
      </c>
      <c r="H1177" s="9" t="s">
        <v>166</v>
      </c>
      <c r="I1177" s="9" t="s">
        <v>143</v>
      </c>
      <c r="J1177" s="9" t="s">
        <v>139</v>
      </c>
      <c r="K1177" s="10">
        <v>37960.560543981483</v>
      </c>
    </row>
    <row r="1178" spans="1:11" x14ac:dyDescent="0.25">
      <c r="A1178" s="8">
        <v>2078</v>
      </c>
      <c r="B1178" s="9" t="s">
        <v>9136</v>
      </c>
      <c r="C1178" s="9" t="s">
        <v>2315</v>
      </c>
      <c r="D1178" s="9" t="s">
        <v>139</v>
      </c>
      <c r="E1178" s="9" t="s">
        <v>308</v>
      </c>
      <c r="F1178" s="9" t="s">
        <v>413</v>
      </c>
      <c r="G1178" s="9" t="s">
        <v>142</v>
      </c>
      <c r="H1178" s="9" t="s">
        <v>241</v>
      </c>
      <c r="I1178" s="9" t="s">
        <v>143</v>
      </c>
      <c r="J1178" s="9" t="s">
        <v>139</v>
      </c>
      <c r="K1178" s="10">
        <v>37960.562118055554</v>
      </c>
    </row>
    <row r="1179" spans="1:11" x14ac:dyDescent="0.25">
      <c r="A1179" s="8">
        <v>2079</v>
      </c>
      <c r="B1179" s="9" t="s">
        <v>9137</v>
      </c>
      <c r="C1179" s="9" t="s">
        <v>2316</v>
      </c>
      <c r="D1179" s="9" t="s">
        <v>139</v>
      </c>
      <c r="E1179" s="9" t="s">
        <v>212</v>
      </c>
      <c r="F1179" s="9" t="s">
        <v>709</v>
      </c>
      <c r="G1179" s="9" t="s">
        <v>142</v>
      </c>
      <c r="H1179" s="9" t="s">
        <v>241</v>
      </c>
      <c r="I1179" s="9" t="s">
        <v>143</v>
      </c>
      <c r="J1179" s="9" t="s">
        <v>139</v>
      </c>
      <c r="K1179" s="10">
        <v>37964.542824074073</v>
      </c>
    </row>
    <row r="1180" spans="1:11" x14ac:dyDescent="0.25">
      <c r="A1180" s="8">
        <v>2080</v>
      </c>
      <c r="B1180" s="9" t="s">
        <v>9138</v>
      </c>
      <c r="C1180" s="9" t="s">
        <v>2317</v>
      </c>
      <c r="D1180" s="9" t="s">
        <v>139</v>
      </c>
      <c r="E1180" s="9" t="s">
        <v>928</v>
      </c>
      <c r="F1180" s="9" t="s">
        <v>2318</v>
      </c>
      <c r="G1180" s="9" t="s">
        <v>142</v>
      </c>
      <c r="H1180" s="9" t="s">
        <v>139</v>
      </c>
      <c r="I1180" s="9" t="s">
        <v>143</v>
      </c>
      <c r="J1180" s="9" t="s">
        <v>139</v>
      </c>
      <c r="K1180" s="10">
        <v>37964.546493055554</v>
      </c>
    </row>
    <row r="1181" spans="1:11" x14ac:dyDescent="0.25">
      <c r="A1181" s="8">
        <v>2082</v>
      </c>
      <c r="B1181" s="9" t="s">
        <v>5687</v>
      </c>
      <c r="C1181" s="9" t="s">
        <v>2319</v>
      </c>
      <c r="D1181" s="9" t="s">
        <v>2320</v>
      </c>
      <c r="E1181" s="9" t="s">
        <v>2321</v>
      </c>
      <c r="F1181" s="9" t="s">
        <v>2322</v>
      </c>
      <c r="G1181" s="9" t="s">
        <v>142</v>
      </c>
      <c r="H1181" s="9" t="s">
        <v>166</v>
      </c>
      <c r="I1181" s="9" t="s">
        <v>411</v>
      </c>
      <c r="J1181" s="9" t="s">
        <v>2323</v>
      </c>
      <c r="K1181" s="10">
        <v>37968.795520833337</v>
      </c>
    </row>
    <row r="1182" spans="1:11" x14ac:dyDescent="0.25">
      <c r="A1182" s="8">
        <v>2083</v>
      </c>
      <c r="B1182" s="9" t="s">
        <v>5688</v>
      </c>
      <c r="C1182" s="9" t="s">
        <v>2324</v>
      </c>
      <c r="D1182" s="9" t="s">
        <v>139</v>
      </c>
      <c r="E1182" s="9" t="s">
        <v>260</v>
      </c>
      <c r="F1182" s="9" t="s">
        <v>2325</v>
      </c>
      <c r="G1182" s="9" t="s">
        <v>142</v>
      </c>
      <c r="H1182" s="9" t="s">
        <v>241</v>
      </c>
      <c r="I1182" s="9" t="s">
        <v>411</v>
      </c>
      <c r="J1182" s="9" t="s">
        <v>139</v>
      </c>
      <c r="K1182" s="10">
        <v>37972.481585648151</v>
      </c>
    </row>
    <row r="1183" spans="1:11" x14ac:dyDescent="0.25">
      <c r="A1183" s="8">
        <v>2084</v>
      </c>
      <c r="B1183" s="9" t="s">
        <v>9139</v>
      </c>
      <c r="C1183" s="9" t="s">
        <v>2326</v>
      </c>
      <c r="D1183" s="9" t="s">
        <v>139</v>
      </c>
      <c r="E1183" s="9" t="s">
        <v>229</v>
      </c>
      <c r="F1183" s="9" t="s">
        <v>709</v>
      </c>
      <c r="G1183" s="9" t="s">
        <v>142</v>
      </c>
      <c r="H1183" s="9" t="s">
        <v>139</v>
      </c>
      <c r="I1183" s="9" t="s">
        <v>143</v>
      </c>
      <c r="J1183" s="9" t="s">
        <v>139</v>
      </c>
      <c r="K1183" s="10">
        <v>37975.519930555558</v>
      </c>
    </row>
    <row r="1184" spans="1:11" x14ac:dyDescent="0.25">
      <c r="A1184" s="8">
        <v>2085</v>
      </c>
      <c r="B1184" s="9" t="s">
        <v>9140</v>
      </c>
      <c r="C1184" s="9" t="s">
        <v>2327</v>
      </c>
      <c r="D1184" s="9" t="s">
        <v>139</v>
      </c>
      <c r="E1184" s="9" t="s">
        <v>2328</v>
      </c>
      <c r="F1184" s="9" t="s">
        <v>2329</v>
      </c>
      <c r="G1184" s="9" t="s">
        <v>142</v>
      </c>
      <c r="H1184" s="9" t="s">
        <v>139</v>
      </c>
      <c r="I1184" s="9" t="s">
        <v>143</v>
      </c>
      <c r="J1184" s="9" t="s">
        <v>139</v>
      </c>
      <c r="K1184" s="10">
        <v>37976.664652777778</v>
      </c>
    </row>
    <row r="1185" spans="1:11" x14ac:dyDescent="0.25">
      <c r="A1185" s="8">
        <v>2086</v>
      </c>
      <c r="B1185" s="9" t="s">
        <v>5689</v>
      </c>
      <c r="C1185" s="9" t="s">
        <v>2330</v>
      </c>
      <c r="D1185" s="9" t="s">
        <v>139</v>
      </c>
      <c r="E1185" s="9" t="s">
        <v>1246</v>
      </c>
      <c r="F1185" s="9" t="s">
        <v>1247</v>
      </c>
      <c r="G1185" s="9" t="s">
        <v>142</v>
      </c>
      <c r="H1185" s="9" t="s">
        <v>241</v>
      </c>
      <c r="I1185" s="9" t="s">
        <v>411</v>
      </c>
      <c r="J1185" s="9" t="s">
        <v>139</v>
      </c>
      <c r="K1185" s="10">
        <v>37978.613495370373</v>
      </c>
    </row>
    <row r="1186" spans="1:11" x14ac:dyDescent="0.25">
      <c r="A1186" s="8">
        <v>2087</v>
      </c>
      <c r="B1186" s="9" t="s">
        <v>9141</v>
      </c>
      <c r="C1186" s="9" t="s">
        <v>2331</v>
      </c>
      <c r="D1186" s="9" t="s">
        <v>139</v>
      </c>
      <c r="E1186" s="9" t="s">
        <v>306</v>
      </c>
      <c r="F1186" s="9" t="s">
        <v>413</v>
      </c>
      <c r="G1186" s="9" t="s">
        <v>142</v>
      </c>
      <c r="H1186" s="9" t="s">
        <v>139</v>
      </c>
      <c r="I1186" s="9" t="s">
        <v>143</v>
      </c>
      <c r="J1186" s="9" t="s">
        <v>139</v>
      </c>
      <c r="K1186" s="10">
        <v>37979.756331018521</v>
      </c>
    </row>
    <row r="1187" spans="1:11" x14ac:dyDescent="0.25">
      <c r="A1187" s="8">
        <v>2089</v>
      </c>
      <c r="B1187" s="9" t="s">
        <v>9142</v>
      </c>
      <c r="C1187" s="9" t="s">
        <v>2332</v>
      </c>
      <c r="D1187" s="9" t="s">
        <v>139</v>
      </c>
      <c r="E1187" s="9" t="s">
        <v>1342</v>
      </c>
      <c r="F1187" s="9" t="s">
        <v>1343</v>
      </c>
      <c r="G1187" s="9" t="s">
        <v>142</v>
      </c>
      <c r="H1187" s="9" t="s">
        <v>139</v>
      </c>
      <c r="I1187" s="9" t="s">
        <v>143</v>
      </c>
      <c r="J1187" s="9" t="s">
        <v>139</v>
      </c>
      <c r="K1187" s="10">
        <v>37981.598854166667</v>
      </c>
    </row>
    <row r="1188" spans="1:11" x14ac:dyDescent="0.25">
      <c r="A1188" s="8">
        <v>2091</v>
      </c>
      <c r="B1188" s="9" t="s">
        <v>5690</v>
      </c>
      <c r="C1188" s="9" t="s">
        <v>2333</v>
      </c>
      <c r="D1188" s="9" t="s">
        <v>139</v>
      </c>
      <c r="E1188" s="9" t="s">
        <v>306</v>
      </c>
      <c r="F1188" s="9" t="s">
        <v>141</v>
      </c>
      <c r="G1188" s="9" t="s">
        <v>142</v>
      </c>
      <c r="H1188" s="9" t="s">
        <v>139</v>
      </c>
      <c r="I1188" s="9" t="s">
        <v>411</v>
      </c>
      <c r="J1188" s="9" t="s">
        <v>139</v>
      </c>
      <c r="K1188" s="10">
        <v>37994.68445601852</v>
      </c>
    </row>
    <row r="1189" spans="1:11" x14ac:dyDescent="0.25">
      <c r="A1189" s="8">
        <v>2092</v>
      </c>
      <c r="B1189" s="9" t="s">
        <v>5691</v>
      </c>
      <c r="C1189" s="9" t="s">
        <v>2334</v>
      </c>
      <c r="D1189" s="9" t="s">
        <v>139</v>
      </c>
      <c r="E1189" s="9" t="s">
        <v>2335</v>
      </c>
      <c r="F1189" s="9" t="s">
        <v>2336</v>
      </c>
      <c r="G1189" s="9" t="s">
        <v>142</v>
      </c>
      <c r="H1189" s="9" t="s">
        <v>139</v>
      </c>
      <c r="I1189" s="9" t="s">
        <v>411</v>
      </c>
      <c r="J1189" s="9" t="s">
        <v>2337</v>
      </c>
      <c r="K1189" s="10">
        <v>37994.727118055554</v>
      </c>
    </row>
    <row r="1190" spans="1:11" x14ac:dyDescent="0.25">
      <c r="A1190" s="8">
        <v>2095</v>
      </c>
      <c r="B1190" s="9" t="s">
        <v>5692</v>
      </c>
      <c r="C1190" s="9" t="s">
        <v>2338</v>
      </c>
      <c r="D1190" s="9" t="s">
        <v>139</v>
      </c>
      <c r="E1190" s="9" t="s">
        <v>2339</v>
      </c>
      <c r="F1190" s="9" t="s">
        <v>2340</v>
      </c>
      <c r="G1190" s="9" t="s">
        <v>142</v>
      </c>
      <c r="H1190" s="9" t="s">
        <v>139</v>
      </c>
      <c r="I1190" s="9" t="s">
        <v>411</v>
      </c>
      <c r="J1190" s="9" t="s">
        <v>139</v>
      </c>
      <c r="K1190" s="10">
        <v>37994.732835648145</v>
      </c>
    </row>
    <row r="1191" spans="1:11" x14ac:dyDescent="0.25">
      <c r="A1191" s="8">
        <v>2098</v>
      </c>
      <c r="B1191" s="9" t="s">
        <v>5693</v>
      </c>
      <c r="C1191" s="9" t="s">
        <v>2341</v>
      </c>
      <c r="D1191" s="9" t="s">
        <v>139</v>
      </c>
      <c r="E1191" s="9" t="s">
        <v>1246</v>
      </c>
      <c r="F1191" s="9" t="s">
        <v>1247</v>
      </c>
      <c r="G1191" s="9" t="s">
        <v>142</v>
      </c>
      <c r="H1191" s="9" t="s">
        <v>166</v>
      </c>
      <c r="I1191" s="9" t="s">
        <v>411</v>
      </c>
      <c r="J1191" s="9" t="s">
        <v>139</v>
      </c>
      <c r="K1191" s="10">
        <v>37995.635844907411</v>
      </c>
    </row>
    <row r="1192" spans="1:11" x14ac:dyDescent="0.25">
      <c r="A1192" s="8">
        <v>2099</v>
      </c>
      <c r="B1192" s="9" t="s">
        <v>5694</v>
      </c>
      <c r="C1192" s="9" t="s">
        <v>2342</v>
      </c>
      <c r="D1192" s="9" t="s">
        <v>139</v>
      </c>
      <c r="E1192" s="9" t="s">
        <v>2343</v>
      </c>
      <c r="F1192" s="9" t="s">
        <v>2344</v>
      </c>
      <c r="G1192" s="9" t="s">
        <v>142</v>
      </c>
      <c r="H1192" s="9" t="s">
        <v>139</v>
      </c>
      <c r="I1192" s="9" t="s">
        <v>411</v>
      </c>
      <c r="J1192" s="9" t="s">
        <v>2345</v>
      </c>
      <c r="K1192" s="10">
        <v>38006.80736111111</v>
      </c>
    </row>
    <row r="1193" spans="1:11" x14ac:dyDescent="0.25">
      <c r="A1193" s="8">
        <v>2101</v>
      </c>
      <c r="B1193" s="9" t="s">
        <v>9143</v>
      </c>
      <c r="C1193" s="9" t="s">
        <v>2346</v>
      </c>
      <c r="D1193" s="9" t="s">
        <v>139</v>
      </c>
      <c r="E1193" s="9" t="s">
        <v>2347</v>
      </c>
      <c r="F1193" s="9" t="s">
        <v>2348</v>
      </c>
      <c r="G1193" s="9" t="s">
        <v>142</v>
      </c>
      <c r="H1193" s="9" t="s">
        <v>1078</v>
      </c>
      <c r="I1193" s="9" t="s">
        <v>143</v>
      </c>
      <c r="J1193" s="9" t="s">
        <v>139</v>
      </c>
      <c r="K1193" s="10">
        <v>38006.813009259262</v>
      </c>
    </row>
    <row r="1194" spans="1:11" x14ac:dyDescent="0.25">
      <c r="A1194" s="8">
        <v>2104</v>
      </c>
      <c r="B1194" s="9" t="s">
        <v>5695</v>
      </c>
      <c r="C1194" s="9" t="s">
        <v>2349</v>
      </c>
      <c r="D1194" s="9" t="s">
        <v>139</v>
      </c>
      <c r="E1194" s="9" t="s">
        <v>328</v>
      </c>
      <c r="F1194" s="9" t="s">
        <v>141</v>
      </c>
      <c r="G1194" s="9" t="s">
        <v>142</v>
      </c>
      <c r="H1194" s="9" t="s">
        <v>139</v>
      </c>
      <c r="I1194" s="9" t="s">
        <v>411</v>
      </c>
      <c r="J1194" s="9" t="s">
        <v>139</v>
      </c>
      <c r="K1194" s="10">
        <v>38012.581319444442</v>
      </c>
    </row>
    <row r="1195" spans="1:11" x14ac:dyDescent="0.25">
      <c r="A1195" s="8">
        <v>2106</v>
      </c>
      <c r="B1195" s="9" t="s">
        <v>5696</v>
      </c>
      <c r="C1195" s="9" t="s">
        <v>2350</v>
      </c>
      <c r="D1195" s="9" t="s">
        <v>139</v>
      </c>
      <c r="E1195" s="9" t="s">
        <v>2351</v>
      </c>
      <c r="F1195" s="9" t="s">
        <v>2352</v>
      </c>
      <c r="G1195" s="9" t="s">
        <v>142</v>
      </c>
      <c r="H1195" s="9" t="s">
        <v>139</v>
      </c>
      <c r="I1195" s="9" t="s">
        <v>411</v>
      </c>
      <c r="J1195" s="9" t="s">
        <v>139</v>
      </c>
      <c r="K1195" s="10">
        <v>38012.594270833331</v>
      </c>
    </row>
    <row r="1196" spans="1:11" x14ac:dyDescent="0.25">
      <c r="A1196" s="8">
        <v>2108</v>
      </c>
      <c r="B1196" s="9" t="s">
        <v>5697</v>
      </c>
      <c r="C1196" s="9" t="s">
        <v>2353</v>
      </c>
      <c r="D1196" s="9" t="s">
        <v>139</v>
      </c>
      <c r="E1196" s="9" t="s">
        <v>2354</v>
      </c>
      <c r="F1196" s="9" t="s">
        <v>2355</v>
      </c>
      <c r="G1196" s="9" t="s">
        <v>142</v>
      </c>
      <c r="H1196" s="9" t="s">
        <v>258</v>
      </c>
      <c r="I1196" s="9" t="s">
        <v>411</v>
      </c>
      <c r="J1196" s="9" t="s">
        <v>2356</v>
      </c>
      <c r="K1196" s="10">
        <v>38012.60297453704</v>
      </c>
    </row>
    <row r="1197" spans="1:11" x14ac:dyDescent="0.25">
      <c r="A1197" s="8">
        <v>2111</v>
      </c>
      <c r="B1197" s="9" t="s">
        <v>5698</v>
      </c>
      <c r="C1197" s="9" t="s">
        <v>2357</v>
      </c>
      <c r="D1197" s="9" t="s">
        <v>139</v>
      </c>
      <c r="E1197" s="9" t="s">
        <v>2358</v>
      </c>
      <c r="F1197" s="9" t="s">
        <v>2359</v>
      </c>
      <c r="G1197" s="9" t="s">
        <v>142</v>
      </c>
      <c r="H1197" s="9" t="s">
        <v>139</v>
      </c>
      <c r="I1197" s="9" t="s">
        <v>411</v>
      </c>
      <c r="J1197" s="9" t="s">
        <v>139</v>
      </c>
      <c r="K1197" s="10">
        <v>38012.615636574075</v>
      </c>
    </row>
    <row r="1198" spans="1:11" x14ac:dyDescent="0.25">
      <c r="A1198" s="8">
        <v>2112</v>
      </c>
      <c r="B1198" s="9" t="s">
        <v>5699</v>
      </c>
      <c r="C1198" s="9" t="s">
        <v>2360</v>
      </c>
      <c r="D1198" s="9" t="s">
        <v>2361</v>
      </c>
      <c r="E1198" s="9" t="s">
        <v>2362</v>
      </c>
      <c r="F1198" s="9" t="s">
        <v>2363</v>
      </c>
      <c r="G1198" s="9" t="s">
        <v>142</v>
      </c>
      <c r="H1198" s="9" t="s">
        <v>139</v>
      </c>
      <c r="I1198" s="9" t="s">
        <v>411</v>
      </c>
      <c r="J1198" s="9" t="s">
        <v>139</v>
      </c>
      <c r="K1198" s="10">
        <v>38014.383344907408</v>
      </c>
    </row>
    <row r="1199" spans="1:11" x14ac:dyDescent="0.25">
      <c r="A1199" s="8">
        <v>2113</v>
      </c>
      <c r="B1199" s="9" t="s">
        <v>5700</v>
      </c>
      <c r="C1199" s="9" t="s">
        <v>2364</v>
      </c>
      <c r="D1199" s="9" t="s">
        <v>139</v>
      </c>
      <c r="E1199" s="9" t="s">
        <v>154</v>
      </c>
      <c r="F1199" s="9" t="s">
        <v>2365</v>
      </c>
      <c r="G1199" s="9" t="s">
        <v>142</v>
      </c>
      <c r="H1199" s="9" t="s">
        <v>139</v>
      </c>
      <c r="I1199" s="9" t="s">
        <v>411</v>
      </c>
      <c r="J1199" s="9" t="s">
        <v>2366</v>
      </c>
      <c r="K1199" s="10">
        <v>38014.38652777778</v>
      </c>
    </row>
    <row r="1200" spans="1:11" x14ac:dyDescent="0.25">
      <c r="A1200" s="8">
        <v>2114</v>
      </c>
      <c r="B1200" s="9" t="s">
        <v>5701</v>
      </c>
      <c r="C1200" s="9" t="s">
        <v>2367</v>
      </c>
      <c r="D1200" s="9" t="s">
        <v>139</v>
      </c>
      <c r="E1200" s="9" t="s">
        <v>1414</v>
      </c>
      <c r="F1200" s="9" t="s">
        <v>2368</v>
      </c>
      <c r="G1200" s="9" t="s">
        <v>142</v>
      </c>
      <c r="H1200" s="9" t="s">
        <v>241</v>
      </c>
      <c r="I1200" s="9" t="s">
        <v>411</v>
      </c>
      <c r="J1200" s="9" t="s">
        <v>139</v>
      </c>
      <c r="K1200" s="10">
        <v>38014.388831018521</v>
      </c>
    </row>
    <row r="1201" spans="1:11" x14ac:dyDescent="0.25">
      <c r="A1201" s="8">
        <v>2116</v>
      </c>
      <c r="B1201" s="9" t="s">
        <v>5702</v>
      </c>
      <c r="C1201" s="9" t="s">
        <v>2369</v>
      </c>
      <c r="D1201" s="9" t="s">
        <v>139</v>
      </c>
      <c r="E1201" s="9" t="s">
        <v>892</v>
      </c>
      <c r="F1201" s="9" t="s">
        <v>2370</v>
      </c>
      <c r="G1201" s="9" t="s">
        <v>142</v>
      </c>
      <c r="H1201" s="9" t="s">
        <v>139</v>
      </c>
      <c r="I1201" s="9" t="s">
        <v>411</v>
      </c>
      <c r="J1201" s="9" t="s">
        <v>139</v>
      </c>
      <c r="K1201" s="10">
        <v>38014.392905092594</v>
      </c>
    </row>
    <row r="1202" spans="1:11" x14ac:dyDescent="0.25">
      <c r="A1202" s="8">
        <v>2117</v>
      </c>
      <c r="B1202" s="9" t="s">
        <v>5703</v>
      </c>
      <c r="C1202" s="9" t="s">
        <v>2371</v>
      </c>
      <c r="D1202" s="9"/>
      <c r="E1202" s="9" t="s">
        <v>2372</v>
      </c>
      <c r="F1202" s="9" t="s">
        <v>2373</v>
      </c>
      <c r="G1202" s="9" t="s">
        <v>142</v>
      </c>
      <c r="H1202" s="9" t="s">
        <v>139</v>
      </c>
      <c r="I1202" s="9" t="s">
        <v>411</v>
      </c>
      <c r="J1202" s="9" t="s">
        <v>139</v>
      </c>
      <c r="K1202" s="10">
        <v>38014.394583333335</v>
      </c>
    </row>
    <row r="1203" spans="1:11" x14ac:dyDescent="0.25">
      <c r="A1203" s="8">
        <v>2119</v>
      </c>
      <c r="B1203" s="9" t="s">
        <v>5704</v>
      </c>
      <c r="C1203" s="9" t="s">
        <v>2374</v>
      </c>
      <c r="D1203" s="9" t="s">
        <v>139</v>
      </c>
      <c r="E1203" s="9" t="s">
        <v>2375</v>
      </c>
      <c r="F1203" s="9" t="s">
        <v>2376</v>
      </c>
      <c r="G1203" s="9" t="s">
        <v>142</v>
      </c>
      <c r="H1203" s="9" t="s">
        <v>139</v>
      </c>
      <c r="I1203" s="9" t="s">
        <v>411</v>
      </c>
      <c r="J1203" s="9" t="s">
        <v>139</v>
      </c>
      <c r="K1203" s="10">
        <v>38014.397997685184</v>
      </c>
    </row>
    <row r="1204" spans="1:11" x14ac:dyDescent="0.25">
      <c r="A1204" s="8">
        <v>2121</v>
      </c>
      <c r="B1204" s="9" t="s">
        <v>5705</v>
      </c>
      <c r="C1204" s="9" t="s">
        <v>2377</v>
      </c>
      <c r="D1204" s="9" t="s">
        <v>139</v>
      </c>
      <c r="E1204" s="9" t="s">
        <v>1863</v>
      </c>
      <c r="F1204" s="9" t="s">
        <v>2378</v>
      </c>
      <c r="G1204" s="9" t="s">
        <v>142</v>
      </c>
      <c r="H1204" s="9" t="s">
        <v>139</v>
      </c>
      <c r="I1204" s="9" t="s">
        <v>411</v>
      </c>
      <c r="J1204" s="9" t="s">
        <v>139</v>
      </c>
      <c r="K1204" s="10">
        <v>38014.401273148149</v>
      </c>
    </row>
    <row r="1205" spans="1:11" x14ac:dyDescent="0.25">
      <c r="A1205" s="8">
        <v>2122</v>
      </c>
      <c r="B1205" s="9" t="s">
        <v>5706</v>
      </c>
      <c r="C1205" s="9" t="s">
        <v>2379</v>
      </c>
      <c r="D1205" s="9" t="s">
        <v>139</v>
      </c>
      <c r="E1205" s="9" t="s">
        <v>2380</v>
      </c>
      <c r="F1205" s="9" t="s">
        <v>2381</v>
      </c>
      <c r="G1205" s="9" t="s">
        <v>142</v>
      </c>
      <c r="H1205" s="9" t="s">
        <v>139</v>
      </c>
      <c r="I1205" s="9" t="s">
        <v>411</v>
      </c>
      <c r="J1205" s="9" t="s">
        <v>139</v>
      </c>
      <c r="K1205" s="10">
        <v>38014.402569444443</v>
      </c>
    </row>
    <row r="1206" spans="1:11" x14ac:dyDescent="0.25">
      <c r="A1206" s="8">
        <v>2123</v>
      </c>
      <c r="B1206" s="9" t="s">
        <v>5707</v>
      </c>
      <c r="C1206" s="9" t="s">
        <v>2382</v>
      </c>
      <c r="D1206" s="9" t="s">
        <v>139</v>
      </c>
      <c r="E1206" s="9" t="s">
        <v>2383</v>
      </c>
      <c r="F1206" s="9" t="s">
        <v>2384</v>
      </c>
      <c r="G1206" s="9" t="s">
        <v>142</v>
      </c>
      <c r="H1206" s="9" t="s">
        <v>139</v>
      </c>
      <c r="I1206" s="9" t="s">
        <v>411</v>
      </c>
      <c r="J1206" s="9" t="s">
        <v>139</v>
      </c>
      <c r="K1206" s="10">
        <v>38014.404143518521</v>
      </c>
    </row>
    <row r="1207" spans="1:11" x14ac:dyDescent="0.25">
      <c r="A1207" s="8">
        <v>2124</v>
      </c>
      <c r="B1207" s="9" t="s">
        <v>5708</v>
      </c>
      <c r="C1207" s="9" t="s">
        <v>2385</v>
      </c>
      <c r="D1207" s="9" t="s">
        <v>139</v>
      </c>
      <c r="E1207" s="9" t="s">
        <v>2386</v>
      </c>
      <c r="F1207" s="9" t="s">
        <v>2387</v>
      </c>
      <c r="G1207" s="9" t="s">
        <v>1915</v>
      </c>
      <c r="H1207" s="9" t="s">
        <v>139</v>
      </c>
      <c r="I1207" s="9" t="s">
        <v>411</v>
      </c>
      <c r="J1207" s="9" t="s">
        <v>139</v>
      </c>
      <c r="K1207" s="10">
        <v>38014.405162037037</v>
      </c>
    </row>
    <row r="1208" spans="1:11" x14ac:dyDescent="0.25">
      <c r="A1208" s="8">
        <v>2126</v>
      </c>
      <c r="B1208" s="9" t="s">
        <v>5709</v>
      </c>
      <c r="C1208" s="9" t="s">
        <v>2388</v>
      </c>
      <c r="D1208" s="9" t="s">
        <v>139</v>
      </c>
      <c r="E1208" s="9" t="s">
        <v>2389</v>
      </c>
      <c r="F1208" s="9" t="s">
        <v>2390</v>
      </c>
      <c r="G1208" s="9" t="s">
        <v>142</v>
      </c>
      <c r="H1208" s="9" t="s">
        <v>139</v>
      </c>
      <c r="I1208" s="9" t="s">
        <v>411</v>
      </c>
      <c r="J1208" s="9" t="s">
        <v>139</v>
      </c>
      <c r="K1208" s="10">
        <v>38014.410729166666</v>
      </c>
    </row>
    <row r="1209" spans="1:11" x14ac:dyDescent="0.25">
      <c r="A1209" s="8">
        <v>2128</v>
      </c>
      <c r="B1209" s="9" t="s">
        <v>5710</v>
      </c>
      <c r="C1209" s="9" t="s">
        <v>2391</v>
      </c>
      <c r="D1209" s="9" t="s">
        <v>2392</v>
      </c>
      <c r="E1209" s="9" t="s">
        <v>2393</v>
      </c>
      <c r="F1209" s="9" t="s">
        <v>2394</v>
      </c>
      <c r="G1209" s="9" t="s">
        <v>142</v>
      </c>
      <c r="H1209" s="9" t="s">
        <v>139</v>
      </c>
      <c r="I1209" s="9" t="s">
        <v>411</v>
      </c>
      <c r="J1209" s="9" t="s">
        <v>2395</v>
      </c>
      <c r="K1209" s="10">
        <v>38014.414155092592</v>
      </c>
    </row>
    <row r="1210" spans="1:11" x14ac:dyDescent="0.25">
      <c r="A1210" s="8">
        <v>2129</v>
      </c>
      <c r="B1210" s="9" t="s">
        <v>5711</v>
      </c>
      <c r="C1210" s="9" t="s">
        <v>2396</v>
      </c>
      <c r="D1210" s="9" t="s">
        <v>139</v>
      </c>
      <c r="E1210" s="9" t="s">
        <v>2397</v>
      </c>
      <c r="F1210" s="9" t="s">
        <v>2398</v>
      </c>
      <c r="G1210" s="9" t="s">
        <v>142</v>
      </c>
      <c r="H1210" s="9" t="s">
        <v>139</v>
      </c>
      <c r="I1210" s="9" t="s">
        <v>411</v>
      </c>
      <c r="J1210" s="9" t="s">
        <v>139</v>
      </c>
      <c r="K1210" s="10">
        <v>38014.41982638889</v>
      </c>
    </row>
    <row r="1211" spans="1:11" x14ac:dyDescent="0.25">
      <c r="A1211" s="8">
        <v>2130</v>
      </c>
      <c r="B1211" s="9" t="s">
        <v>5712</v>
      </c>
      <c r="C1211" s="9" t="s">
        <v>2399</v>
      </c>
      <c r="D1211" s="9" t="s">
        <v>139</v>
      </c>
      <c r="E1211" s="9" t="s">
        <v>2400</v>
      </c>
      <c r="F1211" s="9" t="s">
        <v>2401</v>
      </c>
      <c r="G1211" s="9" t="s">
        <v>142</v>
      </c>
      <c r="H1211" s="9" t="s">
        <v>139</v>
      </c>
      <c r="I1211" s="9" t="s">
        <v>411</v>
      </c>
      <c r="J1211" s="9" t="s">
        <v>139</v>
      </c>
      <c r="K1211" s="10">
        <v>38014.422256944446</v>
      </c>
    </row>
    <row r="1212" spans="1:11" x14ac:dyDescent="0.25">
      <c r="A1212" s="8">
        <v>2133</v>
      </c>
      <c r="B1212" s="9" t="s">
        <v>5713</v>
      </c>
      <c r="C1212" s="9" t="s">
        <v>2402</v>
      </c>
      <c r="D1212" s="9" t="s">
        <v>139</v>
      </c>
      <c r="E1212" s="9" t="s">
        <v>2403</v>
      </c>
      <c r="F1212" s="9" t="s">
        <v>2404</v>
      </c>
      <c r="G1212" s="9" t="s">
        <v>142</v>
      </c>
      <c r="H1212" s="9" t="s">
        <v>241</v>
      </c>
      <c r="I1212" s="9" t="s">
        <v>411</v>
      </c>
      <c r="J1212" s="9" t="s">
        <v>139</v>
      </c>
      <c r="K1212" s="10">
        <v>38014.426053240742</v>
      </c>
    </row>
    <row r="1213" spans="1:11" x14ac:dyDescent="0.25">
      <c r="A1213" s="8">
        <v>2136</v>
      </c>
      <c r="B1213" s="9" t="s">
        <v>5714</v>
      </c>
      <c r="C1213" s="9" t="s">
        <v>2405</v>
      </c>
      <c r="D1213" s="9" t="s">
        <v>139</v>
      </c>
      <c r="E1213" s="9" t="s">
        <v>1130</v>
      </c>
      <c r="F1213" s="9" t="s">
        <v>2406</v>
      </c>
      <c r="G1213" s="9" t="s">
        <v>142</v>
      </c>
      <c r="H1213" s="9" t="s">
        <v>139</v>
      </c>
      <c r="I1213" s="9" t="s">
        <v>411</v>
      </c>
      <c r="J1213" s="9" t="s">
        <v>139</v>
      </c>
      <c r="K1213" s="10">
        <v>38014.4297337963</v>
      </c>
    </row>
    <row r="1214" spans="1:11" x14ac:dyDescent="0.25">
      <c r="A1214" s="8">
        <v>2137</v>
      </c>
      <c r="B1214" s="9" t="s">
        <v>5715</v>
      </c>
      <c r="C1214" s="9" t="s">
        <v>2407</v>
      </c>
      <c r="D1214" s="9" t="s">
        <v>139</v>
      </c>
      <c r="E1214" s="9" t="s">
        <v>2408</v>
      </c>
      <c r="F1214" s="9" t="s">
        <v>2409</v>
      </c>
      <c r="G1214" s="9" t="s">
        <v>142</v>
      </c>
      <c r="H1214" s="9" t="s">
        <v>139</v>
      </c>
      <c r="I1214" s="9" t="s">
        <v>411</v>
      </c>
      <c r="J1214" s="9" t="s">
        <v>139</v>
      </c>
      <c r="K1214" s="10">
        <v>38014.431354166663</v>
      </c>
    </row>
    <row r="1215" spans="1:11" x14ac:dyDescent="0.25">
      <c r="A1215" s="8">
        <v>2138</v>
      </c>
      <c r="B1215" s="9" t="s">
        <v>5716</v>
      </c>
      <c r="C1215" s="9" t="s">
        <v>2410</v>
      </c>
      <c r="D1215" s="9" t="s">
        <v>139</v>
      </c>
      <c r="E1215" s="9" t="s">
        <v>2411</v>
      </c>
      <c r="F1215" s="9" t="s">
        <v>2412</v>
      </c>
      <c r="G1215" s="9" t="s">
        <v>602</v>
      </c>
      <c r="H1215" s="9" t="s">
        <v>166</v>
      </c>
      <c r="I1215" s="9" t="s">
        <v>411</v>
      </c>
      <c r="J1215" s="9" t="s">
        <v>139</v>
      </c>
      <c r="K1215" s="10">
        <v>38014.436712962961</v>
      </c>
    </row>
    <row r="1216" spans="1:11" x14ac:dyDescent="0.25">
      <c r="A1216" s="8">
        <v>2139</v>
      </c>
      <c r="B1216" s="9" t="s">
        <v>5717</v>
      </c>
      <c r="C1216" s="9" t="s">
        <v>2413</v>
      </c>
      <c r="D1216" s="9" t="s">
        <v>2414</v>
      </c>
      <c r="E1216" s="9" t="s">
        <v>139</v>
      </c>
      <c r="F1216" s="9" t="s">
        <v>2415</v>
      </c>
      <c r="G1216" s="9" t="s">
        <v>2416</v>
      </c>
      <c r="H1216" s="9" t="s">
        <v>139</v>
      </c>
      <c r="I1216" s="9" t="s">
        <v>411</v>
      </c>
      <c r="J1216" s="9" t="s">
        <v>139</v>
      </c>
      <c r="K1216" s="10">
        <v>38014.440428240741</v>
      </c>
    </row>
    <row r="1217" spans="1:11" x14ac:dyDescent="0.25">
      <c r="A1217" s="8">
        <v>2140</v>
      </c>
      <c r="B1217" s="9" t="s">
        <v>5718</v>
      </c>
      <c r="C1217" s="9" t="s">
        <v>2417</v>
      </c>
      <c r="D1217" s="9" t="s">
        <v>139</v>
      </c>
      <c r="E1217" s="9" t="s">
        <v>2418</v>
      </c>
      <c r="F1217" s="9" t="s">
        <v>2419</v>
      </c>
      <c r="G1217" s="9" t="s">
        <v>142</v>
      </c>
      <c r="H1217" s="9" t="s">
        <v>139</v>
      </c>
      <c r="I1217" s="9" t="s">
        <v>411</v>
      </c>
      <c r="J1217" s="9" t="s">
        <v>139</v>
      </c>
      <c r="K1217" s="10">
        <v>38014.450185185182</v>
      </c>
    </row>
    <row r="1218" spans="1:11" x14ac:dyDescent="0.25">
      <c r="A1218" s="8">
        <v>2141</v>
      </c>
      <c r="B1218" s="9" t="s">
        <v>5719</v>
      </c>
      <c r="C1218" s="9" t="s">
        <v>2420</v>
      </c>
      <c r="D1218" s="9" t="s">
        <v>139</v>
      </c>
      <c r="E1218" s="9" t="s">
        <v>470</v>
      </c>
      <c r="F1218" s="9" t="s">
        <v>2421</v>
      </c>
      <c r="G1218" s="9" t="s">
        <v>142</v>
      </c>
      <c r="H1218" s="9" t="s">
        <v>139</v>
      </c>
      <c r="I1218" s="9" t="s">
        <v>411</v>
      </c>
      <c r="J1218" s="9" t="s">
        <v>139</v>
      </c>
      <c r="K1218" s="10">
        <v>38014.454085648147</v>
      </c>
    </row>
    <row r="1219" spans="1:11" x14ac:dyDescent="0.25">
      <c r="A1219" s="8">
        <v>2142</v>
      </c>
      <c r="B1219" s="9" t="s">
        <v>5720</v>
      </c>
      <c r="C1219" s="9" t="s">
        <v>2422</v>
      </c>
      <c r="D1219" s="9" t="s">
        <v>139</v>
      </c>
      <c r="E1219" s="9" t="s">
        <v>2423</v>
      </c>
      <c r="F1219" s="9" t="s">
        <v>2424</v>
      </c>
      <c r="G1219" s="9" t="s">
        <v>142</v>
      </c>
      <c r="H1219" s="9" t="s">
        <v>139</v>
      </c>
      <c r="I1219" s="9" t="s">
        <v>411</v>
      </c>
      <c r="J1219" s="9" t="s">
        <v>139</v>
      </c>
      <c r="K1219" s="10">
        <v>38014.457048611112</v>
      </c>
    </row>
    <row r="1220" spans="1:11" x14ac:dyDescent="0.25">
      <c r="A1220" s="8">
        <v>2143</v>
      </c>
      <c r="B1220" s="9" t="s">
        <v>5721</v>
      </c>
      <c r="C1220" s="9" t="s">
        <v>2425</v>
      </c>
      <c r="D1220" s="9" t="s">
        <v>139</v>
      </c>
      <c r="E1220" s="9" t="s">
        <v>2426</v>
      </c>
      <c r="F1220" s="9" t="s">
        <v>2427</v>
      </c>
      <c r="G1220" s="9" t="s">
        <v>142</v>
      </c>
      <c r="H1220" s="9" t="s">
        <v>139</v>
      </c>
      <c r="I1220" s="9" t="s">
        <v>411</v>
      </c>
      <c r="J1220" s="9" t="s">
        <v>139</v>
      </c>
      <c r="K1220" s="10">
        <v>38014.459178240744</v>
      </c>
    </row>
    <row r="1221" spans="1:11" x14ac:dyDescent="0.25">
      <c r="A1221" s="8">
        <v>2144</v>
      </c>
      <c r="B1221" s="9" t="s">
        <v>8421</v>
      </c>
      <c r="C1221" s="9" t="s">
        <v>2428</v>
      </c>
      <c r="D1221" s="9" t="s">
        <v>139</v>
      </c>
      <c r="E1221" s="9" t="s">
        <v>191</v>
      </c>
      <c r="F1221" s="9" t="s">
        <v>413</v>
      </c>
      <c r="G1221" s="9" t="s">
        <v>142</v>
      </c>
      <c r="H1221" s="9" t="s">
        <v>139</v>
      </c>
      <c r="I1221" s="9" t="s">
        <v>617</v>
      </c>
      <c r="J1221" s="9" t="s">
        <v>139</v>
      </c>
      <c r="K1221" s="10">
        <v>38014.460960648146</v>
      </c>
    </row>
    <row r="1222" spans="1:11" x14ac:dyDescent="0.25">
      <c r="A1222" s="8">
        <v>2145</v>
      </c>
      <c r="B1222" s="9" t="s">
        <v>5722</v>
      </c>
      <c r="C1222" s="9" t="s">
        <v>2429</v>
      </c>
      <c r="D1222" s="9" t="s">
        <v>139</v>
      </c>
      <c r="E1222" s="9" t="s">
        <v>2430</v>
      </c>
      <c r="F1222" s="9" t="s">
        <v>2431</v>
      </c>
      <c r="G1222" s="9" t="s">
        <v>142</v>
      </c>
      <c r="H1222" s="9" t="s">
        <v>139</v>
      </c>
      <c r="I1222" s="9" t="s">
        <v>411</v>
      </c>
      <c r="J1222" s="9" t="s">
        <v>139</v>
      </c>
      <c r="K1222" s="10">
        <v>38014.472696759258</v>
      </c>
    </row>
    <row r="1223" spans="1:11" x14ac:dyDescent="0.25">
      <c r="A1223" s="8">
        <v>2149</v>
      </c>
      <c r="B1223" s="9" t="s">
        <v>5723</v>
      </c>
      <c r="C1223" s="9" t="s">
        <v>2432</v>
      </c>
      <c r="D1223" s="9" t="s">
        <v>139</v>
      </c>
      <c r="E1223" s="9" t="s">
        <v>2433</v>
      </c>
      <c r="F1223" s="9" t="s">
        <v>2434</v>
      </c>
      <c r="G1223" s="9" t="s">
        <v>8386</v>
      </c>
      <c r="H1223" s="9" t="s">
        <v>139</v>
      </c>
      <c r="I1223" s="9" t="s">
        <v>411</v>
      </c>
      <c r="J1223" s="9" t="s">
        <v>139</v>
      </c>
      <c r="K1223" s="10">
        <v>38017.612175925926</v>
      </c>
    </row>
    <row r="1224" spans="1:11" x14ac:dyDescent="0.25">
      <c r="A1224" s="8">
        <v>2150</v>
      </c>
      <c r="B1224" s="9" t="s">
        <v>5724</v>
      </c>
      <c r="C1224" s="9" t="s">
        <v>2435</v>
      </c>
      <c r="D1224" s="9" t="s">
        <v>139</v>
      </c>
      <c r="E1224" s="9" t="s">
        <v>340</v>
      </c>
      <c r="F1224" s="9" t="s">
        <v>2436</v>
      </c>
      <c r="G1224" s="9" t="s">
        <v>142</v>
      </c>
      <c r="H1224" s="9" t="s">
        <v>166</v>
      </c>
      <c r="I1224" s="9" t="s">
        <v>411</v>
      </c>
      <c r="J1224" s="9" t="s">
        <v>139</v>
      </c>
      <c r="K1224" s="10">
        <v>38017.61787037037</v>
      </c>
    </row>
    <row r="1225" spans="1:11" x14ac:dyDescent="0.25">
      <c r="A1225" s="8">
        <v>2152</v>
      </c>
      <c r="B1225" s="9" t="s">
        <v>5725</v>
      </c>
      <c r="C1225" s="9" t="s">
        <v>2437</v>
      </c>
      <c r="D1225" s="9" t="s">
        <v>139</v>
      </c>
      <c r="E1225" s="9" t="s">
        <v>2438</v>
      </c>
      <c r="F1225" s="9" t="s">
        <v>2439</v>
      </c>
      <c r="G1225" s="9" t="s">
        <v>142</v>
      </c>
      <c r="H1225" s="9" t="s">
        <v>166</v>
      </c>
      <c r="I1225" s="9" t="s">
        <v>411</v>
      </c>
      <c r="J1225" s="9" t="s">
        <v>139</v>
      </c>
      <c r="K1225" s="10">
        <v>38017.621620370373</v>
      </c>
    </row>
    <row r="1226" spans="1:11" x14ac:dyDescent="0.25">
      <c r="A1226" s="8">
        <v>2154</v>
      </c>
      <c r="B1226" s="9" t="s">
        <v>5726</v>
      </c>
      <c r="C1226" s="9" t="s">
        <v>2440</v>
      </c>
      <c r="D1226" s="9" t="s">
        <v>139</v>
      </c>
      <c r="E1226" s="9" t="s">
        <v>2441</v>
      </c>
      <c r="F1226" s="9" t="s">
        <v>2442</v>
      </c>
      <c r="G1226" s="9" t="s">
        <v>142</v>
      </c>
      <c r="H1226" s="9" t="s">
        <v>241</v>
      </c>
      <c r="I1226" s="9" t="s">
        <v>411</v>
      </c>
      <c r="J1226" s="9" t="s">
        <v>139</v>
      </c>
      <c r="K1226" s="10">
        <v>38017.638391203705</v>
      </c>
    </row>
    <row r="1227" spans="1:11" x14ac:dyDescent="0.25">
      <c r="A1227" s="8">
        <v>2156</v>
      </c>
      <c r="B1227" s="9" t="s">
        <v>5727</v>
      </c>
      <c r="C1227" s="9" t="s">
        <v>2443</v>
      </c>
      <c r="D1227" s="9" t="s">
        <v>139</v>
      </c>
      <c r="E1227" s="9">
        <v>75017</v>
      </c>
      <c r="F1227" s="9" t="s">
        <v>413</v>
      </c>
      <c r="G1227" s="9" t="s">
        <v>142</v>
      </c>
      <c r="H1227" s="9" t="s">
        <v>166</v>
      </c>
      <c r="I1227" s="9" t="s">
        <v>411</v>
      </c>
      <c r="J1227" s="9" t="s">
        <v>2444</v>
      </c>
      <c r="K1227" s="10">
        <v>38017.642800925925</v>
      </c>
    </row>
    <row r="1228" spans="1:11" x14ac:dyDescent="0.25">
      <c r="A1228" s="8">
        <v>2158</v>
      </c>
      <c r="B1228" s="9" t="s">
        <v>5728</v>
      </c>
      <c r="C1228" s="9" t="s">
        <v>139</v>
      </c>
      <c r="D1228" s="9" t="s">
        <v>139</v>
      </c>
      <c r="E1228" s="9" t="s">
        <v>2445</v>
      </c>
      <c r="F1228" s="9" t="s">
        <v>2446</v>
      </c>
      <c r="G1228" s="9" t="s">
        <v>142</v>
      </c>
      <c r="H1228" s="9" t="s">
        <v>166</v>
      </c>
      <c r="I1228" s="9" t="s">
        <v>411</v>
      </c>
      <c r="J1228" s="9" t="s">
        <v>139</v>
      </c>
      <c r="K1228" s="10">
        <v>38017.656469907408</v>
      </c>
    </row>
    <row r="1229" spans="1:11" x14ac:dyDescent="0.25">
      <c r="A1229" s="8">
        <v>2161</v>
      </c>
      <c r="B1229" s="9" t="s">
        <v>5729</v>
      </c>
      <c r="C1229" s="9" t="s">
        <v>2447</v>
      </c>
      <c r="D1229" s="9" t="s">
        <v>139</v>
      </c>
      <c r="E1229" s="9" t="s">
        <v>2448</v>
      </c>
      <c r="F1229" s="9" t="s">
        <v>2449</v>
      </c>
      <c r="G1229" s="9" t="s">
        <v>142</v>
      </c>
      <c r="H1229" s="9" t="s">
        <v>139</v>
      </c>
      <c r="I1229" s="9" t="s">
        <v>411</v>
      </c>
      <c r="J1229" s="9" t="s">
        <v>139</v>
      </c>
      <c r="K1229" s="10">
        <v>38020.497974537036</v>
      </c>
    </row>
    <row r="1230" spans="1:11" x14ac:dyDescent="0.25">
      <c r="A1230" s="8">
        <v>2162</v>
      </c>
      <c r="B1230" s="9" t="s">
        <v>9144</v>
      </c>
      <c r="C1230" s="9" t="s">
        <v>139</v>
      </c>
      <c r="D1230" s="9" t="s">
        <v>139</v>
      </c>
      <c r="E1230" s="9">
        <v>75</v>
      </c>
      <c r="F1230" s="9" t="s">
        <v>413</v>
      </c>
      <c r="G1230" s="9" t="s">
        <v>142</v>
      </c>
      <c r="H1230" s="9" t="s">
        <v>241</v>
      </c>
      <c r="I1230" s="9" t="s">
        <v>143</v>
      </c>
      <c r="J1230" s="9" t="s">
        <v>139</v>
      </c>
      <c r="K1230" s="10">
        <v>38020.647361111114</v>
      </c>
    </row>
    <row r="1231" spans="1:11" x14ac:dyDescent="0.25">
      <c r="A1231" s="8">
        <v>2163</v>
      </c>
      <c r="B1231" s="9" t="s">
        <v>8422</v>
      </c>
      <c r="C1231" s="9" t="s">
        <v>2450</v>
      </c>
      <c r="D1231" s="9" t="s">
        <v>139</v>
      </c>
      <c r="E1231" s="9" t="s">
        <v>229</v>
      </c>
      <c r="F1231" s="9" t="s">
        <v>141</v>
      </c>
      <c r="G1231" s="9" t="s">
        <v>142</v>
      </c>
      <c r="H1231" s="9" t="s">
        <v>139</v>
      </c>
      <c r="I1231" s="9" t="s">
        <v>617</v>
      </c>
      <c r="J1231" s="9" t="s">
        <v>139</v>
      </c>
      <c r="K1231" s="10">
        <v>38022.489305555559</v>
      </c>
    </row>
    <row r="1232" spans="1:11" x14ac:dyDescent="0.25">
      <c r="A1232" s="8">
        <v>2164</v>
      </c>
      <c r="B1232" s="9" t="s">
        <v>5730</v>
      </c>
      <c r="C1232" s="9" t="s">
        <v>2451</v>
      </c>
      <c r="D1232" s="9" t="s">
        <v>139</v>
      </c>
      <c r="E1232" s="9" t="s">
        <v>2452</v>
      </c>
      <c r="F1232" s="9" t="s">
        <v>2453</v>
      </c>
      <c r="G1232" s="9" t="s">
        <v>142</v>
      </c>
      <c r="H1232" s="9" t="s">
        <v>139</v>
      </c>
      <c r="I1232" s="9" t="s">
        <v>411</v>
      </c>
      <c r="J1232" s="9" t="s">
        <v>139</v>
      </c>
      <c r="K1232" s="10">
        <v>38022.678946759261</v>
      </c>
    </row>
    <row r="1233" spans="1:11" x14ac:dyDescent="0.25">
      <c r="A1233" s="8">
        <v>2165</v>
      </c>
      <c r="B1233" s="9" t="s">
        <v>5731</v>
      </c>
      <c r="C1233" s="9" t="s">
        <v>2454</v>
      </c>
      <c r="D1233" s="9" t="s">
        <v>2455</v>
      </c>
      <c r="E1233" s="9" t="s">
        <v>2456</v>
      </c>
      <c r="F1233" s="9" t="s">
        <v>2457</v>
      </c>
      <c r="G1233" s="9" t="s">
        <v>142</v>
      </c>
      <c r="H1233" s="9" t="s">
        <v>166</v>
      </c>
      <c r="I1233" s="9" t="s">
        <v>411</v>
      </c>
      <c r="J1233" s="9" t="s">
        <v>139</v>
      </c>
      <c r="K1233" s="10">
        <v>38034.481192129628</v>
      </c>
    </row>
    <row r="1234" spans="1:11" x14ac:dyDescent="0.25">
      <c r="A1234" s="8">
        <v>2169</v>
      </c>
      <c r="B1234" s="9" t="s">
        <v>9145</v>
      </c>
      <c r="C1234" s="9" t="s">
        <v>139</v>
      </c>
      <c r="D1234" s="9" t="s">
        <v>139</v>
      </c>
      <c r="E1234" s="9">
        <v>75</v>
      </c>
      <c r="F1234" s="9" t="s">
        <v>413</v>
      </c>
      <c r="G1234" s="9" t="s">
        <v>142</v>
      </c>
      <c r="H1234" s="9" t="s">
        <v>139</v>
      </c>
      <c r="I1234" s="9" t="s">
        <v>143</v>
      </c>
      <c r="J1234" s="9" t="s">
        <v>139</v>
      </c>
      <c r="K1234" s="10">
        <v>38038.646655092591</v>
      </c>
    </row>
    <row r="1235" spans="1:11" x14ac:dyDescent="0.25">
      <c r="A1235" s="8">
        <v>2170</v>
      </c>
      <c r="B1235" s="9" t="s">
        <v>5732</v>
      </c>
      <c r="C1235" s="9" t="s">
        <v>2458</v>
      </c>
      <c r="D1235" s="9" t="s">
        <v>139</v>
      </c>
      <c r="E1235" s="9" t="s">
        <v>982</v>
      </c>
      <c r="F1235" s="9" t="s">
        <v>983</v>
      </c>
      <c r="G1235" s="9" t="s">
        <v>142</v>
      </c>
      <c r="H1235" s="9" t="s">
        <v>139</v>
      </c>
      <c r="I1235" s="9" t="s">
        <v>411</v>
      </c>
      <c r="J1235" s="9" t="s">
        <v>2459</v>
      </c>
      <c r="K1235" s="10">
        <v>38041.586111111108</v>
      </c>
    </row>
    <row r="1236" spans="1:11" x14ac:dyDescent="0.25">
      <c r="A1236" s="8">
        <v>2171</v>
      </c>
      <c r="B1236" s="9" t="s">
        <v>5733</v>
      </c>
      <c r="C1236" s="9" t="s">
        <v>2460</v>
      </c>
      <c r="D1236" s="9" t="s">
        <v>139</v>
      </c>
      <c r="E1236" s="9" t="s">
        <v>1323</v>
      </c>
      <c r="F1236" s="9" t="s">
        <v>2461</v>
      </c>
      <c r="G1236" s="9" t="s">
        <v>142</v>
      </c>
      <c r="H1236" s="9" t="s">
        <v>139</v>
      </c>
      <c r="I1236" s="9" t="s">
        <v>411</v>
      </c>
      <c r="J1236" s="9" t="s">
        <v>139</v>
      </c>
      <c r="K1236" s="10">
        <v>38041.627013888887</v>
      </c>
    </row>
    <row r="1237" spans="1:11" x14ac:dyDescent="0.25">
      <c r="A1237" s="8">
        <v>2172</v>
      </c>
      <c r="B1237" s="9" t="s">
        <v>9146</v>
      </c>
      <c r="C1237" s="9" t="s">
        <v>2462</v>
      </c>
      <c r="D1237" s="9" t="s">
        <v>139</v>
      </c>
      <c r="E1237" s="9" t="s">
        <v>2463</v>
      </c>
      <c r="F1237" s="9" t="s">
        <v>2464</v>
      </c>
      <c r="G1237" s="9" t="s">
        <v>142</v>
      </c>
      <c r="H1237" s="9" t="s">
        <v>139</v>
      </c>
      <c r="I1237" s="9" t="s">
        <v>143</v>
      </c>
      <c r="J1237" s="9" t="s">
        <v>139</v>
      </c>
      <c r="K1237" s="10">
        <v>38042.703159722223</v>
      </c>
    </row>
    <row r="1238" spans="1:11" x14ac:dyDescent="0.25">
      <c r="A1238" s="8">
        <v>2173</v>
      </c>
      <c r="B1238" s="9" t="s">
        <v>9147</v>
      </c>
      <c r="C1238" s="9" t="s">
        <v>2465</v>
      </c>
      <c r="D1238" s="9" t="s">
        <v>139</v>
      </c>
      <c r="E1238" s="9" t="s">
        <v>202</v>
      </c>
      <c r="F1238" s="9" t="s">
        <v>141</v>
      </c>
      <c r="G1238" s="9" t="s">
        <v>142</v>
      </c>
      <c r="H1238" s="9" t="s">
        <v>139</v>
      </c>
      <c r="I1238" s="9" t="s">
        <v>143</v>
      </c>
      <c r="J1238" s="9" t="s">
        <v>139</v>
      </c>
      <c r="K1238" s="10">
        <v>38055.537129629629</v>
      </c>
    </row>
    <row r="1239" spans="1:11" x14ac:dyDescent="0.25">
      <c r="A1239" s="8">
        <v>2174</v>
      </c>
      <c r="B1239" s="9" t="s">
        <v>5734</v>
      </c>
      <c r="C1239" s="9" t="s">
        <v>2466</v>
      </c>
      <c r="D1239" s="9" t="s">
        <v>2467</v>
      </c>
      <c r="E1239" s="9" t="s">
        <v>2468</v>
      </c>
      <c r="F1239" s="9" t="s">
        <v>2469</v>
      </c>
      <c r="G1239" s="9" t="s">
        <v>142</v>
      </c>
      <c r="H1239" s="9" t="s">
        <v>166</v>
      </c>
      <c r="I1239" s="9" t="s">
        <v>411</v>
      </c>
      <c r="J1239" s="9" t="s">
        <v>139</v>
      </c>
      <c r="K1239" s="10">
        <v>38057.54</v>
      </c>
    </row>
    <row r="1240" spans="1:11" x14ac:dyDescent="0.25">
      <c r="A1240" s="8">
        <v>2175</v>
      </c>
      <c r="B1240" s="9" t="s">
        <v>5735</v>
      </c>
      <c r="C1240" s="9" t="s">
        <v>2470</v>
      </c>
      <c r="D1240" s="9" t="s">
        <v>139</v>
      </c>
      <c r="E1240" s="9" t="s">
        <v>2471</v>
      </c>
      <c r="F1240" s="9" t="s">
        <v>2472</v>
      </c>
      <c r="G1240" s="9" t="s">
        <v>142</v>
      </c>
      <c r="H1240" s="9" t="s">
        <v>139</v>
      </c>
      <c r="I1240" s="9" t="s">
        <v>411</v>
      </c>
      <c r="J1240" s="9" t="s">
        <v>139</v>
      </c>
      <c r="K1240" s="10">
        <v>38058.627997685187</v>
      </c>
    </row>
    <row r="1241" spans="1:11" x14ac:dyDescent="0.25">
      <c r="A1241" s="8">
        <v>2176</v>
      </c>
      <c r="B1241" s="9" t="s">
        <v>5736</v>
      </c>
      <c r="C1241" s="9" t="s">
        <v>2473</v>
      </c>
      <c r="D1241" s="9" t="s">
        <v>139</v>
      </c>
      <c r="E1241" s="9" t="s">
        <v>2474</v>
      </c>
      <c r="F1241" s="9" t="s">
        <v>2475</v>
      </c>
      <c r="G1241" s="9" t="s">
        <v>142</v>
      </c>
      <c r="H1241" s="9" t="s">
        <v>139</v>
      </c>
      <c r="I1241" s="9" t="s">
        <v>411</v>
      </c>
      <c r="J1241" s="9" t="s">
        <v>139</v>
      </c>
      <c r="K1241" s="10">
        <v>38062.753101851849</v>
      </c>
    </row>
    <row r="1242" spans="1:11" x14ac:dyDescent="0.25">
      <c r="A1242" s="8">
        <v>2177</v>
      </c>
      <c r="B1242" s="9" t="s">
        <v>5737</v>
      </c>
      <c r="C1242" s="9" t="s">
        <v>2476</v>
      </c>
      <c r="D1242" s="9" t="s">
        <v>2477</v>
      </c>
      <c r="E1242" s="9" t="s">
        <v>2478</v>
      </c>
      <c r="F1242" s="9" t="s">
        <v>2479</v>
      </c>
      <c r="G1242" s="9" t="s">
        <v>142</v>
      </c>
      <c r="H1242" s="9" t="s">
        <v>241</v>
      </c>
      <c r="I1242" s="9" t="s">
        <v>411</v>
      </c>
      <c r="J1242" s="9" t="s">
        <v>139</v>
      </c>
      <c r="K1242" s="10">
        <v>38062.759467592594</v>
      </c>
    </row>
    <row r="1243" spans="1:11" x14ac:dyDescent="0.25">
      <c r="A1243" s="8">
        <v>2179</v>
      </c>
      <c r="B1243" s="9" t="s">
        <v>5738</v>
      </c>
      <c r="C1243" s="9" t="s">
        <v>2480</v>
      </c>
      <c r="D1243" s="9" t="s">
        <v>139</v>
      </c>
      <c r="E1243" s="9" t="s">
        <v>2481</v>
      </c>
      <c r="F1243" s="9" t="s">
        <v>2482</v>
      </c>
      <c r="G1243" s="9" t="s">
        <v>142</v>
      </c>
      <c r="H1243" s="9" t="s">
        <v>139</v>
      </c>
      <c r="I1243" s="9" t="s">
        <v>411</v>
      </c>
      <c r="J1243" s="9" t="s">
        <v>139</v>
      </c>
      <c r="K1243" s="10">
        <v>38063.579409722224</v>
      </c>
    </row>
    <row r="1244" spans="1:11" x14ac:dyDescent="0.25">
      <c r="A1244" s="8">
        <v>2180</v>
      </c>
      <c r="B1244" s="9" t="s">
        <v>5739</v>
      </c>
      <c r="C1244" s="9" t="s">
        <v>2483</v>
      </c>
      <c r="D1244" s="9" t="s">
        <v>2484</v>
      </c>
      <c r="E1244" s="9" t="s">
        <v>2485</v>
      </c>
      <c r="F1244" s="9" t="s">
        <v>2486</v>
      </c>
      <c r="G1244" s="9" t="s">
        <v>142</v>
      </c>
      <c r="H1244" s="9" t="s">
        <v>166</v>
      </c>
      <c r="I1244" s="9" t="s">
        <v>411</v>
      </c>
      <c r="J1244" s="9" t="s">
        <v>139</v>
      </c>
      <c r="K1244" s="10">
        <v>38069.553749999999</v>
      </c>
    </row>
    <row r="1245" spans="1:11" x14ac:dyDescent="0.25">
      <c r="A1245" s="8">
        <v>2183</v>
      </c>
      <c r="B1245" s="9" t="s">
        <v>5740</v>
      </c>
      <c r="C1245" s="9" t="s">
        <v>2487</v>
      </c>
      <c r="D1245" s="9" t="s">
        <v>139</v>
      </c>
      <c r="E1245" s="9" t="s">
        <v>1726</v>
      </c>
      <c r="F1245" s="9" t="s">
        <v>2488</v>
      </c>
      <c r="G1245" s="9" t="s">
        <v>142</v>
      </c>
      <c r="H1245" s="9" t="s">
        <v>241</v>
      </c>
      <c r="I1245" s="9" t="s">
        <v>411</v>
      </c>
      <c r="J1245" s="9" t="s">
        <v>2489</v>
      </c>
      <c r="K1245" s="10">
        <v>38069.596886574072</v>
      </c>
    </row>
    <row r="1246" spans="1:11" x14ac:dyDescent="0.25">
      <c r="A1246" s="8">
        <v>2184</v>
      </c>
      <c r="B1246" s="9" t="s">
        <v>5741</v>
      </c>
      <c r="C1246" s="9" t="s">
        <v>2490</v>
      </c>
      <c r="D1246" s="9" t="s">
        <v>139</v>
      </c>
      <c r="E1246" s="9" t="s">
        <v>1532</v>
      </c>
      <c r="F1246" s="9" t="s">
        <v>2491</v>
      </c>
      <c r="G1246" s="9" t="s">
        <v>142</v>
      </c>
      <c r="H1246" s="9" t="s">
        <v>166</v>
      </c>
      <c r="I1246" s="9" t="s">
        <v>411</v>
      </c>
      <c r="J1246" s="9" t="s">
        <v>2492</v>
      </c>
      <c r="K1246" s="10">
        <v>38071.54891203704</v>
      </c>
    </row>
    <row r="1247" spans="1:11" x14ac:dyDescent="0.25">
      <c r="A1247" s="8">
        <v>2186</v>
      </c>
      <c r="B1247" s="9" t="s">
        <v>5742</v>
      </c>
      <c r="C1247" s="9" t="s">
        <v>2493</v>
      </c>
      <c r="D1247" s="9" t="s">
        <v>139</v>
      </c>
      <c r="E1247" s="9" t="s">
        <v>2494</v>
      </c>
      <c r="F1247" s="9" t="s">
        <v>2495</v>
      </c>
      <c r="G1247" s="9" t="s">
        <v>142</v>
      </c>
      <c r="H1247" s="9" t="s">
        <v>139</v>
      </c>
      <c r="I1247" s="9" t="s">
        <v>411</v>
      </c>
      <c r="J1247" s="9" t="s">
        <v>139</v>
      </c>
      <c r="K1247" s="10">
        <v>38078.482777777775</v>
      </c>
    </row>
    <row r="1248" spans="1:11" x14ac:dyDescent="0.25">
      <c r="A1248" s="8">
        <v>2188</v>
      </c>
      <c r="B1248" s="9" t="s">
        <v>5743</v>
      </c>
      <c r="C1248" s="9" t="s">
        <v>2496</v>
      </c>
      <c r="D1248" s="9" t="s">
        <v>139</v>
      </c>
      <c r="E1248" s="9" t="s">
        <v>2497</v>
      </c>
      <c r="F1248" s="9" t="s">
        <v>2498</v>
      </c>
      <c r="G1248" s="9" t="s">
        <v>142</v>
      </c>
      <c r="H1248" s="9" t="s">
        <v>139</v>
      </c>
      <c r="I1248" s="9" t="s">
        <v>411</v>
      </c>
      <c r="J1248" s="9" t="s">
        <v>2499</v>
      </c>
      <c r="K1248" s="10">
        <v>38083.466574074075</v>
      </c>
    </row>
    <row r="1249" spans="1:11" x14ac:dyDescent="0.25">
      <c r="A1249" s="8">
        <v>2191</v>
      </c>
      <c r="B1249" s="9" t="s">
        <v>9148</v>
      </c>
      <c r="C1249" s="9" t="s">
        <v>139</v>
      </c>
      <c r="D1249" s="9" t="s">
        <v>139</v>
      </c>
      <c r="E1249" s="9">
        <v>75</v>
      </c>
      <c r="F1249" s="9" t="s">
        <v>413</v>
      </c>
      <c r="G1249" s="9" t="s">
        <v>142</v>
      </c>
      <c r="H1249" s="9" t="s">
        <v>241</v>
      </c>
      <c r="I1249" s="9" t="s">
        <v>143</v>
      </c>
      <c r="J1249" s="9" t="s">
        <v>139</v>
      </c>
      <c r="K1249" s="10">
        <v>38090.381932870368</v>
      </c>
    </row>
    <row r="1250" spans="1:11" x14ac:dyDescent="0.25">
      <c r="A1250" s="8">
        <v>2192</v>
      </c>
      <c r="B1250" s="9" t="s">
        <v>5744</v>
      </c>
      <c r="C1250" s="9" t="s">
        <v>139</v>
      </c>
      <c r="D1250" s="9" t="s">
        <v>139</v>
      </c>
      <c r="E1250" s="9">
        <v>75</v>
      </c>
      <c r="F1250" s="9" t="s">
        <v>413</v>
      </c>
      <c r="G1250" s="9" t="s">
        <v>142</v>
      </c>
      <c r="H1250" s="9" t="s">
        <v>139</v>
      </c>
      <c r="I1250" s="9" t="s">
        <v>411</v>
      </c>
      <c r="J1250" s="9" t="s">
        <v>139</v>
      </c>
      <c r="K1250" s="10">
        <v>38095.768009259256</v>
      </c>
    </row>
    <row r="1251" spans="1:11" x14ac:dyDescent="0.25">
      <c r="A1251" s="8">
        <v>2193</v>
      </c>
      <c r="B1251" s="9" t="s">
        <v>5745</v>
      </c>
      <c r="C1251" s="9" t="s">
        <v>2500</v>
      </c>
      <c r="D1251" s="9" t="s">
        <v>139</v>
      </c>
      <c r="E1251" s="9" t="s">
        <v>2501</v>
      </c>
      <c r="F1251" s="9" t="s">
        <v>2502</v>
      </c>
      <c r="G1251" s="9" t="s">
        <v>142</v>
      </c>
      <c r="H1251" s="9" t="s">
        <v>139</v>
      </c>
      <c r="I1251" s="9" t="s">
        <v>411</v>
      </c>
      <c r="J1251" s="9" t="s">
        <v>139</v>
      </c>
      <c r="K1251" s="10">
        <v>38097.541759259257</v>
      </c>
    </row>
    <row r="1252" spans="1:11" x14ac:dyDescent="0.25">
      <c r="A1252" s="8">
        <v>2194</v>
      </c>
      <c r="B1252" s="9" t="s">
        <v>5746</v>
      </c>
      <c r="C1252" s="9" t="s">
        <v>2503</v>
      </c>
      <c r="D1252" s="9" t="s">
        <v>139</v>
      </c>
      <c r="E1252" s="9" t="s">
        <v>1777</v>
      </c>
      <c r="F1252" s="9" t="s">
        <v>1778</v>
      </c>
      <c r="G1252" s="9" t="s">
        <v>142</v>
      </c>
      <c r="H1252" s="9" t="s">
        <v>139</v>
      </c>
      <c r="I1252" s="9" t="s">
        <v>411</v>
      </c>
      <c r="J1252" s="9" t="s">
        <v>139</v>
      </c>
      <c r="K1252" s="10">
        <v>38111.768692129626</v>
      </c>
    </row>
    <row r="1253" spans="1:11" x14ac:dyDescent="0.25">
      <c r="A1253" s="8">
        <v>2195</v>
      </c>
      <c r="B1253" s="9" t="s">
        <v>9149</v>
      </c>
      <c r="C1253" s="9" t="s">
        <v>2504</v>
      </c>
      <c r="D1253" s="9" t="s">
        <v>139</v>
      </c>
      <c r="E1253" s="9" t="s">
        <v>1091</v>
      </c>
      <c r="F1253" s="9" t="s">
        <v>1092</v>
      </c>
      <c r="G1253" s="9" t="s">
        <v>142</v>
      </c>
      <c r="H1253" s="9" t="s">
        <v>166</v>
      </c>
      <c r="I1253" s="9" t="s">
        <v>143</v>
      </c>
      <c r="J1253" s="9" t="s">
        <v>139</v>
      </c>
      <c r="K1253" s="10">
        <v>38114.596122685187</v>
      </c>
    </row>
    <row r="1254" spans="1:11" x14ac:dyDescent="0.25">
      <c r="A1254" s="8">
        <v>2197</v>
      </c>
      <c r="B1254" s="9" t="s">
        <v>5747</v>
      </c>
      <c r="C1254" s="9" t="s">
        <v>2505</v>
      </c>
      <c r="D1254" s="9" t="s">
        <v>139</v>
      </c>
      <c r="E1254" s="9" t="s">
        <v>2506</v>
      </c>
      <c r="F1254" s="9" t="s">
        <v>2507</v>
      </c>
      <c r="G1254" s="9" t="s">
        <v>142</v>
      </c>
      <c r="H1254" s="9" t="s">
        <v>139</v>
      </c>
      <c r="I1254" s="9" t="s">
        <v>411</v>
      </c>
      <c r="J1254" s="9" t="s">
        <v>139</v>
      </c>
      <c r="K1254" s="10">
        <v>38125.709236111114</v>
      </c>
    </row>
    <row r="1255" spans="1:11" x14ac:dyDescent="0.25">
      <c r="A1255" s="8">
        <v>2199</v>
      </c>
      <c r="B1255" s="9" t="s">
        <v>9150</v>
      </c>
      <c r="C1255" s="9" t="s">
        <v>2508</v>
      </c>
      <c r="D1255" s="9" t="s">
        <v>139</v>
      </c>
      <c r="E1255" s="9" t="s">
        <v>191</v>
      </c>
      <c r="F1255" s="9" t="s">
        <v>141</v>
      </c>
      <c r="G1255" s="9" t="s">
        <v>142</v>
      </c>
      <c r="H1255" s="9" t="s">
        <v>139</v>
      </c>
      <c r="I1255" s="9" t="s">
        <v>143</v>
      </c>
      <c r="J1255" s="9" t="s">
        <v>139</v>
      </c>
      <c r="K1255" s="10">
        <v>38128.537083333336</v>
      </c>
    </row>
    <row r="1256" spans="1:11" x14ac:dyDescent="0.25">
      <c r="A1256" s="8">
        <v>2200</v>
      </c>
      <c r="B1256" s="9" t="s">
        <v>5748</v>
      </c>
      <c r="C1256" s="9" t="s">
        <v>2509</v>
      </c>
      <c r="D1256" s="9" t="s">
        <v>139</v>
      </c>
      <c r="E1256" s="9" t="s">
        <v>2510</v>
      </c>
      <c r="F1256" s="9" t="s">
        <v>2511</v>
      </c>
      <c r="G1256" s="9" t="s">
        <v>142</v>
      </c>
      <c r="H1256" s="9" t="s">
        <v>139</v>
      </c>
      <c r="I1256" s="9" t="s">
        <v>411</v>
      </c>
      <c r="J1256" s="9" t="s">
        <v>139</v>
      </c>
      <c r="K1256" s="10">
        <v>38128.716319444444</v>
      </c>
    </row>
    <row r="1257" spans="1:11" x14ac:dyDescent="0.25">
      <c r="A1257" s="8">
        <v>2201</v>
      </c>
      <c r="B1257" s="9" t="s">
        <v>5749</v>
      </c>
      <c r="C1257" s="9" t="s">
        <v>2512</v>
      </c>
      <c r="D1257" s="9" t="s">
        <v>139</v>
      </c>
      <c r="E1257" s="9" t="s">
        <v>2513</v>
      </c>
      <c r="F1257" s="9" t="s">
        <v>2514</v>
      </c>
      <c r="G1257" s="9" t="s">
        <v>142</v>
      </c>
      <c r="H1257" s="9" t="s">
        <v>241</v>
      </c>
      <c r="I1257" s="9" t="s">
        <v>411</v>
      </c>
      <c r="J1257" s="9" t="s">
        <v>2515</v>
      </c>
      <c r="K1257" s="10">
        <v>38131.793090277781</v>
      </c>
    </row>
    <row r="1258" spans="1:11" x14ac:dyDescent="0.25">
      <c r="A1258" s="8">
        <v>2202</v>
      </c>
      <c r="B1258" s="9" t="s">
        <v>9151</v>
      </c>
      <c r="C1258" s="9" t="s">
        <v>2516</v>
      </c>
      <c r="D1258" s="9" t="s">
        <v>139</v>
      </c>
      <c r="E1258" s="9" t="s">
        <v>299</v>
      </c>
      <c r="F1258" s="9" t="s">
        <v>2517</v>
      </c>
      <c r="G1258" s="9" t="s">
        <v>142</v>
      </c>
      <c r="H1258" s="9" t="s">
        <v>139</v>
      </c>
      <c r="I1258" s="9" t="s">
        <v>143</v>
      </c>
      <c r="J1258" s="9" t="s">
        <v>139</v>
      </c>
      <c r="K1258" s="10">
        <v>38132.727893518517</v>
      </c>
    </row>
    <row r="1259" spans="1:11" x14ac:dyDescent="0.25">
      <c r="A1259" s="8">
        <v>2203</v>
      </c>
      <c r="B1259" s="9" t="s">
        <v>9152</v>
      </c>
      <c r="C1259" s="9" t="s">
        <v>139</v>
      </c>
      <c r="D1259" s="9" t="s">
        <v>139</v>
      </c>
      <c r="E1259" s="9">
        <v>75</v>
      </c>
      <c r="F1259" s="9" t="s">
        <v>413</v>
      </c>
      <c r="G1259" s="9" t="s">
        <v>142</v>
      </c>
      <c r="H1259" s="9" t="s">
        <v>139</v>
      </c>
      <c r="I1259" s="9" t="s">
        <v>143</v>
      </c>
      <c r="J1259" s="9" t="s">
        <v>139</v>
      </c>
      <c r="K1259" s="10">
        <v>38132.731342592589</v>
      </c>
    </row>
    <row r="1260" spans="1:11" x14ac:dyDescent="0.25">
      <c r="A1260" s="8">
        <v>2204</v>
      </c>
      <c r="B1260" s="9" t="s">
        <v>9153</v>
      </c>
      <c r="C1260" s="9" t="s">
        <v>139</v>
      </c>
      <c r="D1260" s="9" t="s">
        <v>139</v>
      </c>
      <c r="E1260" s="9">
        <v>75</v>
      </c>
      <c r="F1260" s="9" t="s">
        <v>413</v>
      </c>
      <c r="G1260" s="9" t="s">
        <v>142</v>
      </c>
      <c r="H1260" s="9" t="s">
        <v>139</v>
      </c>
      <c r="I1260" s="9" t="s">
        <v>143</v>
      </c>
      <c r="J1260" s="9" t="s">
        <v>139</v>
      </c>
      <c r="K1260" s="10">
        <v>38132.732037037036</v>
      </c>
    </row>
    <row r="1261" spans="1:11" x14ac:dyDescent="0.25">
      <c r="A1261" s="8">
        <v>2205</v>
      </c>
      <c r="B1261" s="9" t="s">
        <v>9154</v>
      </c>
      <c r="C1261" s="9" t="s">
        <v>139</v>
      </c>
      <c r="D1261" s="9" t="s">
        <v>139</v>
      </c>
      <c r="E1261" s="9">
        <v>75</v>
      </c>
      <c r="F1261" s="9" t="s">
        <v>413</v>
      </c>
      <c r="G1261" s="9" t="s">
        <v>142</v>
      </c>
      <c r="H1261" s="9" t="s">
        <v>139</v>
      </c>
      <c r="I1261" s="9" t="s">
        <v>143</v>
      </c>
      <c r="J1261" s="9" t="s">
        <v>139</v>
      </c>
      <c r="K1261" s="10">
        <v>38132.733090277776</v>
      </c>
    </row>
    <row r="1262" spans="1:11" x14ac:dyDescent="0.25">
      <c r="A1262" s="8">
        <v>2206</v>
      </c>
      <c r="B1262" s="9" t="s">
        <v>9155</v>
      </c>
      <c r="C1262" s="9" t="s">
        <v>139</v>
      </c>
      <c r="D1262" s="9" t="s">
        <v>139</v>
      </c>
      <c r="E1262" s="9">
        <v>75</v>
      </c>
      <c r="F1262" s="9" t="s">
        <v>413</v>
      </c>
      <c r="G1262" s="9" t="s">
        <v>142</v>
      </c>
      <c r="H1262" s="9" t="s">
        <v>139</v>
      </c>
      <c r="I1262" s="9" t="s">
        <v>143</v>
      </c>
      <c r="J1262" s="9" t="s">
        <v>139</v>
      </c>
      <c r="K1262" s="10">
        <v>38132.734259259261</v>
      </c>
    </row>
    <row r="1263" spans="1:11" x14ac:dyDescent="0.25">
      <c r="A1263" s="8">
        <v>2207</v>
      </c>
      <c r="B1263" s="9" t="s">
        <v>9156</v>
      </c>
      <c r="C1263" s="9" t="s">
        <v>139</v>
      </c>
      <c r="D1263" s="9" t="s">
        <v>139</v>
      </c>
      <c r="E1263" s="9">
        <v>75</v>
      </c>
      <c r="F1263" s="9" t="s">
        <v>413</v>
      </c>
      <c r="G1263" s="9" t="s">
        <v>142</v>
      </c>
      <c r="H1263" s="9" t="s">
        <v>139</v>
      </c>
      <c r="I1263" s="9" t="s">
        <v>143</v>
      </c>
      <c r="J1263" s="9" t="s">
        <v>139</v>
      </c>
      <c r="K1263" s="10">
        <v>38132.734884259262</v>
      </c>
    </row>
    <row r="1264" spans="1:11" x14ac:dyDescent="0.25">
      <c r="A1264" s="8">
        <v>2208</v>
      </c>
      <c r="B1264" s="9" t="s">
        <v>9157</v>
      </c>
      <c r="C1264" s="9" t="s">
        <v>139</v>
      </c>
      <c r="D1264" s="9" t="s">
        <v>139</v>
      </c>
      <c r="E1264" s="9">
        <v>75</v>
      </c>
      <c r="F1264" s="9" t="s">
        <v>413</v>
      </c>
      <c r="G1264" s="9" t="s">
        <v>142</v>
      </c>
      <c r="H1264" s="9" t="s">
        <v>139</v>
      </c>
      <c r="I1264" s="9" t="s">
        <v>143</v>
      </c>
      <c r="J1264" s="9" t="s">
        <v>139</v>
      </c>
      <c r="K1264" s="10">
        <v>38132.738055555557</v>
      </c>
    </row>
    <row r="1265" spans="1:11" x14ac:dyDescent="0.25">
      <c r="A1265" s="8">
        <v>2209</v>
      </c>
      <c r="B1265" s="9" t="s">
        <v>9158</v>
      </c>
      <c r="C1265" s="9" t="s">
        <v>139</v>
      </c>
      <c r="D1265" s="9" t="s">
        <v>139</v>
      </c>
      <c r="E1265" s="9">
        <v>75</v>
      </c>
      <c r="F1265" s="9" t="s">
        <v>413</v>
      </c>
      <c r="G1265" s="9" t="s">
        <v>142</v>
      </c>
      <c r="H1265" s="9" t="s">
        <v>139</v>
      </c>
      <c r="I1265" s="9" t="s">
        <v>143</v>
      </c>
      <c r="J1265" s="9" t="s">
        <v>139</v>
      </c>
      <c r="K1265" s="10">
        <v>38132.739328703705</v>
      </c>
    </row>
    <row r="1266" spans="1:11" x14ac:dyDescent="0.25">
      <c r="A1266" s="8">
        <v>2210</v>
      </c>
      <c r="B1266" s="9" t="s">
        <v>5750</v>
      </c>
      <c r="C1266" s="9" t="s">
        <v>139</v>
      </c>
      <c r="D1266" s="9" t="s">
        <v>139</v>
      </c>
      <c r="E1266" s="9">
        <v>75</v>
      </c>
      <c r="F1266" s="9" t="s">
        <v>413</v>
      </c>
      <c r="G1266" s="9" t="s">
        <v>142</v>
      </c>
      <c r="H1266" s="9" t="s">
        <v>139</v>
      </c>
      <c r="I1266" s="9" t="s">
        <v>411</v>
      </c>
      <c r="J1266" s="9" t="s">
        <v>139</v>
      </c>
      <c r="K1266" s="10">
        <v>38132.747534722221</v>
      </c>
    </row>
    <row r="1267" spans="1:11" x14ac:dyDescent="0.25">
      <c r="A1267" s="8">
        <v>2211</v>
      </c>
      <c r="B1267" s="9" t="s">
        <v>9159</v>
      </c>
      <c r="C1267" s="9" t="s">
        <v>2518</v>
      </c>
      <c r="D1267" s="9" t="s">
        <v>139</v>
      </c>
      <c r="E1267" s="9" t="s">
        <v>310</v>
      </c>
      <c r="F1267" s="9" t="s">
        <v>2519</v>
      </c>
      <c r="G1267" s="9" t="s">
        <v>142</v>
      </c>
      <c r="H1267" s="9" t="s">
        <v>139</v>
      </c>
      <c r="I1267" s="9" t="s">
        <v>143</v>
      </c>
      <c r="J1267" s="9" t="s">
        <v>139</v>
      </c>
      <c r="K1267" s="10">
        <v>38143.513865740744</v>
      </c>
    </row>
    <row r="1268" spans="1:11" x14ac:dyDescent="0.25">
      <c r="A1268" s="8">
        <v>2213</v>
      </c>
      <c r="B1268" s="9" t="s">
        <v>9160</v>
      </c>
      <c r="C1268" s="9" t="s">
        <v>2520</v>
      </c>
      <c r="D1268" s="9" t="s">
        <v>139</v>
      </c>
      <c r="E1268" s="9" t="s">
        <v>2521</v>
      </c>
      <c r="F1268" s="9" t="s">
        <v>2522</v>
      </c>
      <c r="G1268" s="9" t="s">
        <v>142</v>
      </c>
      <c r="H1268" s="9" t="s">
        <v>139</v>
      </c>
      <c r="I1268" s="9" t="s">
        <v>143</v>
      </c>
      <c r="J1268" s="9" t="s">
        <v>139</v>
      </c>
      <c r="K1268" s="10">
        <v>38147.691458333335</v>
      </c>
    </row>
    <row r="1269" spans="1:11" x14ac:dyDescent="0.25">
      <c r="A1269" s="8">
        <v>2217</v>
      </c>
      <c r="B1269" s="9" t="s">
        <v>5751</v>
      </c>
      <c r="C1269" s="9" t="s">
        <v>139</v>
      </c>
      <c r="D1269" s="9" t="s">
        <v>139</v>
      </c>
      <c r="E1269" s="9">
        <v>75</v>
      </c>
      <c r="F1269" s="9" t="s">
        <v>413</v>
      </c>
      <c r="G1269" s="9" t="s">
        <v>142</v>
      </c>
      <c r="H1269" s="9" t="s">
        <v>139</v>
      </c>
      <c r="I1269" s="9" t="s">
        <v>411</v>
      </c>
      <c r="J1269" s="9" t="s">
        <v>139</v>
      </c>
      <c r="K1269" s="10">
        <v>38148.809247685182</v>
      </c>
    </row>
    <row r="1270" spans="1:11" x14ac:dyDescent="0.25">
      <c r="A1270" s="8">
        <v>2218</v>
      </c>
      <c r="B1270" s="9" t="s">
        <v>9161</v>
      </c>
      <c r="C1270" s="9" t="s">
        <v>2523</v>
      </c>
      <c r="D1270" s="9" t="s">
        <v>139</v>
      </c>
      <c r="E1270" s="9" t="s">
        <v>149</v>
      </c>
      <c r="F1270" s="9" t="s">
        <v>141</v>
      </c>
      <c r="G1270" s="9" t="s">
        <v>142</v>
      </c>
      <c r="H1270" s="9" t="s">
        <v>166</v>
      </c>
      <c r="I1270" s="9" t="s">
        <v>143</v>
      </c>
      <c r="J1270" s="9" t="s">
        <v>139</v>
      </c>
      <c r="K1270" s="10">
        <v>38149.716817129629</v>
      </c>
    </row>
    <row r="1271" spans="1:11" x14ac:dyDescent="0.25">
      <c r="A1271" s="8">
        <v>2219</v>
      </c>
      <c r="B1271" s="9" t="s">
        <v>9162</v>
      </c>
      <c r="C1271" s="9" t="s">
        <v>2524</v>
      </c>
      <c r="D1271" s="9" t="s">
        <v>139</v>
      </c>
      <c r="E1271" s="9" t="s">
        <v>308</v>
      </c>
      <c r="F1271" s="9" t="s">
        <v>709</v>
      </c>
      <c r="G1271" s="9" t="s">
        <v>142</v>
      </c>
      <c r="H1271" s="9" t="s">
        <v>139</v>
      </c>
      <c r="I1271" s="9" t="s">
        <v>143</v>
      </c>
      <c r="J1271" s="9" t="s">
        <v>139</v>
      </c>
      <c r="K1271" s="10">
        <v>38155.708287037036</v>
      </c>
    </row>
    <row r="1272" spans="1:11" x14ac:dyDescent="0.25">
      <c r="A1272" s="8">
        <v>2221</v>
      </c>
      <c r="B1272" s="9" t="s">
        <v>9163</v>
      </c>
      <c r="C1272" s="9" t="s">
        <v>139</v>
      </c>
      <c r="D1272" s="9" t="s">
        <v>139</v>
      </c>
      <c r="E1272" s="9">
        <v>75</v>
      </c>
      <c r="F1272" s="9" t="s">
        <v>413</v>
      </c>
      <c r="G1272" s="9" t="s">
        <v>142</v>
      </c>
      <c r="H1272" s="9" t="s">
        <v>241</v>
      </c>
      <c r="I1272" s="9" t="s">
        <v>143</v>
      </c>
      <c r="J1272" s="9" t="s">
        <v>139</v>
      </c>
      <c r="K1272" s="10">
        <v>38156.629525462966</v>
      </c>
    </row>
    <row r="1273" spans="1:11" x14ac:dyDescent="0.25">
      <c r="A1273" s="8">
        <v>2222</v>
      </c>
      <c r="B1273" s="9" t="s">
        <v>9164</v>
      </c>
      <c r="C1273" s="9" t="s">
        <v>2525</v>
      </c>
      <c r="D1273" s="9" t="s">
        <v>139</v>
      </c>
      <c r="E1273" s="9" t="s">
        <v>1364</v>
      </c>
      <c r="F1273" s="9" t="s">
        <v>2526</v>
      </c>
      <c r="G1273" s="9" t="s">
        <v>142</v>
      </c>
      <c r="H1273" s="9" t="s">
        <v>166</v>
      </c>
      <c r="I1273" s="9" t="s">
        <v>143</v>
      </c>
      <c r="J1273" s="9" t="s">
        <v>139</v>
      </c>
      <c r="K1273" s="10">
        <v>38162.628564814811</v>
      </c>
    </row>
    <row r="1274" spans="1:11" x14ac:dyDescent="0.25">
      <c r="A1274" s="8">
        <v>2223</v>
      </c>
      <c r="B1274" s="9" t="s">
        <v>5752</v>
      </c>
      <c r="C1274" s="9" t="s">
        <v>2527</v>
      </c>
      <c r="D1274" s="9" t="s">
        <v>139</v>
      </c>
      <c r="E1274" s="9" t="s">
        <v>306</v>
      </c>
      <c r="F1274" s="9" t="s">
        <v>709</v>
      </c>
      <c r="G1274" s="9" t="s">
        <v>142</v>
      </c>
      <c r="H1274" s="9" t="s">
        <v>139</v>
      </c>
      <c r="I1274" s="9" t="s">
        <v>411</v>
      </c>
      <c r="J1274" s="9" t="s">
        <v>139</v>
      </c>
      <c r="K1274" s="10">
        <v>38163.710405092592</v>
      </c>
    </row>
    <row r="1275" spans="1:11" x14ac:dyDescent="0.25">
      <c r="A1275" s="8">
        <v>2224</v>
      </c>
      <c r="B1275" s="9" t="s">
        <v>9165</v>
      </c>
      <c r="C1275" s="9" t="s">
        <v>2528</v>
      </c>
      <c r="D1275" s="9" t="s">
        <v>139</v>
      </c>
      <c r="E1275" s="9" t="s">
        <v>2529</v>
      </c>
      <c r="F1275" s="9" t="s">
        <v>2530</v>
      </c>
      <c r="G1275" s="9" t="s">
        <v>142</v>
      </c>
      <c r="H1275" s="9" t="s">
        <v>139</v>
      </c>
      <c r="I1275" s="9" t="s">
        <v>143</v>
      </c>
      <c r="J1275" s="9" t="s">
        <v>139</v>
      </c>
      <c r="K1275" s="10">
        <v>38168.638287037036</v>
      </c>
    </row>
    <row r="1276" spans="1:11" x14ac:dyDescent="0.25">
      <c r="A1276" s="8">
        <v>2225</v>
      </c>
      <c r="B1276" s="9" t="s">
        <v>9166</v>
      </c>
      <c r="C1276" s="9" t="s">
        <v>2531</v>
      </c>
      <c r="D1276" s="9" t="s">
        <v>139</v>
      </c>
      <c r="E1276" s="9" t="s">
        <v>218</v>
      </c>
      <c r="F1276" s="9" t="s">
        <v>141</v>
      </c>
      <c r="G1276" s="9" t="s">
        <v>142</v>
      </c>
      <c r="H1276" s="9" t="s">
        <v>321</v>
      </c>
      <c r="I1276" s="9" t="s">
        <v>143</v>
      </c>
      <c r="J1276" s="9" t="s">
        <v>139</v>
      </c>
      <c r="K1276" s="10">
        <v>38168.639907407407</v>
      </c>
    </row>
    <row r="1277" spans="1:11" x14ac:dyDescent="0.25">
      <c r="A1277" s="8">
        <v>2226</v>
      </c>
      <c r="B1277" s="9" t="s">
        <v>9167</v>
      </c>
      <c r="C1277" s="9" t="s">
        <v>2532</v>
      </c>
      <c r="D1277" s="9" t="s">
        <v>139</v>
      </c>
      <c r="E1277" s="9" t="s">
        <v>328</v>
      </c>
      <c r="F1277" s="9" t="s">
        <v>141</v>
      </c>
      <c r="G1277" s="9" t="s">
        <v>142</v>
      </c>
      <c r="H1277" s="9" t="s">
        <v>321</v>
      </c>
      <c r="I1277" s="9" t="s">
        <v>143</v>
      </c>
      <c r="J1277" s="9" t="s">
        <v>139</v>
      </c>
      <c r="K1277" s="10">
        <v>38168.64099537037</v>
      </c>
    </row>
    <row r="1278" spans="1:11" x14ac:dyDescent="0.25">
      <c r="A1278" s="8">
        <v>2227</v>
      </c>
      <c r="B1278" s="9" t="s">
        <v>9168</v>
      </c>
      <c r="C1278" s="9" t="s">
        <v>2533</v>
      </c>
      <c r="D1278" s="9" t="s">
        <v>139</v>
      </c>
      <c r="E1278" s="9" t="s">
        <v>848</v>
      </c>
      <c r="F1278" s="9" t="s">
        <v>2534</v>
      </c>
      <c r="G1278" s="9" t="s">
        <v>142</v>
      </c>
      <c r="H1278" s="9" t="s">
        <v>321</v>
      </c>
      <c r="I1278" s="9" t="s">
        <v>143</v>
      </c>
      <c r="J1278" s="9" t="s">
        <v>139</v>
      </c>
      <c r="K1278" s="10">
        <v>38168.641886574071</v>
      </c>
    </row>
    <row r="1279" spans="1:11" x14ac:dyDescent="0.25">
      <c r="A1279" s="8">
        <v>2228</v>
      </c>
      <c r="B1279" s="9" t="s">
        <v>9169</v>
      </c>
      <c r="C1279" s="9" t="s">
        <v>2535</v>
      </c>
      <c r="D1279" s="9" t="s">
        <v>139</v>
      </c>
      <c r="E1279" s="9" t="s">
        <v>229</v>
      </c>
      <c r="F1279" s="9" t="s">
        <v>413</v>
      </c>
      <c r="G1279" s="9" t="s">
        <v>142</v>
      </c>
      <c r="H1279" s="9" t="s">
        <v>166</v>
      </c>
      <c r="I1279" s="9" t="s">
        <v>143</v>
      </c>
      <c r="J1279" s="9" t="s">
        <v>139</v>
      </c>
      <c r="K1279" s="10">
        <v>38169.644768518519</v>
      </c>
    </row>
    <row r="1280" spans="1:11" x14ac:dyDescent="0.25">
      <c r="A1280" s="8">
        <v>2229</v>
      </c>
      <c r="B1280" s="9" t="s">
        <v>9170</v>
      </c>
      <c r="C1280" s="9" t="s">
        <v>2536</v>
      </c>
      <c r="D1280" s="9" t="s">
        <v>139</v>
      </c>
      <c r="E1280" s="9" t="s">
        <v>2537</v>
      </c>
      <c r="F1280" s="9" t="s">
        <v>2538</v>
      </c>
      <c r="G1280" s="9" t="s">
        <v>142</v>
      </c>
      <c r="H1280" s="9" t="s">
        <v>166</v>
      </c>
      <c r="I1280" s="9" t="s">
        <v>143</v>
      </c>
      <c r="J1280" s="9" t="s">
        <v>139</v>
      </c>
      <c r="K1280" s="10">
        <v>38175.408194444448</v>
      </c>
    </row>
    <row r="1281" spans="1:11" x14ac:dyDescent="0.25">
      <c r="A1281" s="8">
        <v>2231</v>
      </c>
      <c r="B1281" s="9" t="s">
        <v>5753</v>
      </c>
      <c r="C1281" s="9" t="s">
        <v>2539</v>
      </c>
      <c r="D1281" s="9" t="s">
        <v>139</v>
      </c>
      <c r="E1281" s="9" t="s">
        <v>2540</v>
      </c>
      <c r="F1281" s="9" t="s">
        <v>2541</v>
      </c>
      <c r="G1281" s="9" t="s">
        <v>142</v>
      </c>
      <c r="H1281" s="9" t="s">
        <v>139</v>
      </c>
      <c r="I1281" s="9" t="s">
        <v>411</v>
      </c>
      <c r="J1281" s="9" t="s">
        <v>2542</v>
      </c>
      <c r="K1281" s="10">
        <v>38177.489085648151</v>
      </c>
    </row>
    <row r="1282" spans="1:11" x14ac:dyDescent="0.25">
      <c r="A1282" s="8">
        <v>2232</v>
      </c>
      <c r="B1282" s="9" t="s">
        <v>5754</v>
      </c>
      <c r="C1282" s="9" t="s">
        <v>2543</v>
      </c>
      <c r="D1282" s="9" t="s">
        <v>2544</v>
      </c>
      <c r="E1282" s="9" t="s">
        <v>2545</v>
      </c>
      <c r="F1282" s="9" t="s">
        <v>2546</v>
      </c>
      <c r="G1282" s="9" t="s">
        <v>142</v>
      </c>
      <c r="H1282" s="9" t="s">
        <v>139</v>
      </c>
      <c r="I1282" s="9" t="s">
        <v>411</v>
      </c>
      <c r="J1282" s="9" t="s">
        <v>139</v>
      </c>
      <c r="K1282" s="10">
        <v>38178.464456018519</v>
      </c>
    </row>
    <row r="1283" spans="1:11" x14ac:dyDescent="0.25">
      <c r="A1283" s="8">
        <v>2233</v>
      </c>
      <c r="B1283" s="9" t="s">
        <v>5755</v>
      </c>
      <c r="C1283" s="9" t="s">
        <v>2547</v>
      </c>
      <c r="D1283" s="9" t="s">
        <v>2548</v>
      </c>
      <c r="E1283" s="9" t="s">
        <v>1612</v>
      </c>
      <c r="F1283" s="9" t="s">
        <v>2549</v>
      </c>
      <c r="G1283" s="9" t="s">
        <v>142</v>
      </c>
      <c r="H1283" s="9" t="s">
        <v>241</v>
      </c>
      <c r="I1283" s="9" t="s">
        <v>411</v>
      </c>
      <c r="J1283" s="9" t="s">
        <v>139</v>
      </c>
      <c r="K1283" s="10">
        <v>38188.465949074074</v>
      </c>
    </row>
    <row r="1284" spans="1:11" x14ac:dyDescent="0.25">
      <c r="A1284" s="8">
        <v>2234</v>
      </c>
      <c r="B1284" s="9" t="s">
        <v>5756</v>
      </c>
      <c r="C1284" s="9" t="s">
        <v>2550</v>
      </c>
      <c r="D1284" s="9" t="s">
        <v>139</v>
      </c>
      <c r="E1284" s="9" t="s">
        <v>1018</v>
      </c>
      <c r="F1284" s="9" t="s">
        <v>2551</v>
      </c>
      <c r="G1284" s="9" t="s">
        <v>142</v>
      </c>
      <c r="H1284" s="9" t="s">
        <v>139</v>
      </c>
      <c r="I1284" s="9" t="s">
        <v>411</v>
      </c>
      <c r="J1284" s="9" t="s">
        <v>139</v>
      </c>
      <c r="K1284" s="10">
        <v>38188.603518518517</v>
      </c>
    </row>
    <row r="1285" spans="1:11" x14ac:dyDescent="0.25">
      <c r="A1285" s="8">
        <v>2235</v>
      </c>
      <c r="B1285" s="9" t="s">
        <v>9171</v>
      </c>
      <c r="C1285" s="9" t="s">
        <v>139</v>
      </c>
      <c r="D1285" s="9" t="s">
        <v>139</v>
      </c>
      <c r="E1285" s="9">
        <v>75</v>
      </c>
      <c r="F1285" s="9" t="s">
        <v>413</v>
      </c>
      <c r="G1285" s="9" t="s">
        <v>142</v>
      </c>
      <c r="H1285" s="9" t="s">
        <v>241</v>
      </c>
      <c r="I1285" s="9" t="s">
        <v>143</v>
      </c>
      <c r="J1285" s="9" t="s">
        <v>139</v>
      </c>
      <c r="K1285" s="10">
        <v>38188.67050925926</v>
      </c>
    </row>
    <row r="1286" spans="1:11" x14ac:dyDescent="0.25">
      <c r="A1286" s="8">
        <v>2236</v>
      </c>
      <c r="B1286" s="9" t="s">
        <v>9172</v>
      </c>
      <c r="C1286" s="9" t="s">
        <v>2552</v>
      </c>
      <c r="D1286" s="9" t="s">
        <v>139</v>
      </c>
      <c r="E1286" s="9" t="s">
        <v>1570</v>
      </c>
      <c r="F1286" s="9" t="s">
        <v>1571</v>
      </c>
      <c r="G1286" s="9" t="s">
        <v>142</v>
      </c>
      <c r="H1286" s="9" t="s">
        <v>241</v>
      </c>
      <c r="I1286" s="9" t="s">
        <v>143</v>
      </c>
      <c r="J1286" s="9" t="s">
        <v>139</v>
      </c>
      <c r="K1286" s="10">
        <v>38223.646724537037</v>
      </c>
    </row>
    <row r="1287" spans="1:11" x14ac:dyDescent="0.25">
      <c r="A1287" s="8">
        <v>2237</v>
      </c>
      <c r="B1287" s="9" t="s">
        <v>9173</v>
      </c>
      <c r="C1287" s="9" t="s">
        <v>2553</v>
      </c>
      <c r="D1287" s="9" t="s">
        <v>139</v>
      </c>
      <c r="E1287" s="9" t="s">
        <v>229</v>
      </c>
      <c r="F1287" s="9" t="s">
        <v>141</v>
      </c>
      <c r="G1287" s="9" t="s">
        <v>142</v>
      </c>
      <c r="H1287" s="9" t="s">
        <v>321</v>
      </c>
      <c r="I1287" s="9" t="s">
        <v>143</v>
      </c>
      <c r="J1287" s="9" t="s">
        <v>139</v>
      </c>
      <c r="K1287" s="10">
        <v>38227.858923611115</v>
      </c>
    </row>
    <row r="1288" spans="1:11" x14ac:dyDescent="0.25">
      <c r="A1288" s="8">
        <v>2238</v>
      </c>
      <c r="B1288" s="9" t="s">
        <v>5757</v>
      </c>
      <c r="C1288" s="9" t="s">
        <v>2554</v>
      </c>
      <c r="D1288" s="9" t="s">
        <v>139</v>
      </c>
      <c r="E1288" s="9" t="s">
        <v>2257</v>
      </c>
      <c r="F1288" s="9" t="s">
        <v>2555</v>
      </c>
      <c r="G1288" s="9" t="s">
        <v>142</v>
      </c>
      <c r="H1288" s="9" t="s">
        <v>139</v>
      </c>
      <c r="I1288" s="9" t="s">
        <v>411</v>
      </c>
      <c r="J1288" s="9" t="s">
        <v>139</v>
      </c>
      <c r="K1288" s="10">
        <v>38231.490428240744</v>
      </c>
    </row>
    <row r="1289" spans="1:11" x14ac:dyDescent="0.25">
      <c r="A1289" s="8">
        <v>2239</v>
      </c>
      <c r="B1289" s="9" t="s">
        <v>5758</v>
      </c>
      <c r="C1289" s="9" t="s">
        <v>2556</v>
      </c>
      <c r="D1289" s="9" t="s">
        <v>139</v>
      </c>
      <c r="E1289" s="9" t="s">
        <v>2557</v>
      </c>
      <c r="F1289" s="9" t="s">
        <v>2558</v>
      </c>
      <c r="G1289" s="9" t="s">
        <v>142</v>
      </c>
      <c r="H1289" s="9" t="s">
        <v>139</v>
      </c>
      <c r="I1289" s="9" t="s">
        <v>411</v>
      </c>
      <c r="J1289" s="9" t="s">
        <v>2559</v>
      </c>
      <c r="K1289" s="10">
        <v>38231.492719907408</v>
      </c>
    </row>
    <row r="1290" spans="1:11" x14ac:dyDescent="0.25">
      <c r="A1290" s="8">
        <v>2240</v>
      </c>
      <c r="B1290" s="9" t="s">
        <v>5759</v>
      </c>
      <c r="C1290" s="9" t="s">
        <v>2560</v>
      </c>
      <c r="D1290" s="9" t="s">
        <v>139</v>
      </c>
      <c r="E1290" s="9" t="s">
        <v>2561</v>
      </c>
      <c r="F1290" s="9" t="s">
        <v>2562</v>
      </c>
      <c r="G1290" s="9" t="s">
        <v>142</v>
      </c>
      <c r="H1290" s="9" t="s">
        <v>139</v>
      </c>
      <c r="I1290" s="9" t="s">
        <v>411</v>
      </c>
      <c r="J1290" s="9" t="s">
        <v>139</v>
      </c>
      <c r="K1290" s="10">
        <v>38231.554247685184</v>
      </c>
    </row>
    <row r="1291" spans="1:11" x14ac:dyDescent="0.25">
      <c r="A1291" s="8">
        <v>2241</v>
      </c>
      <c r="B1291" s="9" t="s">
        <v>5760</v>
      </c>
      <c r="C1291" s="9" t="s">
        <v>2563</v>
      </c>
      <c r="D1291" s="9" t="s">
        <v>139</v>
      </c>
      <c r="E1291" s="9" t="s">
        <v>1018</v>
      </c>
      <c r="F1291" s="9" t="s">
        <v>2564</v>
      </c>
      <c r="G1291" s="9" t="s">
        <v>142</v>
      </c>
      <c r="H1291" s="9" t="s">
        <v>139</v>
      </c>
      <c r="I1291" s="9" t="s">
        <v>411</v>
      </c>
      <c r="J1291" s="9" t="s">
        <v>139</v>
      </c>
      <c r="K1291" s="10">
        <v>38232.485520833332</v>
      </c>
    </row>
    <row r="1292" spans="1:11" x14ac:dyDescent="0.25">
      <c r="A1292" s="8">
        <v>2243</v>
      </c>
      <c r="B1292" s="9" t="s">
        <v>5761</v>
      </c>
      <c r="C1292" s="9" t="s">
        <v>2565</v>
      </c>
      <c r="D1292" s="9" t="s">
        <v>139</v>
      </c>
      <c r="E1292" s="9" t="s">
        <v>140</v>
      </c>
      <c r="F1292" s="9" t="s">
        <v>141</v>
      </c>
      <c r="G1292" s="9" t="s">
        <v>142</v>
      </c>
      <c r="H1292" s="9" t="s">
        <v>139</v>
      </c>
      <c r="I1292" s="9" t="s">
        <v>411</v>
      </c>
      <c r="J1292" s="9" t="s">
        <v>2566</v>
      </c>
      <c r="K1292" s="10">
        <v>38239.605486111112</v>
      </c>
    </row>
    <row r="1293" spans="1:11" x14ac:dyDescent="0.25">
      <c r="A1293" s="8">
        <v>2244</v>
      </c>
      <c r="B1293" s="9" t="s">
        <v>5762</v>
      </c>
      <c r="C1293" s="9" t="s">
        <v>2567</v>
      </c>
      <c r="D1293" s="9" t="s">
        <v>139</v>
      </c>
      <c r="E1293" s="9" t="s">
        <v>2568</v>
      </c>
      <c r="F1293" s="9" t="s">
        <v>2569</v>
      </c>
      <c r="G1293" s="9" t="s">
        <v>142</v>
      </c>
      <c r="H1293" s="9" t="s">
        <v>139</v>
      </c>
      <c r="I1293" s="9" t="s">
        <v>411</v>
      </c>
      <c r="J1293" s="9" t="s">
        <v>139</v>
      </c>
      <c r="K1293" s="10">
        <v>38240.412592592591</v>
      </c>
    </row>
    <row r="1294" spans="1:11" x14ac:dyDescent="0.25">
      <c r="A1294" s="8">
        <v>2245</v>
      </c>
      <c r="B1294" s="9" t="s">
        <v>5763</v>
      </c>
      <c r="C1294" s="9" t="s">
        <v>2570</v>
      </c>
      <c r="D1294" s="9" t="s">
        <v>2571</v>
      </c>
      <c r="E1294" s="9" t="s">
        <v>706</v>
      </c>
      <c r="F1294" s="9" t="s">
        <v>141</v>
      </c>
      <c r="G1294" s="9" t="s">
        <v>142</v>
      </c>
      <c r="H1294" s="9" t="s">
        <v>139</v>
      </c>
      <c r="I1294" s="9" t="s">
        <v>411</v>
      </c>
      <c r="J1294" s="9" t="s">
        <v>139</v>
      </c>
      <c r="K1294" s="10">
        <v>38240.430671296293</v>
      </c>
    </row>
    <row r="1295" spans="1:11" x14ac:dyDescent="0.25">
      <c r="A1295" s="8">
        <v>2247</v>
      </c>
      <c r="B1295" s="9" t="s">
        <v>5764</v>
      </c>
      <c r="C1295" s="9" t="s">
        <v>2572</v>
      </c>
      <c r="D1295" s="9" t="s">
        <v>2573</v>
      </c>
      <c r="E1295" s="9" t="s">
        <v>2574</v>
      </c>
      <c r="F1295" s="9" t="s">
        <v>2575</v>
      </c>
      <c r="G1295" s="9" t="s">
        <v>142</v>
      </c>
      <c r="H1295" s="9" t="s">
        <v>139</v>
      </c>
      <c r="I1295" s="9" t="s">
        <v>411</v>
      </c>
      <c r="J1295" s="9" t="s">
        <v>2576</v>
      </c>
      <c r="K1295" s="10">
        <v>38241.007210648146</v>
      </c>
    </row>
    <row r="1296" spans="1:11" x14ac:dyDescent="0.25">
      <c r="A1296" s="8">
        <v>2248</v>
      </c>
      <c r="B1296" s="9" t="s">
        <v>5765</v>
      </c>
      <c r="C1296" s="9" t="s">
        <v>2577</v>
      </c>
      <c r="D1296" s="9" t="s">
        <v>139</v>
      </c>
      <c r="E1296" s="9" t="s">
        <v>798</v>
      </c>
      <c r="F1296" s="9" t="s">
        <v>799</v>
      </c>
      <c r="G1296" s="9" t="s">
        <v>142</v>
      </c>
      <c r="H1296" s="9" t="s">
        <v>139</v>
      </c>
      <c r="I1296" s="9" t="s">
        <v>411</v>
      </c>
      <c r="J1296" s="9" t="s">
        <v>2578</v>
      </c>
      <c r="K1296" s="10">
        <v>38242.814756944441</v>
      </c>
    </row>
    <row r="1297" spans="1:11" x14ac:dyDescent="0.25">
      <c r="A1297" s="8">
        <v>2249</v>
      </c>
      <c r="B1297" s="9" t="s">
        <v>5766</v>
      </c>
      <c r="C1297" s="9" t="s">
        <v>2579</v>
      </c>
      <c r="D1297" s="9" t="s">
        <v>139</v>
      </c>
      <c r="E1297" s="9" t="s">
        <v>2580</v>
      </c>
      <c r="F1297" s="9" t="s">
        <v>2581</v>
      </c>
      <c r="G1297" s="9" t="s">
        <v>8394</v>
      </c>
      <c r="H1297" s="9" t="s">
        <v>139</v>
      </c>
      <c r="I1297" s="9" t="s">
        <v>411</v>
      </c>
      <c r="J1297" s="9" t="s">
        <v>139</v>
      </c>
      <c r="K1297" s="10">
        <v>38242.817604166667</v>
      </c>
    </row>
    <row r="1298" spans="1:11" x14ac:dyDescent="0.25">
      <c r="A1298" s="8">
        <v>2252</v>
      </c>
      <c r="B1298" s="9" t="s">
        <v>5767</v>
      </c>
      <c r="C1298" s="9" t="s">
        <v>2582</v>
      </c>
      <c r="D1298" s="9" t="s">
        <v>139</v>
      </c>
      <c r="E1298" s="9" t="s">
        <v>1777</v>
      </c>
      <c r="F1298" s="9" t="s">
        <v>1778</v>
      </c>
      <c r="G1298" s="9" t="s">
        <v>142</v>
      </c>
      <c r="H1298" s="9" t="s">
        <v>139</v>
      </c>
      <c r="I1298" s="9" t="s">
        <v>411</v>
      </c>
      <c r="J1298" s="9" t="s">
        <v>2583</v>
      </c>
      <c r="K1298" s="10">
        <v>38242.833912037036</v>
      </c>
    </row>
    <row r="1299" spans="1:11" x14ac:dyDescent="0.25">
      <c r="A1299" s="8">
        <v>2253</v>
      </c>
      <c r="B1299" s="9" t="s">
        <v>5768</v>
      </c>
      <c r="C1299" s="9" t="s">
        <v>2584</v>
      </c>
      <c r="D1299" s="9" t="s">
        <v>139</v>
      </c>
      <c r="E1299" s="9" t="s">
        <v>2162</v>
      </c>
      <c r="F1299" s="9" t="s">
        <v>2163</v>
      </c>
      <c r="G1299" s="9" t="s">
        <v>1409</v>
      </c>
      <c r="H1299" s="9" t="s">
        <v>241</v>
      </c>
      <c r="I1299" s="9" t="s">
        <v>411</v>
      </c>
      <c r="J1299" s="9" t="s">
        <v>2585</v>
      </c>
      <c r="K1299" s="10">
        <v>38242.835046296299</v>
      </c>
    </row>
    <row r="1300" spans="1:11" x14ac:dyDescent="0.25">
      <c r="A1300" s="8">
        <v>2254</v>
      </c>
      <c r="B1300" s="9" t="s">
        <v>5769</v>
      </c>
      <c r="C1300" s="9" t="s">
        <v>139</v>
      </c>
      <c r="D1300" s="9" t="s">
        <v>139</v>
      </c>
      <c r="E1300" s="9">
        <v>75</v>
      </c>
      <c r="F1300" s="9" t="s">
        <v>413</v>
      </c>
      <c r="G1300" s="9" t="s">
        <v>142</v>
      </c>
      <c r="H1300" s="9" t="s">
        <v>139</v>
      </c>
      <c r="I1300" s="9" t="s">
        <v>411</v>
      </c>
      <c r="J1300" s="9" t="s">
        <v>139</v>
      </c>
      <c r="K1300" s="10">
        <v>38244.739942129629</v>
      </c>
    </row>
    <row r="1301" spans="1:11" x14ac:dyDescent="0.25">
      <c r="A1301" s="8">
        <v>2255</v>
      </c>
      <c r="B1301" s="9" t="s">
        <v>5770</v>
      </c>
      <c r="C1301" s="9" t="s">
        <v>2586</v>
      </c>
      <c r="D1301" s="9" t="s">
        <v>139</v>
      </c>
      <c r="E1301" s="9" t="s">
        <v>2587</v>
      </c>
      <c r="F1301" s="9" t="s">
        <v>2588</v>
      </c>
      <c r="G1301" s="9" t="s">
        <v>1004</v>
      </c>
      <c r="H1301" s="9" t="s">
        <v>139</v>
      </c>
      <c r="I1301" s="9" t="s">
        <v>411</v>
      </c>
      <c r="J1301" s="9" t="s">
        <v>139</v>
      </c>
      <c r="K1301" s="10">
        <v>38244.742604166669</v>
      </c>
    </row>
    <row r="1302" spans="1:11" x14ac:dyDescent="0.25">
      <c r="A1302" s="8">
        <v>2257</v>
      </c>
      <c r="B1302" s="9" t="s">
        <v>5771</v>
      </c>
      <c r="C1302" s="9" t="s">
        <v>2589</v>
      </c>
      <c r="D1302" s="9" t="s">
        <v>139</v>
      </c>
      <c r="E1302" s="9" t="s">
        <v>2590</v>
      </c>
      <c r="F1302" s="9" t="s">
        <v>2591</v>
      </c>
      <c r="G1302" s="9" t="s">
        <v>142</v>
      </c>
      <c r="H1302" s="9" t="s">
        <v>139</v>
      </c>
      <c r="I1302" s="9" t="s">
        <v>411</v>
      </c>
      <c r="J1302" s="9" t="s">
        <v>139</v>
      </c>
      <c r="K1302" s="10">
        <v>38244.748981481483</v>
      </c>
    </row>
    <row r="1303" spans="1:11" x14ac:dyDescent="0.25">
      <c r="A1303" s="8">
        <v>2259</v>
      </c>
      <c r="B1303" s="9" t="s">
        <v>5772</v>
      </c>
      <c r="C1303" s="9" t="s">
        <v>2592</v>
      </c>
      <c r="D1303" s="9" t="s">
        <v>139</v>
      </c>
      <c r="E1303" s="9" t="s">
        <v>145</v>
      </c>
      <c r="F1303" s="9" t="s">
        <v>141</v>
      </c>
      <c r="G1303" s="9" t="s">
        <v>142</v>
      </c>
      <c r="H1303" s="9" t="s">
        <v>241</v>
      </c>
      <c r="I1303" s="9" t="s">
        <v>411</v>
      </c>
      <c r="J1303" s="9" t="s">
        <v>139</v>
      </c>
      <c r="K1303" s="10">
        <v>38244.751979166664</v>
      </c>
    </row>
    <row r="1304" spans="1:11" x14ac:dyDescent="0.25">
      <c r="A1304" s="8">
        <v>2262</v>
      </c>
      <c r="B1304" s="9" t="s">
        <v>5773</v>
      </c>
      <c r="C1304" s="9" t="s">
        <v>2593</v>
      </c>
      <c r="D1304" s="9" t="s">
        <v>2594</v>
      </c>
      <c r="E1304" s="9" t="s">
        <v>1690</v>
      </c>
      <c r="F1304" s="9" t="s">
        <v>2595</v>
      </c>
      <c r="G1304" s="9" t="s">
        <v>142</v>
      </c>
      <c r="H1304" s="9" t="s">
        <v>139</v>
      </c>
      <c r="I1304" s="9" t="s">
        <v>411</v>
      </c>
      <c r="J1304" s="9" t="s">
        <v>2596</v>
      </c>
      <c r="K1304" s="10">
        <v>38244.758587962962</v>
      </c>
    </row>
    <row r="1305" spans="1:11" x14ac:dyDescent="0.25">
      <c r="A1305" s="8">
        <v>2264</v>
      </c>
      <c r="B1305" s="9" t="s">
        <v>9174</v>
      </c>
      <c r="C1305" s="9" t="s">
        <v>139</v>
      </c>
      <c r="D1305" s="9" t="s">
        <v>139</v>
      </c>
      <c r="E1305" s="9">
        <v>75</v>
      </c>
      <c r="F1305" s="9" t="s">
        <v>413</v>
      </c>
      <c r="G1305" s="9" t="s">
        <v>142</v>
      </c>
      <c r="H1305" s="9" t="s">
        <v>166</v>
      </c>
      <c r="I1305" s="9" t="s">
        <v>143</v>
      </c>
      <c r="J1305" s="9" t="s">
        <v>139</v>
      </c>
      <c r="K1305" s="10">
        <v>38244.780763888892</v>
      </c>
    </row>
    <row r="1306" spans="1:11" x14ac:dyDescent="0.25">
      <c r="A1306" s="8">
        <v>2265</v>
      </c>
      <c r="B1306" s="9" t="s">
        <v>9175</v>
      </c>
      <c r="C1306" s="9" t="s">
        <v>2597</v>
      </c>
      <c r="D1306" s="9" t="s">
        <v>139</v>
      </c>
      <c r="E1306" s="9" t="s">
        <v>161</v>
      </c>
      <c r="F1306" s="9" t="s">
        <v>9304</v>
      </c>
      <c r="G1306" s="9" t="s">
        <v>142</v>
      </c>
      <c r="H1306" s="9" t="s">
        <v>139</v>
      </c>
      <c r="I1306" s="9" t="s">
        <v>143</v>
      </c>
      <c r="J1306" s="9" t="s">
        <v>139</v>
      </c>
      <c r="K1306" s="10">
        <v>38245.496041666665</v>
      </c>
    </row>
    <row r="1307" spans="1:11" x14ac:dyDescent="0.25">
      <c r="A1307" s="8">
        <v>2266</v>
      </c>
      <c r="B1307" s="9" t="s">
        <v>5774</v>
      </c>
      <c r="C1307" s="9" t="s">
        <v>2598</v>
      </c>
      <c r="D1307" s="9" t="s">
        <v>139</v>
      </c>
      <c r="E1307" s="9" t="s">
        <v>2113</v>
      </c>
      <c r="F1307" s="9" t="s">
        <v>2599</v>
      </c>
      <c r="G1307" s="9" t="s">
        <v>142</v>
      </c>
      <c r="H1307" s="9" t="s">
        <v>139</v>
      </c>
      <c r="I1307" s="9" t="s">
        <v>411</v>
      </c>
      <c r="J1307" s="9" t="s">
        <v>2600</v>
      </c>
      <c r="K1307" s="10">
        <v>38245.535046296296</v>
      </c>
    </row>
    <row r="1308" spans="1:11" x14ac:dyDescent="0.25">
      <c r="A1308" s="8">
        <v>2267</v>
      </c>
      <c r="B1308" s="9" t="s">
        <v>9176</v>
      </c>
      <c r="C1308" s="9" t="s">
        <v>2601</v>
      </c>
      <c r="D1308" s="9" t="s">
        <v>139</v>
      </c>
      <c r="E1308" s="9" t="s">
        <v>381</v>
      </c>
      <c r="F1308" s="9" t="s">
        <v>382</v>
      </c>
      <c r="G1308" s="9" t="s">
        <v>142</v>
      </c>
      <c r="H1308" s="9" t="s">
        <v>139</v>
      </c>
      <c r="I1308" s="9" t="s">
        <v>143</v>
      </c>
      <c r="J1308" s="9" t="s">
        <v>139</v>
      </c>
      <c r="K1308" s="10">
        <v>38245.732581018521</v>
      </c>
    </row>
    <row r="1309" spans="1:11" x14ac:dyDescent="0.25">
      <c r="A1309" s="8">
        <v>2268</v>
      </c>
      <c r="B1309" s="9" t="s">
        <v>9177</v>
      </c>
      <c r="C1309" s="9" t="s">
        <v>2602</v>
      </c>
      <c r="D1309" s="9" t="s">
        <v>139</v>
      </c>
      <c r="E1309" s="9" t="s">
        <v>229</v>
      </c>
      <c r="F1309" s="9" t="s">
        <v>141</v>
      </c>
      <c r="G1309" s="9" t="s">
        <v>142</v>
      </c>
      <c r="H1309" s="9" t="s">
        <v>166</v>
      </c>
      <c r="I1309" s="9" t="s">
        <v>143</v>
      </c>
      <c r="J1309" s="9" t="s">
        <v>139</v>
      </c>
      <c r="K1309" s="10">
        <v>38248.70684027778</v>
      </c>
    </row>
    <row r="1310" spans="1:11" x14ac:dyDescent="0.25">
      <c r="A1310" s="8">
        <v>2269</v>
      </c>
      <c r="B1310" s="9" t="s">
        <v>5775</v>
      </c>
      <c r="C1310" s="9" t="s">
        <v>139</v>
      </c>
      <c r="D1310" s="9" t="s">
        <v>139</v>
      </c>
      <c r="E1310" s="9">
        <v>75</v>
      </c>
      <c r="F1310" s="9" t="s">
        <v>413</v>
      </c>
      <c r="G1310" s="9" t="s">
        <v>142</v>
      </c>
      <c r="H1310" s="9" t="s">
        <v>139</v>
      </c>
      <c r="I1310" s="9" t="s">
        <v>411</v>
      </c>
      <c r="J1310" s="9" t="s">
        <v>139</v>
      </c>
      <c r="K1310" s="10">
        <v>38253.754675925928</v>
      </c>
    </row>
    <row r="1311" spans="1:11" x14ac:dyDescent="0.25">
      <c r="A1311" s="8">
        <v>2270</v>
      </c>
      <c r="B1311" s="9" t="s">
        <v>9178</v>
      </c>
      <c r="C1311" s="9" t="s">
        <v>139</v>
      </c>
      <c r="D1311" s="9" t="s">
        <v>139</v>
      </c>
      <c r="E1311" s="9">
        <v>75</v>
      </c>
      <c r="F1311" s="9" t="s">
        <v>413</v>
      </c>
      <c r="G1311" s="9" t="s">
        <v>142</v>
      </c>
      <c r="H1311" s="9" t="s">
        <v>166</v>
      </c>
      <c r="I1311" s="9" t="s">
        <v>143</v>
      </c>
      <c r="J1311" s="9" t="s">
        <v>139</v>
      </c>
      <c r="K1311" s="10">
        <v>38255.606099537035</v>
      </c>
    </row>
    <row r="1312" spans="1:11" x14ac:dyDescent="0.25">
      <c r="A1312" s="8">
        <v>2271</v>
      </c>
      <c r="B1312" s="9" t="s">
        <v>9179</v>
      </c>
      <c r="C1312" s="9" t="s">
        <v>2603</v>
      </c>
      <c r="D1312" s="9" t="s">
        <v>139</v>
      </c>
      <c r="E1312" s="9" t="s">
        <v>328</v>
      </c>
      <c r="F1312" s="9" t="s">
        <v>413</v>
      </c>
      <c r="G1312" s="9" t="s">
        <v>142</v>
      </c>
      <c r="H1312" s="9" t="s">
        <v>241</v>
      </c>
      <c r="I1312" s="9" t="s">
        <v>143</v>
      </c>
      <c r="J1312" s="9" t="s">
        <v>139</v>
      </c>
      <c r="K1312" s="10">
        <v>38257.631157407406</v>
      </c>
    </row>
    <row r="1313" spans="1:11" x14ac:dyDescent="0.25">
      <c r="A1313" s="8">
        <v>2274</v>
      </c>
      <c r="B1313" s="9" t="s">
        <v>9180</v>
      </c>
      <c r="C1313" s="9" t="s">
        <v>139</v>
      </c>
      <c r="D1313" s="9" t="s">
        <v>139</v>
      </c>
      <c r="E1313" s="9">
        <v>75</v>
      </c>
      <c r="F1313" s="9" t="s">
        <v>413</v>
      </c>
      <c r="G1313" s="9" t="s">
        <v>142</v>
      </c>
      <c r="H1313" s="9" t="s">
        <v>139</v>
      </c>
      <c r="I1313" s="9" t="s">
        <v>143</v>
      </c>
      <c r="J1313" s="9" t="s">
        <v>139</v>
      </c>
      <c r="K1313" s="10">
        <v>38265.908472222225</v>
      </c>
    </row>
    <row r="1314" spans="1:11" x14ac:dyDescent="0.25">
      <c r="A1314" s="8">
        <v>2275</v>
      </c>
      <c r="B1314" s="9" t="s">
        <v>8423</v>
      </c>
      <c r="C1314" s="9" t="s">
        <v>2604</v>
      </c>
      <c r="D1314" s="9" t="s">
        <v>139</v>
      </c>
      <c r="E1314" s="9" t="s">
        <v>140</v>
      </c>
      <c r="F1314" s="9" t="s">
        <v>413</v>
      </c>
      <c r="G1314" s="9" t="s">
        <v>142</v>
      </c>
      <c r="H1314" s="9" t="s">
        <v>166</v>
      </c>
      <c r="I1314" s="9" t="s">
        <v>617</v>
      </c>
      <c r="J1314" s="9" t="s">
        <v>139</v>
      </c>
      <c r="K1314" s="10">
        <v>38267.506365740737</v>
      </c>
    </row>
    <row r="1315" spans="1:11" x14ac:dyDescent="0.25">
      <c r="A1315" s="8">
        <v>2276</v>
      </c>
      <c r="B1315" s="9" t="s">
        <v>5776</v>
      </c>
      <c r="C1315" s="9" t="s">
        <v>2605</v>
      </c>
      <c r="D1315" s="9" t="s">
        <v>139</v>
      </c>
      <c r="E1315" s="9" t="s">
        <v>154</v>
      </c>
      <c r="F1315" s="9" t="s">
        <v>155</v>
      </c>
      <c r="G1315" s="9" t="s">
        <v>142</v>
      </c>
      <c r="H1315" s="9" t="s">
        <v>166</v>
      </c>
      <c r="I1315" s="9" t="s">
        <v>411</v>
      </c>
      <c r="J1315" s="9" t="s">
        <v>139</v>
      </c>
      <c r="K1315" s="10">
        <v>38267.584745370368</v>
      </c>
    </row>
    <row r="1316" spans="1:11" x14ac:dyDescent="0.25">
      <c r="A1316" s="8">
        <v>2277</v>
      </c>
      <c r="B1316" s="9" t="s">
        <v>5777</v>
      </c>
      <c r="C1316" s="9" t="s">
        <v>2606</v>
      </c>
      <c r="D1316" s="9" t="s">
        <v>139</v>
      </c>
      <c r="E1316" s="9" t="s">
        <v>2607</v>
      </c>
      <c r="F1316" s="9" t="s">
        <v>2608</v>
      </c>
      <c r="G1316" s="9" t="s">
        <v>142</v>
      </c>
      <c r="H1316" s="9" t="s">
        <v>139</v>
      </c>
      <c r="I1316" s="9" t="s">
        <v>411</v>
      </c>
      <c r="J1316" s="9" t="s">
        <v>139</v>
      </c>
      <c r="K1316" s="10">
        <v>38268.628101851849</v>
      </c>
    </row>
    <row r="1317" spans="1:11" x14ac:dyDescent="0.25">
      <c r="A1317" s="8">
        <v>2281</v>
      </c>
      <c r="B1317" s="9" t="s">
        <v>5778</v>
      </c>
      <c r="C1317" s="9" t="s">
        <v>2609</v>
      </c>
      <c r="D1317" s="9" t="s">
        <v>139</v>
      </c>
      <c r="E1317" s="9" t="s">
        <v>2610</v>
      </c>
      <c r="F1317" s="9" t="s">
        <v>2611</v>
      </c>
      <c r="G1317" s="9" t="s">
        <v>142</v>
      </c>
      <c r="H1317" s="9" t="s">
        <v>139</v>
      </c>
      <c r="I1317" s="9" t="s">
        <v>411</v>
      </c>
      <c r="J1317" s="9" t="s">
        <v>2612</v>
      </c>
      <c r="K1317" s="10">
        <v>38276.831793981481</v>
      </c>
    </row>
    <row r="1318" spans="1:11" x14ac:dyDescent="0.25">
      <c r="A1318" s="8">
        <v>2282</v>
      </c>
      <c r="B1318" s="9" t="s">
        <v>5779</v>
      </c>
      <c r="C1318" s="9" t="s">
        <v>2613</v>
      </c>
      <c r="D1318" s="9" t="s">
        <v>139</v>
      </c>
      <c r="E1318" s="9" t="s">
        <v>2614</v>
      </c>
      <c r="F1318" s="9" t="s">
        <v>2615</v>
      </c>
      <c r="G1318" s="9" t="s">
        <v>142</v>
      </c>
      <c r="H1318" s="9" t="s">
        <v>139</v>
      </c>
      <c r="I1318" s="9" t="s">
        <v>411</v>
      </c>
      <c r="J1318" s="9" t="s">
        <v>139</v>
      </c>
      <c r="K1318" s="10">
        <v>38286.476319444446</v>
      </c>
    </row>
    <row r="1319" spans="1:11" x14ac:dyDescent="0.25">
      <c r="A1319" s="8">
        <v>2285</v>
      </c>
      <c r="B1319" s="9" t="s">
        <v>5780</v>
      </c>
      <c r="C1319" s="9" t="s">
        <v>2616</v>
      </c>
      <c r="D1319" s="9" t="s">
        <v>139</v>
      </c>
      <c r="E1319" s="9" t="s">
        <v>2617</v>
      </c>
      <c r="F1319" s="9" t="s">
        <v>2618</v>
      </c>
      <c r="G1319" s="9" t="s">
        <v>142</v>
      </c>
      <c r="H1319" s="9" t="s">
        <v>166</v>
      </c>
      <c r="I1319" s="9" t="s">
        <v>411</v>
      </c>
      <c r="J1319" s="9" t="s">
        <v>2619</v>
      </c>
      <c r="K1319" s="10">
        <v>38301.59814814815</v>
      </c>
    </row>
    <row r="1320" spans="1:11" x14ac:dyDescent="0.25">
      <c r="A1320" s="8">
        <v>2288</v>
      </c>
      <c r="B1320" s="9" t="s">
        <v>9181</v>
      </c>
      <c r="C1320" s="9" t="s">
        <v>2620</v>
      </c>
      <c r="D1320" s="9" t="s">
        <v>139</v>
      </c>
      <c r="E1320" s="9" t="s">
        <v>581</v>
      </c>
      <c r="F1320" s="9" t="s">
        <v>831</v>
      </c>
      <c r="G1320" s="9" t="s">
        <v>142</v>
      </c>
      <c r="H1320" s="9" t="s">
        <v>166</v>
      </c>
      <c r="I1320" s="9" t="s">
        <v>143</v>
      </c>
      <c r="J1320" s="9" t="s">
        <v>139</v>
      </c>
      <c r="K1320" s="10">
        <v>38307.769317129627</v>
      </c>
    </row>
    <row r="1321" spans="1:11" x14ac:dyDescent="0.25">
      <c r="A1321" s="8">
        <v>2289</v>
      </c>
      <c r="B1321" s="9" t="s">
        <v>5781</v>
      </c>
      <c r="C1321" s="9" t="s">
        <v>2621</v>
      </c>
      <c r="D1321" s="9" t="s">
        <v>139</v>
      </c>
      <c r="E1321" s="9" t="s">
        <v>2622</v>
      </c>
      <c r="F1321" s="9" t="s">
        <v>2623</v>
      </c>
      <c r="G1321" s="9" t="s">
        <v>882</v>
      </c>
      <c r="H1321" s="9" t="s">
        <v>166</v>
      </c>
      <c r="I1321" s="9" t="s">
        <v>411</v>
      </c>
      <c r="J1321" s="9" t="s">
        <v>2624</v>
      </c>
      <c r="K1321" s="10">
        <v>38310.78565972222</v>
      </c>
    </row>
    <row r="1322" spans="1:11" x14ac:dyDescent="0.25">
      <c r="A1322" s="8">
        <v>2290</v>
      </c>
      <c r="B1322" s="9" t="s">
        <v>5782</v>
      </c>
      <c r="C1322" s="9" t="s">
        <v>2625</v>
      </c>
      <c r="D1322" s="9" t="s">
        <v>139</v>
      </c>
      <c r="E1322" s="9" t="s">
        <v>2626</v>
      </c>
      <c r="F1322" s="9" t="s">
        <v>2627</v>
      </c>
      <c r="G1322" s="9" t="s">
        <v>142</v>
      </c>
      <c r="H1322" s="9" t="s">
        <v>166</v>
      </c>
      <c r="I1322" s="9" t="s">
        <v>411</v>
      </c>
      <c r="J1322" s="9" t="s">
        <v>139</v>
      </c>
      <c r="K1322" s="10">
        <v>38311.652013888888</v>
      </c>
    </row>
    <row r="1323" spans="1:11" x14ac:dyDescent="0.25">
      <c r="A1323" s="8">
        <v>2293</v>
      </c>
      <c r="B1323" s="9" t="s">
        <v>5783</v>
      </c>
      <c r="C1323" s="9" t="s">
        <v>2628</v>
      </c>
      <c r="D1323" s="9" t="s">
        <v>139</v>
      </c>
      <c r="E1323" s="9" t="s">
        <v>328</v>
      </c>
      <c r="F1323" s="9" t="s">
        <v>141</v>
      </c>
      <c r="G1323" s="9" t="s">
        <v>142</v>
      </c>
      <c r="H1323" s="9" t="s">
        <v>166</v>
      </c>
      <c r="I1323" s="9" t="s">
        <v>411</v>
      </c>
      <c r="J1323" s="9" t="s">
        <v>139</v>
      </c>
      <c r="K1323" s="10">
        <v>38314.585057870368</v>
      </c>
    </row>
    <row r="1324" spans="1:11" x14ac:dyDescent="0.25">
      <c r="A1324" s="8">
        <v>2295</v>
      </c>
      <c r="B1324" s="9" t="s">
        <v>9182</v>
      </c>
      <c r="C1324" s="9" t="s">
        <v>139</v>
      </c>
      <c r="D1324" s="9" t="s">
        <v>139</v>
      </c>
      <c r="E1324" s="9">
        <v>75</v>
      </c>
      <c r="F1324" s="9" t="s">
        <v>413</v>
      </c>
      <c r="G1324" s="9" t="s">
        <v>142</v>
      </c>
      <c r="H1324" s="9" t="s">
        <v>241</v>
      </c>
      <c r="I1324" s="9" t="s">
        <v>143</v>
      </c>
      <c r="J1324" s="9" t="s">
        <v>139</v>
      </c>
      <c r="K1324" s="10">
        <v>38315.58792824074</v>
      </c>
    </row>
    <row r="1325" spans="1:11" x14ac:dyDescent="0.25">
      <c r="A1325" s="8">
        <v>2296</v>
      </c>
      <c r="B1325" s="9" t="s">
        <v>9183</v>
      </c>
      <c r="C1325" s="9" t="s">
        <v>2629</v>
      </c>
      <c r="D1325" s="9" t="s">
        <v>139</v>
      </c>
      <c r="E1325" s="9" t="s">
        <v>267</v>
      </c>
      <c r="F1325" s="9" t="s">
        <v>141</v>
      </c>
      <c r="G1325" s="9" t="s">
        <v>142</v>
      </c>
      <c r="H1325" s="9" t="s">
        <v>241</v>
      </c>
      <c r="I1325" s="9" t="s">
        <v>143</v>
      </c>
      <c r="J1325" s="9" t="s">
        <v>139</v>
      </c>
      <c r="K1325" s="10">
        <v>38318.646747685183</v>
      </c>
    </row>
    <row r="1326" spans="1:11" x14ac:dyDescent="0.25">
      <c r="A1326" s="8">
        <v>2300</v>
      </c>
      <c r="B1326" s="9" t="s">
        <v>9184</v>
      </c>
      <c r="C1326" s="9" t="s">
        <v>139</v>
      </c>
      <c r="D1326" s="9" t="s">
        <v>139</v>
      </c>
      <c r="E1326" s="9">
        <v>75</v>
      </c>
      <c r="F1326" s="9" t="s">
        <v>413</v>
      </c>
      <c r="G1326" s="9" t="s">
        <v>142</v>
      </c>
      <c r="H1326" s="9" t="s">
        <v>166</v>
      </c>
      <c r="I1326" s="9" t="s">
        <v>143</v>
      </c>
      <c r="J1326" s="9" t="s">
        <v>139</v>
      </c>
      <c r="K1326" s="10">
        <v>38338.569224537037</v>
      </c>
    </row>
    <row r="1327" spans="1:11" x14ac:dyDescent="0.25">
      <c r="A1327" s="8">
        <v>2302</v>
      </c>
      <c r="B1327" s="9" t="s">
        <v>9185</v>
      </c>
      <c r="C1327" s="9" t="s">
        <v>2630</v>
      </c>
      <c r="D1327" s="9" t="s">
        <v>139</v>
      </c>
      <c r="E1327" s="9" t="s">
        <v>229</v>
      </c>
      <c r="F1327" s="9" t="s">
        <v>141</v>
      </c>
      <c r="G1327" s="9" t="s">
        <v>142</v>
      </c>
      <c r="H1327" s="9" t="s">
        <v>166</v>
      </c>
      <c r="I1327" s="9" t="s">
        <v>143</v>
      </c>
      <c r="J1327" s="9" t="s">
        <v>139</v>
      </c>
      <c r="K1327" s="10">
        <v>38342.728159722225</v>
      </c>
    </row>
    <row r="1328" spans="1:11" x14ac:dyDescent="0.25">
      <c r="A1328" s="8">
        <v>2303</v>
      </c>
      <c r="B1328" s="9" t="s">
        <v>5784</v>
      </c>
      <c r="C1328" s="9" t="s">
        <v>2631</v>
      </c>
      <c r="D1328" s="9" t="s">
        <v>139</v>
      </c>
      <c r="E1328" s="9" t="s">
        <v>267</v>
      </c>
      <c r="F1328" s="9" t="s">
        <v>141</v>
      </c>
      <c r="G1328" s="9" t="s">
        <v>142</v>
      </c>
      <c r="H1328" s="9" t="s">
        <v>139</v>
      </c>
      <c r="I1328" s="9" t="s">
        <v>411</v>
      </c>
      <c r="J1328" s="9" t="s">
        <v>139</v>
      </c>
      <c r="K1328" s="10">
        <v>38352.834305555552</v>
      </c>
    </row>
    <row r="1329" spans="1:11" x14ac:dyDescent="0.25">
      <c r="A1329" s="8">
        <v>2305</v>
      </c>
      <c r="B1329" s="9" t="s">
        <v>5785</v>
      </c>
      <c r="C1329" s="9" t="s">
        <v>2632</v>
      </c>
      <c r="D1329" s="9" t="s">
        <v>139</v>
      </c>
      <c r="E1329" s="9" t="s">
        <v>1640</v>
      </c>
      <c r="F1329" s="9" t="s">
        <v>2633</v>
      </c>
      <c r="G1329" s="9" t="s">
        <v>142</v>
      </c>
      <c r="H1329" s="9" t="s">
        <v>139</v>
      </c>
      <c r="I1329" s="9" t="s">
        <v>411</v>
      </c>
      <c r="J1329" s="9" t="s">
        <v>139</v>
      </c>
      <c r="K1329" s="10">
        <v>38358.70652777778</v>
      </c>
    </row>
    <row r="1330" spans="1:11" x14ac:dyDescent="0.25">
      <c r="A1330" s="8">
        <v>2308</v>
      </c>
      <c r="B1330" s="9" t="s">
        <v>9186</v>
      </c>
      <c r="C1330" s="9" t="s">
        <v>2634</v>
      </c>
      <c r="D1330" s="9" t="s">
        <v>139</v>
      </c>
      <c r="E1330" s="9" t="s">
        <v>263</v>
      </c>
      <c r="F1330" s="9" t="s">
        <v>141</v>
      </c>
      <c r="G1330" s="9" t="s">
        <v>142</v>
      </c>
      <c r="H1330" s="9" t="s">
        <v>139</v>
      </c>
      <c r="I1330" s="9" t="s">
        <v>143</v>
      </c>
      <c r="J1330" s="9" t="s">
        <v>139</v>
      </c>
      <c r="K1330" s="10">
        <v>38360.689432870371</v>
      </c>
    </row>
    <row r="1331" spans="1:11" x14ac:dyDescent="0.25">
      <c r="A1331" s="8">
        <v>2309</v>
      </c>
      <c r="B1331" s="9" t="s">
        <v>9187</v>
      </c>
      <c r="C1331" s="9" t="s">
        <v>2635</v>
      </c>
      <c r="D1331" s="9" t="s">
        <v>2636</v>
      </c>
      <c r="E1331" s="9" t="s">
        <v>2637</v>
      </c>
      <c r="F1331" s="9" t="s">
        <v>2638</v>
      </c>
      <c r="G1331" s="9" t="s">
        <v>142</v>
      </c>
      <c r="H1331" s="9" t="s">
        <v>241</v>
      </c>
      <c r="I1331" s="9" t="s">
        <v>143</v>
      </c>
      <c r="J1331" s="9" t="s">
        <v>139</v>
      </c>
      <c r="K1331" s="10">
        <v>38362.513009259259</v>
      </c>
    </row>
    <row r="1332" spans="1:11" x14ac:dyDescent="0.25">
      <c r="A1332" s="8">
        <v>2310</v>
      </c>
      <c r="B1332" s="9" t="s">
        <v>9188</v>
      </c>
      <c r="C1332" s="9" t="s">
        <v>2639</v>
      </c>
      <c r="D1332" s="9" t="s">
        <v>139</v>
      </c>
      <c r="E1332" s="9" t="s">
        <v>229</v>
      </c>
      <c r="F1332" s="9" t="s">
        <v>141</v>
      </c>
      <c r="G1332" s="9" t="s">
        <v>142</v>
      </c>
      <c r="H1332" s="9" t="s">
        <v>166</v>
      </c>
      <c r="I1332" s="9" t="s">
        <v>143</v>
      </c>
      <c r="J1332" s="9" t="s">
        <v>139</v>
      </c>
      <c r="K1332" s="10">
        <v>38373.383923611109</v>
      </c>
    </row>
    <row r="1333" spans="1:11" x14ac:dyDescent="0.25">
      <c r="A1333" s="8">
        <v>2311</v>
      </c>
      <c r="B1333" s="9" t="s">
        <v>5786</v>
      </c>
      <c r="C1333" s="9" t="s">
        <v>2640</v>
      </c>
      <c r="D1333" s="9" t="s">
        <v>139</v>
      </c>
      <c r="E1333" s="9" t="s">
        <v>308</v>
      </c>
      <c r="F1333" s="9" t="s">
        <v>413</v>
      </c>
      <c r="G1333" s="9" t="s">
        <v>142</v>
      </c>
      <c r="H1333" s="9" t="s">
        <v>139</v>
      </c>
      <c r="I1333" s="9" t="s">
        <v>411</v>
      </c>
      <c r="J1333" s="9" t="s">
        <v>2641</v>
      </c>
      <c r="K1333" s="10">
        <v>38380.906458333331</v>
      </c>
    </row>
    <row r="1334" spans="1:11" x14ac:dyDescent="0.25">
      <c r="A1334" s="8">
        <v>2313</v>
      </c>
      <c r="B1334" s="9" t="s">
        <v>5787</v>
      </c>
      <c r="C1334" s="9" t="s">
        <v>2642</v>
      </c>
      <c r="D1334" s="9" t="s">
        <v>139</v>
      </c>
      <c r="E1334" s="9" t="s">
        <v>2643</v>
      </c>
      <c r="F1334" s="9" t="s">
        <v>2644</v>
      </c>
      <c r="G1334" s="9" t="s">
        <v>873</v>
      </c>
      <c r="H1334" s="9" t="s">
        <v>139</v>
      </c>
      <c r="I1334" s="9" t="s">
        <v>411</v>
      </c>
      <c r="J1334" s="9" t="s">
        <v>139</v>
      </c>
      <c r="K1334" s="10">
        <v>38380.909849537034</v>
      </c>
    </row>
    <row r="1335" spans="1:11" x14ac:dyDescent="0.25">
      <c r="A1335" s="8">
        <v>2315</v>
      </c>
      <c r="B1335" s="9" t="s">
        <v>5788</v>
      </c>
      <c r="C1335" s="9" t="s">
        <v>2645</v>
      </c>
      <c r="D1335" s="9" t="s">
        <v>2646</v>
      </c>
      <c r="E1335" s="9" t="s">
        <v>2647</v>
      </c>
      <c r="F1335" s="9" t="s">
        <v>2648</v>
      </c>
      <c r="G1335" s="9" t="s">
        <v>142</v>
      </c>
      <c r="H1335" s="9" t="s">
        <v>241</v>
      </c>
      <c r="I1335" s="9" t="s">
        <v>411</v>
      </c>
      <c r="J1335" s="9" t="s">
        <v>2651</v>
      </c>
      <c r="K1335" s="10">
        <v>38381.857071759259</v>
      </c>
    </row>
    <row r="1336" spans="1:11" x14ac:dyDescent="0.25">
      <c r="A1336" s="8">
        <v>2316</v>
      </c>
      <c r="B1336" s="9" t="s">
        <v>5789</v>
      </c>
      <c r="C1336" s="9" t="s">
        <v>2652</v>
      </c>
      <c r="D1336" s="9" t="s">
        <v>2646</v>
      </c>
      <c r="E1336" s="9" t="s">
        <v>2647</v>
      </c>
      <c r="F1336" s="9" t="s">
        <v>2648</v>
      </c>
      <c r="G1336" s="9" t="s">
        <v>142</v>
      </c>
      <c r="H1336" s="9" t="s">
        <v>241</v>
      </c>
      <c r="I1336" s="9" t="s">
        <v>411</v>
      </c>
      <c r="J1336" s="9" t="s">
        <v>2653</v>
      </c>
      <c r="K1336" s="10">
        <v>38381.874976851854</v>
      </c>
    </row>
    <row r="1337" spans="1:11" x14ac:dyDescent="0.25">
      <c r="A1337" s="8">
        <v>2317</v>
      </c>
      <c r="B1337" s="9" t="s">
        <v>5790</v>
      </c>
      <c r="C1337" s="9" t="s">
        <v>2654</v>
      </c>
      <c r="D1337" s="9" t="s">
        <v>139</v>
      </c>
      <c r="E1337" s="9" t="s">
        <v>934</v>
      </c>
      <c r="F1337" s="9" t="s">
        <v>935</v>
      </c>
      <c r="G1337" s="9" t="s">
        <v>142</v>
      </c>
      <c r="H1337" s="9" t="s">
        <v>166</v>
      </c>
      <c r="I1337" s="9" t="s">
        <v>411</v>
      </c>
      <c r="J1337" s="9" t="s">
        <v>139</v>
      </c>
      <c r="K1337" s="10">
        <v>38385.561192129629</v>
      </c>
    </row>
    <row r="1338" spans="1:11" x14ac:dyDescent="0.25">
      <c r="A1338" s="8">
        <v>2318</v>
      </c>
      <c r="B1338" s="9" t="s">
        <v>5791</v>
      </c>
      <c r="C1338" s="9" t="s">
        <v>2655</v>
      </c>
      <c r="D1338" s="9" t="s">
        <v>139</v>
      </c>
      <c r="E1338" s="9" t="s">
        <v>2656</v>
      </c>
      <c r="F1338" s="9" t="s">
        <v>2657</v>
      </c>
      <c r="G1338" s="9" t="s">
        <v>142</v>
      </c>
      <c r="H1338" s="9" t="s">
        <v>139</v>
      </c>
      <c r="I1338" s="9" t="s">
        <v>411</v>
      </c>
      <c r="J1338" s="9" t="s">
        <v>2658</v>
      </c>
      <c r="K1338" s="10">
        <v>38385.568113425928</v>
      </c>
    </row>
    <row r="1339" spans="1:11" x14ac:dyDescent="0.25">
      <c r="A1339" s="8">
        <v>2319</v>
      </c>
      <c r="B1339" s="9" t="s">
        <v>5792</v>
      </c>
      <c r="C1339" s="9" t="s">
        <v>2659</v>
      </c>
      <c r="D1339" s="9" t="s">
        <v>139</v>
      </c>
      <c r="E1339" s="9" t="s">
        <v>1886</v>
      </c>
      <c r="F1339" s="9" t="s">
        <v>2660</v>
      </c>
      <c r="G1339" s="9" t="s">
        <v>142</v>
      </c>
      <c r="H1339" s="9" t="s">
        <v>241</v>
      </c>
      <c r="I1339" s="9" t="s">
        <v>411</v>
      </c>
      <c r="J1339" s="9" t="s">
        <v>2661</v>
      </c>
      <c r="K1339" s="10">
        <v>38385.571574074071</v>
      </c>
    </row>
    <row r="1340" spans="1:11" x14ac:dyDescent="0.25">
      <c r="A1340" s="8">
        <v>2320</v>
      </c>
      <c r="B1340" s="9" t="s">
        <v>5793</v>
      </c>
      <c r="C1340" s="9" t="s">
        <v>2662</v>
      </c>
      <c r="D1340" s="9" t="s">
        <v>139</v>
      </c>
      <c r="E1340" s="9" t="s">
        <v>2663</v>
      </c>
      <c r="F1340" s="9" t="s">
        <v>2664</v>
      </c>
      <c r="G1340" s="9" t="s">
        <v>621</v>
      </c>
      <c r="H1340" s="9" t="s">
        <v>166</v>
      </c>
      <c r="I1340" s="9" t="s">
        <v>411</v>
      </c>
      <c r="J1340" s="9" t="s">
        <v>2665</v>
      </c>
      <c r="K1340" s="10">
        <v>38385.577916666669</v>
      </c>
    </row>
    <row r="1341" spans="1:11" x14ac:dyDescent="0.25">
      <c r="A1341" s="8">
        <v>2322</v>
      </c>
      <c r="B1341" s="9" t="s">
        <v>5794</v>
      </c>
      <c r="C1341" s="9" t="s">
        <v>2666</v>
      </c>
      <c r="D1341" s="9" t="s">
        <v>139</v>
      </c>
      <c r="E1341" s="9" t="s">
        <v>2667</v>
      </c>
      <c r="F1341" s="9" t="s">
        <v>2668</v>
      </c>
      <c r="G1341" s="9" t="s">
        <v>142</v>
      </c>
      <c r="H1341" s="9" t="s">
        <v>241</v>
      </c>
      <c r="I1341" s="9" t="s">
        <v>411</v>
      </c>
      <c r="J1341" s="9" t="s">
        <v>139</v>
      </c>
      <c r="K1341" s="10">
        <v>38387.535405092596</v>
      </c>
    </row>
    <row r="1342" spans="1:11" x14ac:dyDescent="0.25">
      <c r="A1342" s="8">
        <v>2323</v>
      </c>
      <c r="B1342" s="9" t="s">
        <v>5795</v>
      </c>
      <c r="C1342" s="9" t="s">
        <v>2669</v>
      </c>
      <c r="D1342" s="9" t="s">
        <v>139</v>
      </c>
      <c r="E1342" s="9" t="s">
        <v>140</v>
      </c>
      <c r="F1342" s="9" t="s">
        <v>141</v>
      </c>
      <c r="G1342" s="9" t="s">
        <v>142</v>
      </c>
      <c r="H1342" s="9" t="s">
        <v>139</v>
      </c>
      <c r="I1342" s="9" t="s">
        <v>411</v>
      </c>
      <c r="J1342" s="9" t="s">
        <v>139</v>
      </c>
      <c r="K1342" s="10">
        <v>38387.780740740738</v>
      </c>
    </row>
    <row r="1343" spans="1:11" x14ac:dyDescent="0.25">
      <c r="A1343" s="8">
        <v>2325</v>
      </c>
      <c r="B1343" s="9" t="s">
        <v>9189</v>
      </c>
      <c r="C1343" s="9" t="s">
        <v>2670</v>
      </c>
      <c r="D1343" s="9" t="s">
        <v>139</v>
      </c>
      <c r="E1343" s="9" t="s">
        <v>2671</v>
      </c>
      <c r="F1343" s="9" t="s">
        <v>2672</v>
      </c>
      <c r="G1343" s="9" t="s">
        <v>1004</v>
      </c>
      <c r="H1343" s="9" t="s">
        <v>139</v>
      </c>
      <c r="I1343" s="9" t="s">
        <v>143</v>
      </c>
      <c r="J1343" s="9" t="s">
        <v>139</v>
      </c>
      <c r="K1343" s="10">
        <v>38388.776099537034</v>
      </c>
    </row>
    <row r="1344" spans="1:11" x14ac:dyDescent="0.25">
      <c r="A1344" s="8">
        <v>2326</v>
      </c>
      <c r="B1344" s="9" t="s">
        <v>5796</v>
      </c>
      <c r="C1344" s="9" t="s">
        <v>2673</v>
      </c>
      <c r="D1344" s="9" t="s">
        <v>139</v>
      </c>
      <c r="E1344" s="9" t="s">
        <v>2674</v>
      </c>
      <c r="F1344" s="9" t="s">
        <v>2675</v>
      </c>
      <c r="G1344" s="9" t="s">
        <v>142</v>
      </c>
      <c r="H1344" s="9" t="s">
        <v>139</v>
      </c>
      <c r="I1344" s="9" t="s">
        <v>411</v>
      </c>
      <c r="J1344" s="9" t="s">
        <v>2676</v>
      </c>
      <c r="K1344" s="10">
        <v>38389.471898148149</v>
      </c>
    </row>
    <row r="1345" spans="1:11" x14ac:dyDescent="0.25">
      <c r="A1345" s="8">
        <v>2328</v>
      </c>
      <c r="B1345" s="9" t="s">
        <v>5797</v>
      </c>
      <c r="C1345" s="9" t="s">
        <v>2677</v>
      </c>
      <c r="D1345" s="9" t="s">
        <v>139</v>
      </c>
      <c r="E1345" s="9" t="s">
        <v>2678</v>
      </c>
      <c r="F1345" s="9" t="s">
        <v>2679</v>
      </c>
      <c r="G1345" s="9" t="s">
        <v>142</v>
      </c>
      <c r="H1345" s="9" t="s">
        <v>139</v>
      </c>
      <c r="I1345" s="9" t="s">
        <v>411</v>
      </c>
      <c r="J1345" s="9" t="s">
        <v>139</v>
      </c>
      <c r="K1345" s="10">
        <v>38391.363043981481</v>
      </c>
    </row>
    <row r="1346" spans="1:11" x14ac:dyDescent="0.25">
      <c r="A1346" s="8">
        <v>2329</v>
      </c>
      <c r="B1346" s="9" t="s">
        <v>5798</v>
      </c>
      <c r="C1346" s="9" t="s">
        <v>2680</v>
      </c>
      <c r="D1346" s="9" t="s">
        <v>139</v>
      </c>
      <c r="E1346" s="9" t="s">
        <v>2681</v>
      </c>
      <c r="F1346" s="9" t="s">
        <v>2682</v>
      </c>
      <c r="G1346" s="9" t="s">
        <v>142</v>
      </c>
      <c r="H1346" s="9" t="s">
        <v>241</v>
      </c>
      <c r="I1346" s="9" t="s">
        <v>411</v>
      </c>
      <c r="J1346" s="9" t="s">
        <v>139</v>
      </c>
      <c r="K1346" s="10">
        <v>38391.440972222219</v>
      </c>
    </row>
    <row r="1347" spans="1:11" x14ac:dyDescent="0.25">
      <c r="A1347" s="8">
        <v>2333</v>
      </c>
      <c r="B1347" s="9" t="s">
        <v>5799</v>
      </c>
      <c r="C1347" s="9" t="s">
        <v>2683</v>
      </c>
      <c r="D1347" s="9" t="s">
        <v>139</v>
      </c>
      <c r="E1347" s="9" t="s">
        <v>2684</v>
      </c>
      <c r="F1347" s="9" t="s">
        <v>2685</v>
      </c>
      <c r="G1347" s="9" t="s">
        <v>142</v>
      </c>
      <c r="H1347" s="9" t="s">
        <v>139</v>
      </c>
      <c r="I1347" s="9" t="s">
        <v>411</v>
      </c>
      <c r="J1347" s="9" t="s">
        <v>139</v>
      </c>
      <c r="K1347" s="10">
        <v>38401.546018518522</v>
      </c>
    </row>
    <row r="1348" spans="1:11" x14ac:dyDescent="0.25">
      <c r="A1348" s="8">
        <v>2334</v>
      </c>
      <c r="B1348" s="9" t="s">
        <v>5800</v>
      </c>
      <c r="C1348" s="9" t="s">
        <v>2686</v>
      </c>
      <c r="D1348" s="9" t="s">
        <v>139</v>
      </c>
      <c r="E1348" s="9" t="s">
        <v>2687</v>
      </c>
      <c r="F1348" s="9" t="s">
        <v>2688</v>
      </c>
      <c r="G1348" s="9" t="s">
        <v>621</v>
      </c>
      <c r="H1348" s="9" t="s">
        <v>139</v>
      </c>
      <c r="I1348" s="9" t="s">
        <v>411</v>
      </c>
      <c r="J1348" s="9" t="s">
        <v>2689</v>
      </c>
      <c r="K1348" s="10">
        <v>38402.396111111113</v>
      </c>
    </row>
    <row r="1349" spans="1:11" x14ac:dyDescent="0.25">
      <c r="A1349" s="8">
        <v>2336</v>
      </c>
      <c r="B1349" s="9" t="s">
        <v>5801</v>
      </c>
      <c r="C1349" s="9" t="s">
        <v>2690</v>
      </c>
      <c r="D1349" s="9" t="s">
        <v>139</v>
      </c>
      <c r="E1349" s="9" t="s">
        <v>2691</v>
      </c>
      <c r="F1349" s="9" t="s">
        <v>8408</v>
      </c>
      <c r="G1349" s="9" t="s">
        <v>897</v>
      </c>
      <c r="H1349" s="9" t="s">
        <v>139</v>
      </c>
      <c r="I1349" s="9" t="s">
        <v>411</v>
      </c>
      <c r="J1349" s="9" t="s">
        <v>139</v>
      </c>
      <c r="K1349" s="10">
        <v>38408.484178240738</v>
      </c>
    </row>
    <row r="1350" spans="1:11" x14ac:dyDescent="0.25">
      <c r="A1350" s="8">
        <v>2337</v>
      </c>
      <c r="B1350" s="9" t="s">
        <v>9190</v>
      </c>
      <c r="C1350" s="9" t="s">
        <v>139</v>
      </c>
      <c r="D1350" s="9" t="s">
        <v>139</v>
      </c>
      <c r="E1350" s="9">
        <v>75</v>
      </c>
      <c r="F1350" s="9" t="s">
        <v>413</v>
      </c>
      <c r="G1350" s="9" t="s">
        <v>142</v>
      </c>
      <c r="H1350" s="9" t="s">
        <v>166</v>
      </c>
      <c r="I1350" s="9" t="s">
        <v>143</v>
      </c>
      <c r="J1350" s="9" t="s">
        <v>139</v>
      </c>
      <c r="K1350" s="10">
        <v>38413.476909722223</v>
      </c>
    </row>
    <row r="1351" spans="1:11" x14ac:dyDescent="0.25">
      <c r="A1351" s="8">
        <v>2338</v>
      </c>
      <c r="B1351" s="9" t="s">
        <v>5802</v>
      </c>
      <c r="C1351" s="9" t="s">
        <v>2193</v>
      </c>
      <c r="D1351" s="9" t="s">
        <v>139</v>
      </c>
      <c r="E1351" s="9" t="s">
        <v>260</v>
      </c>
      <c r="F1351" s="9" t="s">
        <v>2692</v>
      </c>
      <c r="G1351" s="9" t="s">
        <v>142</v>
      </c>
      <c r="H1351" s="9" t="s">
        <v>139</v>
      </c>
      <c r="I1351" s="9" t="s">
        <v>411</v>
      </c>
      <c r="J1351" s="9" t="s">
        <v>2693</v>
      </c>
      <c r="K1351" s="10">
        <v>38416.779652777775</v>
      </c>
    </row>
    <row r="1352" spans="1:11" x14ac:dyDescent="0.25">
      <c r="A1352" s="8">
        <v>2341</v>
      </c>
      <c r="B1352" s="9" t="s">
        <v>5803</v>
      </c>
      <c r="C1352" s="9" t="s">
        <v>2694</v>
      </c>
      <c r="D1352" s="9" t="s">
        <v>139</v>
      </c>
      <c r="E1352" s="9" t="s">
        <v>2695</v>
      </c>
      <c r="F1352" s="9" t="s">
        <v>2615</v>
      </c>
      <c r="G1352" s="9" t="s">
        <v>142</v>
      </c>
      <c r="H1352" s="9" t="s">
        <v>166</v>
      </c>
      <c r="I1352" s="9" t="s">
        <v>411</v>
      </c>
      <c r="J1352" s="9" t="s">
        <v>2696</v>
      </c>
      <c r="K1352" s="10">
        <v>38425.918078703704</v>
      </c>
    </row>
    <row r="1353" spans="1:11" x14ac:dyDescent="0.25">
      <c r="A1353" s="8">
        <v>2342</v>
      </c>
      <c r="B1353" s="9" t="s">
        <v>9191</v>
      </c>
      <c r="C1353" s="9" t="s">
        <v>139</v>
      </c>
      <c r="D1353" s="9" t="s">
        <v>139</v>
      </c>
      <c r="E1353" s="9">
        <v>75</v>
      </c>
      <c r="F1353" s="9" t="s">
        <v>413</v>
      </c>
      <c r="G1353" s="9" t="s">
        <v>142</v>
      </c>
      <c r="H1353" s="9" t="s">
        <v>139</v>
      </c>
      <c r="I1353" s="9" t="s">
        <v>143</v>
      </c>
      <c r="J1353" s="9" t="s">
        <v>139</v>
      </c>
      <c r="K1353" s="10">
        <v>38429.767881944441</v>
      </c>
    </row>
    <row r="1354" spans="1:11" x14ac:dyDescent="0.25">
      <c r="A1354" s="8">
        <v>2343</v>
      </c>
      <c r="B1354" s="9" t="s">
        <v>9303</v>
      </c>
      <c r="C1354" s="9" t="s">
        <v>2697</v>
      </c>
      <c r="D1354" s="9" t="s">
        <v>2698</v>
      </c>
      <c r="E1354" s="9" t="s">
        <v>2699</v>
      </c>
      <c r="F1354" s="9" t="s">
        <v>2700</v>
      </c>
      <c r="G1354" s="9" t="s">
        <v>142</v>
      </c>
      <c r="H1354" s="9" t="s">
        <v>139</v>
      </c>
      <c r="I1354" s="9" t="s">
        <v>1062</v>
      </c>
      <c r="J1354" s="9" t="s">
        <v>139</v>
      </c>
      <c r="K1354" s="10">
        <v>38433.759016203701</v>
      </c>
    </row>
    <row r="1355" spans="1:11" x14ac:dyDescent="0.25">
      <c r="A1355" s="8">
        <v>2344</v>
      </c>
      <c r="B1355" s="9" t="s">
        <v>5804</v>
      </c>
      <c r="C1355" s="9" t="s">
        <v>2701</v>
      </c>
      <c r="D1355" s="9" t="s">
        <v>139</v>
      </c>
      <c r="E1355" s="9" t="s">
        <v>2702</v>
      </c>
      <c r="F1355" s="9" t="s">
        <v>8405</v>
      </c>
      <c r="G1355" s="9" t="s">
        <v>1042</v>
      </c>
      <c r="H1355" s="9" t="s">
        <v>139</v>
      </c>
      <c r="I1355" s="9" t="s">
        <v>411</v>
      </c>
      <c r="J1355" s="9" t="s">
        <v>139</v>
      </c>
      <c r="K1355" s="10">
        <v>38440.568993055553</v>
      </c>
    </row>
    <row r="1356" spans="1:11" x14ac:dyDescent="0.25">
      <c r="A1356" s="8">
        <v>2345</v>
      </c>
      <c r="B1356" s="9" t="s">
        <v>5805</v>
      </c>
      <c r="C1356" s="9" t="s">
        <v>2703</v>
      </c>
      <c r="D1356" s="9" t="s">
        <v>139</v>
      </c>
      <c r="E1356" s="9" t="s">
        <v>218</v>
      </c>
      <c r="F1356" s="9" t="s">
        <v>141</v>
      </c>
      <c r="G1356" s="9" t="s">
        <v>142</v>
      </c>
      <c r="H1356" s="9" t="s">
        <v>139</v>
      </c>
      <c r="I1356" s="9" t="s">
        <v>411</v>
      </c>
      <c r="J1356" s="9" t="s">
        <v>139</v>
      </c>
      <c r="K1356" s="10">
        <v>38440.674733796295</v>
      </c>
    </row>
    <row r="1357" spans="1:11" x14ac:dyDescent="0.25">
      <c r="A1357" s="8">
        <v>2346</v>
      </c>
      <c r="B1357" s="9" t="s">
        <v>9192</v>
      </c>
      <c r="C1357" s="9" t="s">
        <v>2704</v>
      </c>
      <c r="D1357" s="9" t="s">
        <v>139</v>
      </c>
      <c r="E1357" s="9" t="s">
        <v>180</v>
      </c>
      <c r="F1357" s="9" t="s">
        <v>141</v>
      </c>
      <c r="G1357" s="9" t="s">
        <v>142</v>
      </c>
      <c r="H1357" s="9" t="s">
        <v>258</v>
      </c>
      <c r="I1357" s="9" t="s">
        <v>143</v>
      </c>
      <c r="J1357" s="9" t="s">
        <v>139</v>
      </c>
      <c r="K1357" s="10">
        <v>38448.486747685187</v>
      </c>
    </row>
    <row r="1358" spans="1:11" x14ac:dyDescent="0.25">
      <c r="A1358" s="8">
        <v>2347</v>
      </c>
      <c r="B1358" s="9" t="s">
        <v>9193</v>
      </c>
      <c r="C1358" s="9" t="s">
        <v>139</v>
      </c>
      <c r="D1358" s="9" t="s">
        <v>139</v>
      </c>
      <c r="E1358" s="9">
        <v>75</v>
      </c>
      <c r="F1358" s="9" t="s">
        <v>413</v>
      </c>
      <c r="G1358" s="9" t="s">
        <v>142</v>
      </c>
      <c r="H1358" s="9" t="s">
        <v>166</v>
      </c>
      <c r="I1358" s="9" t="s">
        <v>143</v>
      </c>
      <c r="J1358" s="9" t="s">
        <v>139</v>
      </c>
      <c r="K1358" s="10">
        <v>38448.638912037037</v>
      </c>
    </row>
    <row r="1359" spans="1:11" x14ac:dyDescent="0.25">
      <c r="A1359" s="8">
        <v>2348</v>
      </c>
      <c r="B1359" s="9" t="s">
        <v>9194</v>
      </c>
      <c r="C1359" s="9" t="s">
        <v>2705</v>
      </c>
      <c r="D1359" s="9" t="s">
        <v>139</v>
      </c>
      <c r="E1359" s="9" t="s">
        <v>229</v>
      </c>
      <c r="F1359" s="9" t="s">
        <v>141</v>
      </c>
      <c r="G1359" s="9" t="s">
        <v>142</v>
      </c>
      <c r="H1359" s="9" t="s">
        <v>139</v>
      </c>
      <c r="I1359" s="9" t="s">
        <v>143</v>
      </c>
      <c r="J1359" s="9" t="s">
        <v>139</v>
      </c>
      <c r="K1359" s="10">
        <v>38449.542453703703</v>
      </c>
    </row>
    <row r="1360" spans="1:11" x14ac:dyDescent="0.25">
      <c r="A1360" s="8">
        <v>2349</v>
      </c>
      <c r="B1360" s="9" t="s">
        <v>9195</v>
      </c>
      <c r="C1360" s="9" t="s">
        <v>139</v>
      </c>
      <c r="D1360" s="9" t="s">
        <v>139</v>
      </c>
      <c r="E1360" s="9">
        <v>75</v>
      </c>
      <c r="F1360" s="9" t="s">
        <v>413</v>
      </c>
      <c r="G1360" s="9" t="s">
        <v>142</v>
      </c>
      <c r="H1360" s="9" t="s">
        <v>166</v>
      </c>
      <c r="I1360" s="9" t="s">
        <v>143</v>
      </c>
      <c r="J1360" s="9" t="s">
        <v>139</v>
      </c>
      <c r="K1360" s="10">
        <v>38449.687881944446</v>
      </c>
    </row>
    <row r="1361" spans="1:11" x14ac:dyDescent="0.25">
      <c r="A1361" s="8">
        <v>2350</v>
      </c>
      <c r="B1361" s="9" t="s">
        <v>9196</v>
      </c>
      <c r="C1361" s="9" t="s">
        <v>2706</v>
      </c>
      <c r="D1361" s="9" t="s">
        <v>139</v>
      </c>
      <c r="E1361" s="9" t="s">
        <v>306</v>
      </c>
      <c r="F1361" s="9" t="s">
        <v>141</v>
      </c>
      <c r="G1361" s="9" t="s">
        <v>142</v>
      </c>
      <c r="H1361" s="9" t="s">
        <v>139</v>
      </c>
      <c r="I1361" s="9" t="s">
        <v>143</v>
      </c>
      <c r="J1361" s="9" t="s">
        <v>139</v>
      </c>
      <c r="K1361" s="10">
        <v>38451.469340277778</v>
      </c>
    </row>
    <row r="1362" spans="1:11" x14ac:dyDescent="0.25">
      <c r="A1362" s="8">
        <v>2352</v>
      </c>
      <c r="B1362" s="9" t="s">
        <v>9197</v>
      </c>
      <c r="C1362" s="9" t="s">
        <v>139</v>
      </c>
      <c r="D1362" s="9" t="s">
        <v>139</v>
      </c>
      <c r="E1362" s="9">
        <v>75</v>
      </c>
      <c r="F1362" s="9" t="s">
        <v>413</v>
      </c>
      <c r="G1362" s="9" t="s">
        <v>142</v>
      </c>
      <c r="H1362" s="9" t="s">
        <v>166</v>
      </c>
      <c r="I1362" s="9" t="s">
        <v>143</v>
      </c>
      <c r="J1362" s="9" t="s">
        <v>139</v>
      </c>
      <c r="K1362" s="10">
        <v>38454.553113425929</v>
      </c>
    </row>
    <row r="1363" spans="1:11" x14ac:dyDescent="0.25">
      <c r="A1363" s="8">
        <v>2353</v>
      </c>
      <c r="B1363" s="9" t="s">
        <v>9198</v>
      </c>
      <c r="C1363" s="9" t="s">
        <v>2707</v>
      </c>
      <c r="D1363" s="9" t="s">
        <v>139</v>
      </c>
      <c r="E1363" s="9" t="s">
        <v>229</v>
      </c>
      <c r="F1363" s="9" t="s">
        <v>413</v>
      </c>
      <c r="G1363" s="9" t="s">
        <v>142</v>
      </c>
      <c r="H1363" s="9" t="s">
        <v>166</v>
      </c>
      <c r="I1363" s="9" t="s">
        <v>143</v>
      </c>
      <c r="J1363" s="9" t="s">
        <v>139</v>
      </c>
      <c r="K1363" s="10">
        <v>38455.773217592592</v>
      </c>
    </row>
    <row r="1364" spans="1:11" x14ac:dyDescent="0.25">
      <c r="A1364" s="8">
        <v>2354</v>
      </c>
      <c r="B1364" s="9" t="s">
        <v>9199</v>
      </c>
      <c r="C1364" s="9" t="s">
        <v>139</v>
      </c>
      <c r="D1364" s="9" t="s">
        <v>139</v>
      </c>
      <c r="E1364" s="9">
        <v>75</v>
      </c>
      <c r="F1364" s="9" t="s">
        <v>413</v>
      </c>
      <c r="G1364" s="9" t="s">
        <v>142</v>
      </c>
      <c r="H1364" s="9" t="s">
        <v>139</v>
      </c>
      <c r="I1364" s="9" t="s">
        <v>143</v>
      </c>
      <c r="J1364" s="9" t="s">
        <v>139</v>
      </c>
      <c r="K1364" s="10">
        <v>38457.691712962966</v>
      </c>
    </row>
    <row r="1365" spans="1:11" x14ac:dyDescent="0.25">
      <c r="A1365" s="8">
        <v>2355</v>
      </c>
      <c r="B1365" s="9" t="s">
        <v>9200</v>
      </c>
      <c r="C1365" s="9" t="s">
        <v>2708</v>
      </c>
      <c r="D1365" s="9" t="s">
        <v>139</v>
      </c>
      <c r="E1365" s="9" t="s">
        <v>706</v>
      </c>
      <c r="F1365" s="9" t="s">
        <v>141</v>
      </c>
      <c r="G1365" s="9" t="s">
        <v>142</v>
      </c>
      <c r="H1365" s="9" t="s">
        <v>166</v>
      </c>
      <c r="I1365" s="9" t="s">
        <v>143</v>
      </c>
      <c r="J1365" s="9" t="s">
        <v>139</v>
      </c>
      <c r="K1365" s="10">
        <v>38464.653333333335</v>
      </c>
    </row>
    <row r="1366" spans="1:11" x14ac:dyDescent="0.25">
      <c r="A1366" s="8">
        <v>2356</v>
      </c>
      <c r="B1366" s="9" t="s">
        <v>5806</v>
      </c>
      <c r="C1366" s="9" t="s">
        <v>2709</v>
      </c>
      <c r="D1366" s="9" t="s">
        <v>139</v>
      </c>
      <c r="E1366" s="9" t="s">
        <v>2637</v>
      </c>
      <c r="F1366" s="9" t="s">
        <v>2638</v>
      </c>
      <c r="G1366" s="9" t="s">
        <v>142</v>
      </c>
      <c r="H1366" s="9" t="s">
        <v>166</v>
      </c>
      <c r="I1366" s="9" t="s">
        <v>411</v>
      </c>
      <c r="J1366" s="9" t="s">
        <v>2710</v>
      </c>
      <c r="K1366" s="10">
        <v>38469.693912037037</v>
      </c>
    </row>
    <row r="1367" spans="1:11" x14ac:dyDescent="0.25">
      <c r="A1367" s="8">
        <v>2357</v>
      </c>
      <c r="B1367" s="9" t="s">
        <v>5807</v>
      </c>
      <c r="C1367" s="9" t="s">
        <v>2711</v>
      </c>
      <c r="D1367" s="9" t="s">
        <v>139</v>
      </c>
      <c r="E1367" s="9" t="s">
        <v>2712</v>
      </c>
      <c r="F1367" s="9" t="s">
        <v>2713</v>
      </c>
      <c r="G1367" s="9" t="s">
        <v>2714</v>
      </c>
      <c r="H1367" s="9" t="s">
        <v>139</v>
      </c>
      <c r="I1367" s="9" t="s">
        <v>411</v>
      </c>
      <c r="J1367" s="9" t="s">
        <v>139</v>
      </c>
      <c r="K1367" s="10">
        <v>38469.754756944443</v>
      </c>
    </row>
    <row r="1368" spans="1:11" x14ac:dyDescent="0.25">
      <c r="A1368" s="8">
        <v>2359</v>
      </c>
      <c r="B1368" s="9" t="s">
        <v>5808</v>
      </c>
      <c r="C1368" s="9" t="s">
        <v>2715</v>
      </c>
      <c r="D1368" s="9" t="s">
        <v>139</v>
      </c>
      <c r="E1368" s="9" t="s">
        <v>1262</v>
      </c>
      <c r="F1368" s="9" t="s">
        <v>1263</v>
      </c>
      <c r="G1368" s="9" t="s">
        <v>142</v>
      </c>
      <c r="H1368" s="9" t="s">
        <v>139</v>
      </c>
      <c r="I1368" s="9" t="s">
        <v>411</v>
      </c>
      <c r="J1368" s="9" t="s">
        <v>2716</v>
      </c>
      <c r="K1368" s="10">
        <v>38469.770486111112</v>
      </c>
    </row>
    <row r="1369" spans="1:11" x14ac:dyDescent="0.25">
      <c r="A1369" s="8">
        <v>2360</v>
      </c>
      <c r="B1369" s="9" t="s">
        <v>5809</v>
      </c>
      <c r="C1369" s="9" t="s">
        <v>2717</v>
      </c>
      <c r="D1369" s="9" t="s">
        <v>139</v>
      </c>
      <c r="E1369" s="9" t="s">
        <v>2718</v>
      </c>
      <c r="F1369" s="9" t="s">
        <v>2719</v>
      </c>
      <c r="G1369" s="9" t="s">
        <v>142</v>
      </c>
      <c r="H1369" s="9" t="s">
        <v>139</v>
      </c>
      <c r="I1369" s="9" t="s">
        <v>411</v>
      </c>
      <c r="J1369" s="9" t="s">
        <v>139</v>
      </c>
      <c r="K1369" s="10">
        <v>38469.772291666668</v>
      </c>
    </row>
    <row r="1370" spans="1:11" x14ac:dyDescent="0.25">
      <c r="A1370" s="8">
        <v>2361</v>
      </c>
      <c r="B1370" s="9" t="s">
        <v>5810</v>
      </c>
      <c r="C1370" s="9" t="s">
        <v>2720</v>
      </c>
      <c r="D1370" s="9" t="s">
        <v>139</v>
      </c>
      <c r="E1370" s="9" t="s">
        <v>2721</v>
      </c>
      <c r="F1370" s="9" t="s">
        <v>2722</v>
      </c>
      <c r="G1370" s="9" t="s">
        <v>882</v>
      </c>
      <c r="H1370" s="9" t="s">
        <v>139</v>
      </c>
      <c r="I1370" s="9" t="s">
        <v>411</v>
      </c>
      <c r="J1370" s="9" t="s">
        <v>2723</v>
      </c>
      <c r="K1370" s="10">
        <v>38469.790254629632</v>
      </c>
    </row>
    <row r="1371" spans="1:11" x14ac:dyDescent="0.25">
      <c r="A1371" s="8">
        <v>2362</v>
      </c>
      <c r="B1371" s="9" t="s">
        <v>5811</v>
      </c>
      <c r="C1371" s="9" t="s">
        <v>2724</v>
      </c>
      <c r="D1371" s="9" t="s">
        <v>2725</v>
      </c>
      <c r="E1371" s="9" t="s">
        <v>2726</v>
      </c>
      <c r="F1371" s="9" t="s">
        <v>443</v>
      </c>
      <c r="G1371" s="9" t="s">
        <v>444</v>
      </c>
      <c r="H1371" s="9" t="s">
        <v>139</v>
      </c>
      <c r="I1371" s="9" t="s">
        <v>411</v>
      </c>
      <c r="J1371" s="9" t="s">
        <v>139</v>
      </c>
      <c r="K1371" s="10">
        <v>38469.792939814812</v>
      </c>
    </row>
    <row r="1372" spans="1:11" x14ac:dyDescent="0.25">
      <c r="A1372" s="8">
        <v>2363</v>
      </c>
      <c r="B1372" s="9" t="s">
        <v>5812</v>
      </c>
      <c r="C1372" s="9" t="s">
        <v>2053</v>
      </c>
      <c r="D1372" s="9" t="s">
        <v>139</v>
      </c>
      <c r="E1372" s="9" t="s">
        <v>2054</v>
      </c>
      <c r="F1372" s="9" t="s">
        <v>2055</v>
      </c>
      <c r="G1372" s="9" t="s">
        <v>142</v>
      </c>
      <c r="H1372" s="9" t="s">
        <v>139</v>
      </c>
      <c r="I1372" s="9" t="s">
        <v>411</v>
      </c>
      <c r="J1372" s="9" t="s">
        <v>139</v>
      </c>
      <c r="K1372" s="10">
        <v>38469.809699074074</v>
      </c>
    </row>
    <row r="1373" spans="1:11" x14ac:dyDescent="0.25">
      <c r="A1373" s="8">
        <v>2364</v>
      </c>
      <c r="B1373" s="9" t="s">
        <v>5813</v>
      </c>
      <c r="C1373" s="9" t="s">
        <v>2727</v>
      </c>
      <c r="D1373" s="9" t="s">
        <v>139</v>
      </c>
      <c r="E1373" s="9" t="s">
        <v>2728</v>
      </c>
      <c r="F1373" s="9" t="s">
        <v>2729</v>
      </c>
      <c r="G1373" s="9" t="s">
        <v>142</v>
      </c>
      <c r="H1373" s="9" t="s">
        <v>166</v>
      </c>
      <c r="I1373" s="9" t="s">
        <v>411</v>
      </c>
      <c r="J1373" s="9" t="s">
        <v>139</v>
      </c>
      <c r="K1373" s="10">
        <v>38476.654108796298</v>
      </c>
    </row>
    <row r="1374" spans="1:11" x14ac:dyDescent="0.25">
      <c r="A1374" s="8">
        <v>2366</v>
      </c>
      <c r="B1374" s="9" t="s">
        <v>8424</v>
      </c>
      <c r="C1374" s="9" t="s">
        <v>2730</v>
      </c>
      <c r="D1374" s="9" t="s">
        <v>139</v>
      </c>
      <c r="E1374" s="9" t="s">
        <v>280</v>
      </c>
      <c r="F1374" s="9" t="s">
        <v>141</v>
      </c>
      <c r="G1374" s="9" t="s">
        <v>142</v>
      </c>
      <c r="H1374" s="9" t="s">
        <v>139</v>
      </c>
      <c r="I1374" s="9" t="s">
        <v>617</v>
      </c>
      <c r="J1374" s="9" t="s">
        <v>139</v>
      </c>
      <c r="K1374" s="10">
        <v>38479.643078703702</v>
      </c>
    </row>
    <row r="1375" spans="1:11" x14ac:dyDescent="0.25">
      <c r="A1375" s="8">
        <v>2367</v>
      </c>
      <c r="B1375" s="9" t="s">
        <v>9201</v>
      </c>
      <c r="C1375" s="9" t="s">
        <v>2731</v>
      </c>
      <c r="D1375" s="9" t="s">
        <v>139</v>
      </c>
      <c r="E1375" s="9" t="s">
        <v>229</v>
      </c>
      <c r="F1375" s="9" t="s">
        <v>413</v>
      </c>
      <c r="G1375" s="9" t="s">
        <v>142</v>
      </c>
      <c r="H1375" s="9" t="s">
        <v>139</v>
      </c>
      <c r="I1375" s="9" t="s">
        <v>143</v>
      </c>
      <c r="J1375" s="9" t="s">
        <v>139</v>
      </c>
      <c r="K1375" s="10">
        <v>38483.842233796298</v>
      </c>
    </row>
    <row r="1376" spans="1:11" x14ac:dyDescent="0.25">
      <c r="A1376" s="8">
        <v>2368</v>
      </c>
      <c r="B1376" s="9" t="s">
        <v>9202</v>
      </c>
      <c r="C1376" s="9" t="s">
        <v>2732</v>
      </c>
      <c r="D1376" s="9" t="s">
        <v>139</v>
      </c>
      <c r="E1376" s="9" t="s">
        <v>212</v>
      </c>
      <c r="F1376" s="9" t="s">
        <v>141</v>
      </c>
      <c r="G1376" s="9" t="s">
        <v>142</v>
      </c>
      <c r="H1376" s="9" t="s">
        <v>139</v>
      </c>
      <c r="I1376" s="9" t="s">
        <v>143</v>
      </c>
      <c r="J1376" s="9" t="s">
        <v>139</v>
      </c>
      <c r="K1376" s="10">
        <v>38486.622523148151</v>
      </c>
    </row>
    <row r="1377" spans="1:11" x14ac:dyDescent="0.25">
      <c r="A1377" s="8">
        <v>2369</v>
      </c>
      <c r="B1377" s="9" t="s">
        <v>9203</v>
      </c>
      <c r="C1377" s="9" t="s">
        <v>139</v>
      </c>
      <c r="D1377" s="9" t="s">
        <v>139</v>
      </c>
      <c r="E1377" s="9">
        <v>75</v>
      </c>
      <c r="F1377" s="9" t="s">
        <v>413</v>
      </c>
      <c r="G1377" s="9" t="s">
        <v>142</v>
      </c>
      <c r="H1377" s="9" t="s">
        <v>166</v>
      </c>
      <c r="I1377" s="9" t="s">
        <v>143</v>
      </c>
      <c r="J1377" s="9" t="s">
        <v>139</v>
      </c>
      <c r="K1377" s="10">
        <v>38489.755196759259</v>
      </c>
    </row>
    <row r="1378" spans="1:11" x14ac:dyDescent="0.25">
      <c r="A1378" s="8">
        <v>2370</v>
      </c>
      <c r="B1378" s="9" t="s">
        <v>9204</v>
      </c>
      <c r="C1378" s="9" t="s">
        <v>139</v>
      </c>
      <c r="D1378" s="9" t="s">
        <v>139</v>
      </c>
      <c r="E1378" s="9">
        <v>75</v>
      </c>
      <c r="F1378" s="9" t="s">
        <v>413</v>
      </c>
      <c r="G1378" s="9" t="s">
        <v>142</v>
      </c>
      <c r="H1378" s="9" t="s">
        <v>139</v>
      </c>
      <c r="I1378" s="9" t="s">
        <v>143</v>
      </c>
      <c r="J1378" s="9" t="s">
        <v>139</v>
      </c>
      <c r="K1378" s="10">
        <v>38492.573819444442</v>
      </c>
    </row>
    <row r="1379" spans="1:11" x14ac:dyDescent="0.25">
      <c r="A1379" s="8">
        <v>2371</v>
      </c>
      <c r="B1379" s="9" t="s">
        <v>9205</v>
      </c>
      <c r="C1379" s="9" t="s">
        <v>2733</v>
      </c>
      <c r="D1379" s="9" t="s">
        <v>139</v>
      </c>
      <c r="E1379" s="9" t="s">
        <v>328</v>
      </c>
      <c r="F1379" s="9" t="s">
        <v>141</v>
      </c>
      <c r="G1379" s="9" t="s">
        <v>142</v>
      </c>
      <c r="H1379" s="9" t="s">
        <v>139</v>
      </c>
      <c r="I1379" s="9" t="s">
        <v>143</v>
      </c>
      <c r="J1379" s="9" t="s">
        <v>139</v>
      </c>
      <c r="K1379" s="10">
        <v>38493.52983796296</v>
      </c>
    </row>
    <row r="1380" spans="1:11" x14ac:dyDescent="0.25">
      <c r="A1380" s="8">
        <v>2372</v>
      </c>
      <c r="B1380" s="9" t="s">
        <v>9206</v>
      </c>
      <c r="C1380" s="9" t="s">
        <v>2734</v>
      </c>
      <c r="D1380" s="9" t="s">
        <v>139</v>
      </c>
      <c r="E1380" s="9" t="s">
        <v>229</v>
      </c>
      <c r="F1380" s="9" t="s">
        <v>413</v>
      </c>
      <c r="G1380" s="9" t="s">
        <v>142</v>
      </c>
      <c r="H1380" s="9" t="s">
        <v>139</v>
      </c>
      <c r="I1380" s="9" t="s">
        <v>143</v>
      </c>
      <c r="J1380" s="9" t="s">
        <v>139</v>
      </c>
      <c r="K1380" s="10">
        <v>38496.763032407405</v>
      </c>
    </row>
    <row r="1381" spans="1:11" x14ac:dyDescent="0.25">
      <c r="A1381" s="8">
        <v>2373</v>
      </c>
      <c r="B1381" s="9" t="s">
        <v>9207</v>
      </c>
      <c r="C1381" s="9" t="s">
        <v>139</v>
      </c>
      <c r="D1381" s="9" t="s">
        <v>139</v>
      </c>
      <c r="E1381" s="9">
        <v>75</v>
      </c>
      <c r="F1381" s="9" t="s">
        <v>413</v>
      </c>
      <c r="G1381" s="9" t="s">
        <v>142</v>
      </c>
      <c r="H1381" s="9" t="s">
        <v>139</v>
      </c>
      <c r="I1381" s="9" t="s">
        <v>143</v>
      </c>
      <c r="J1381" s="9" t="s">
        <v>139</v>
      </c>
      <c r="K1381" s="10">
        <v>38496.806793981479</v>
      </c>
    </row>
    <row r="1382" spans="1:11" x14ac:dyDescent="0.25">
      <c r="A1382" s="8">
        <v>2374</v>
      </c>
      <c r="B1382" s="9" t="s">
        <v>9208</v>
      </c>
      <c r="C1382" s="9" t="s">
        <v>139</v>
      </c>
      <c r="D1382" s="9" t="s">
        <v>139</v>
      </c>
      <c r="E1382" s="9">
        <v>75</v>
      </c>
      <c r="F1382" s="9" t="s">
        <v>413</v>
      </c>
      <c r="G1382" s="9" t="s">
        <v>142</v>
      </c>
      <c r="H1382" s="9" t="s">
        <v>139</v>
      </c>
      <c r="I1382" s="9" t="s">
        <v>143</v>
      </c>
      <c r="J1382" s="9" t="s">
        <v>139</v>
      </c>
      <c r="K1382" s="10">
        <v>38497.598969907405</v>
      </c>
    </row>
    <row r="1383" spans="1:11" x14ac:dyDescent="0.25">
      <c r="A1383" s="8">
        <v>2375</v>
      </c>
      <c r="B1383" s="9" t="s">
        <v>9209</v>
      </c>
      <c r="C1383" s="9" t="s">
        <v>139</v>
      </c>
      <c r="D1383" s="9" t="s">
        <v>139</v>
      </c>
      <c r="E1383" s="9">
        <v>75</v>
      </c>
      <c r="F1383" s="9" t="s">
        <v>413</v>
      </c>
      <c r="G1383" s="9" t="s">
        <v>142</v>
      </c>
      <c r="H1383" s="9" t="s">
        <v>139</v>
      </c>
      <c r="I1383" s="9" t="s">
        <v>143</v>
      </c>
      <c r="J1383" s="9" t="s">
        <v>139</v>
      </c>
      <c r="K1383" s="10">
        <v>38497.702256944445</v>
      </c>
    </row>
    <row r="1384" spans="1:11" x14ac:dyDescent="0.25">
      <c r="A1384" s="8">
        <v>2376</v>
      </c>
      <c r="B1384" s="9" t="s">
        <v>9210</v>
      </c>
      <c r="C1384" s="9" t="s">
        <v>2735</v>
      </c>
      <c r="D1384" s="9" t="s">
        <v>139</v>
      </c>
      <c r="E1384" s="9" t="s">
        <v>308</v>
      </c>
      <c r="F1384" s="9" t="s">
        <v>413</v>
      </c>
      <c r="G1384" s="9" t="s">
        <v>142</v>
      </c>
      <c r="H1384" s="9" t="s">
        <v>166</v>
      </c>
      <c r="I1384" s="9" t="s">
        <v>143</v>
      </c>
      <c r="J1384" s="9" t="s">
        <v>139</v>
      </c>
      <c r="K1384" s="10">
        <v>38497.706122685187</v>
      </c>
    </row>
    <row r="1385" spans="1:11" x14ac:dyDescent="0.25">
      <c r="A1385" s="8">
        <v>2377</v>
      </c>
      <c r="B1385" s="9" t="s">
        <v>5814</v>
      </c>
      <c r="C1385" s="9" t="s">
        <v>2736</v>
      </c>
      <c r="D1385" s="9" t="s">
        <v>139</v>
      </c>
      <c r="E1385" s="9" t="s">
        <v>2737</v>
      </c>
      <c r="F1385" s="9" t="s">
        <v>914</v>
      </c>
      <c r="G1385" s="9" t="s">
        <v>142</v>
      </c>
      <c r="H1385" s="9" t="s">
        <v>139</v>
      </c>
      <c r="I1385" s="9" t="s">
        <v>411</v>
      </c>
      <c r="J1385" s="9" t="s">
        <v>139</v>
      </c>
      <c r="K1385" s="10">
        <v>38504.492673611108</v>
      </c>
    </row>
    <row r="1386" spans="1:11" x14ac:dyDescent="0.25">
      <c r="A1386" s="8">
        <v>2378</v>
      </c>
      <c r="B1386" s="9" t="s">
        <v>9211</v>
      </c>
      <c r="C1386" s="9" t="s">
        <v>139</v>
      </c>
      <c r="D1386" s="9" t="s">
        <v>139</v>
      </c>
      <c r="E1386" s="9">
        <v>75</v>
      </c>
      <c r="F1386" s="9" t="s">
        <v>413</v>
      </c>
      <c r="G1386" s="9" t="s">
        <v>142</v>
      </c>
      <c r="H1386" s="9" t="s">
        <v>139</v>
      </c>
      <c r="I1386" s="9" t="s">
        <v>143</v>
      </c>
      <c r="J1386" s="9" t="s">
        <v>139</v>
      </c>
      <c r="K1386" s="10">
        <v>38504.613125000003</v>
      </c>
    </row>
    <row r="1387" spans="1:11" x14ac:dyDescent="0.25">
      <c r="A1387" s="8">
        <v>2379</v>
      </c>
      <c r="B1387" s="9" t="s">
        <v>9212</v>
      </c>
      <c r="C1387" s="9" t="s">
        <v>2738</v>
      </c>
      <c r="D1387" s="9" t="s">
        <v>139</v>
      </c>
      <c r="E1387" s="9" t="s">
        <v>308</v>
      </c>
      <c r="F1387" s="9" t="s">
        <v>141</v>
      </c>
      <c r="G1387" s="9" t="s">
        <v>142</v>
      </c>
      <c r="H1387" s="9" t="s">
        <v>139</v>
      </c>
      <c r="I1387" s="9" t="s">
        <v>143</v>
      </c>
      <c r="J1387" s="9" t="s">
        <v>139</v>
      </c>
      <c r="K1387" s="10">
        <v>38507.714259259257</v>
      </c>
    </row>
    <row r="1388" spans="1:11" x14ac:dyDescent="0.25">
      <c r="A1388" s="8">
        <v>2380</v>
      </c>
      <c r="B1388" s="9" t="s">
        <v>9213</v>
      </c>
      <c r="C1388" s="9" t="s">
        <v>1445</v>
      </c>
      <c r="D1388" s="9" t="s">
        <v>139</v>
      </c>
      <c r="E1388" s="9" t="s">
        <v>229</v>
      </c>
      <c r="F1388" s="9" t="s">
        <v>141</v>
      </c>
      <c r="G1388" s="9" t="s">
        <v>142</v>
      </c>
      <c r="H1388" s="9" t="s">
        <v>241</v>
      </c>
      <c r="I1388" s="9" t="s">
        <v>143</v>
      </c>
      <c r="J1388" s="9" t="s">
        <v>139</v>
      </c>
      <c r="K1388" s="10">
        <v>38509.862638888888</v>
      </c>
    </row>
    <row r="1389" spans="1:11" x14ac:dyDescent="0.25">
      <c r="A1389" s="8">
        <v>2381</v>
      </c>
      <c r="B1389" s="9" t="s">
        <v>9214</v>
      </c>
      <c r="C1389" s="9" t="s">
        <v>2739</v>
      </c>
      <c r="D1389" s="9" t="s">
        <v>139</v>
      </c>
      <c r="E1389" s="9" t="s">
        <v>147</v>
      </c>
      <c r="F1389" s="9" t="s">
        <v>141</v>
      </c>
      <c r="G1389" s="9" t="s">
        <v>142</v>
      </c>
      <c r="H1389" s="9" t="s">
        <v>241</v>
      </c>
      <c r="I1389" s="9" t="s">
        <v>143</v>
      </c>
      <c r="J1389" s="9" t="s">
        <v>139</v>
      </c>
      <c r="K1389" s="10">
        <v>38509.863726851851</v>
      </c>
    </row>
    <row r="1390" spans="1:11" x14ac:dyDescent="0.25">
      <c r="A1390" s="8">
        <v>2382</v>
      </c>
      <c r="B1390" s="9" t="s">
        <v>9215</v>
      </c>
      <c r="C1390" s="9" t="s">
        <v>2740</v>
      </c>
      <c r="D1390" s="9" t="s">
        <v>139</v>
      </c>
      <c r="E1390" s="9" t="s">
        <v>267</v>
      </c>
      <c r="F1390" s="9" t="s">
        <v>141</v>
      </c>
      <c r="G1390" s="9" t="s">
        <v>142</v>
      </c>
      <c r="H1390" s="9" t="s">
        <v>258</v>
      </c>
      <c r="I1390" s="9" t="s">
        <v>143</v>
      </c>
      <c r="J1390" s="9" t="s">
        <v>139</v>
      </c>
      <c r="K1390" s="10">
        <v>38509.866377314815</v>
      </c>
    </row>
    <row r="1391" spans="1:11" x14ac:dyDescent="0.25">
      <c r="A1391" s="8">
        <v>2383</v>
      </c>
      <c r="B1391" s="9" t="s">
        <v>9216</v>
      </c>
      <c r="C1391" s="9" t="s">
        <v>139</v>
      </c>
      <c r="D1391" s="9" t="s">
        <v>139</v>
      </c>
      <c r="E1391" s="9">
        <v>75</v>
      </c>
      <c r="F1391" s="9" t="s">
        <v>413</v>
      </c>
      <c r="G1391" s="9" t="s">
        <v>142</v>
      </c>
      <c r="H1391" s="9" t="s">
        <v>139</v>
      </c>
      <c r="I1391" s="9" t="s">
        <v>143</v>
      </c>
      <c r="J1391" s="9" t="s">
        <v>139</v>
      </c>
      <c r="K1391" s="10">
        <v>38510.604942129627</v>
      </c>
    </row>
    <row r="1392" spans="1:11" x14ac:dyDescent="0.25">
      <c r="A1392" s="8">
        <v>2384</v>
      </c>
      <c r="B1392" s="9" t="s">
        <v>9217</v>
      </c>
      <c r="C1392" s="9" t="s">
        <v>2741</v>
      </c>
      <c r="D1392" s="9" t="s">
        <v>139</v>
      </c>
      <c r="E1392" s="9" t="s">
        <v>229</v>
      </c>
      <c r="F1392" s="9" t="s">
        <v>413</v>
      </c>
      <c r="G1392" s="9" t="s">
        <v>142</v>
      </c>
      <c r="H1392" s="9" t="s">
        <v>166</v>
      </c>
      <c r="I1392" s="9" t="s">
        <v>143</v>
      </c>
      <c r="J1392" s="9" t="s">
        <v>139</v>
      </c>
      <c r="K1392" s="10">
        <v>38510.632962962962</v>
      </c>
    </row>
    <row r="1393" spans="1:11" x14ac:dyDescent="0.25">
      <c r="A1393" s="8">
        <v>2385</v>
      </c>
      <c r="B1393" s="9" t="s">
        <v>9218</v>
      </c>
      <c r="C1393" s="9" t="s">
        <v>139</v>
      </c>
      <c r="D1393" s="9" t="s">
        <v>139</v>
      </c>
      <c r="E1393" s="9">
        <v>75</v>
      </c>
      <c r="F1393" s="9" t="s">
        <v>413</v>
      </c>
      <c r="G1393" s="9" t="s">
        <v>142</v>
      </c>
      <c r="H1393" s="9" t="s">
        <v>139</v>
      </c>
      <c r="I1393" s="9" t="s">
        <v>143</v>
      </c>
      <c r="J1393" s="9" t="s">
        <v>139</v>
      </c>
      <c r="K1393" s="10">
        <v>38525.597511574073</v>
      </c>
    </row>
    <row r="1394" spans="1:11" x14ac:dyDescent="0.25">
      <c r="A1394" s="8">
        <v>2386</v>
      </c>
      <c r="B1394" s="9" t="s">
        <v>9219</v>
      </c>
      <c r="C1394" s="9" t="s">
        <v>139</v>
      </c>
      <c r="D1394" s="9" t="s">
        <v>139</v>
      </c>
      <c r="E1394" s="9">
        <v>75</v>
      </c>
      <c r="F1394" s="9" t="s">
        <v>413</v>
      </c>
      <c r="G1394" s="9" t="s">
        <v>142</v>
      </c>
      <c r="H1394" s="9" t="s">
        <v>139</v>
      </c>
      <c r="I1394" s="9" t="s">
        <v>143</v>
      </c>
      <c r="J1394" s="9" t="s">
        <v>139</v>
      </c>
      <c r="K1394" s="10">
        <v>38526.572060185186</v>
      </c>
    </row>
    <row r="1395" spans="1:11" x14ac:dyDescent="0.25">
      <c r="A1395" s="8">
        <v>2387</v>
      </c>
      <c r="B1395" s="9" t="s">
        <v>9220</v>
      </c>
      <c r="C1395" s="9" t="s">
        <v>139</v>
      </c>
      <c r="D1395" s="9" t="s">
        <v>139</v>
      </c>
      <c r="E1395" s="9">
        <v>75</v>
      </c>
      <c r="F1395" s="9" t="s">
        <v>413</v>
      </c>
      <c r="G1395" s="9" t="s">
        <v>142</v>
      </c>
      <c r="H1395" s="9" t="s">
        <v>139</v>
      </c>
      <c r="I1395" s="9" t="s">
        <v>143</v>
      </c>
      <c r="J1395" s="9" t="s">
        <v>139</v>
      </c>
      <c r="K1395" s="10">
        <v>38526.635798611111</v>
      </c>
    </row>
    <row r="1396" spans="1:11" x14ac:dyDescent="0.25">
      <c r="A1396" s="8">
        <v>2388</v>
      </c>
      <c r="B1396" s="9" t="s">
        <v>9221</v>
      </c>
      <c r="C1396" s="9" t="s">
        <v>139</v>
      </c>
      <c r="D1396" s="9" t="s">
        <v>139</v>
      </c>
      <c r="E1396" s="9">
        <v>75</v>
      </c>
      <c r="F1396" s="9" t="s">
        <v>413</v>
      </c>
      <c r="G1396" s="9" t="s">
        <v>142</v>
      </c>
      <c r="H1396" s="9" t="s">
        <v>139</v>
      </c>
      <c r="I1396" s="9" t="s">
        <v>143</v>
      </c>
      <c r="J1396" s="9" t="s">
        <v>139</v>
      </c>
      <c r="K1396" s="10">
        <v>38527.797997685186</v>
      </c>
    </row>
    <row r="1397" spans="1:11" x14ac:dyDescent="0.25">
      <c r="A1397" s="8">
        <v>2389</v>
      </c>
      <c r="B1397" s="9" t="s">
        <v>9222</v>
      </c>
      <c r="C1397" s="9" t="s">
        <v>139</v>
      </c>
      <c r="D1397" s="9" t="s">
        <v>139</v>
      </c>
      <c r="E1397" s="9">
        <v>75</v>
      </c>
      <c r="F1397" s="9" t="s">
        <v>413</v>
      </c>
      <c r="G1397" s="9" t="s">
        <v>142</v>
      </c>
      <c r="H1397" s="9" t="s">
        <v>139</v>
      </c>
      <c r="I1397" s="9" t="s">
        <v>143</v>
      </c>
      <c r="J1397" s="9" t="s">
        <v>139</v>
      </c>
      <c r="K1397" s="10">
        <v>38528.488310185188</v>
      </c>
    </row>
    <row r="1398" spans="1:11" x14ac:dyDescent="0.25">
      <c r="A1398" s="8">
        <v>2390</v>
      </c>
      <c r="B1398" s="9" t="s">
        <v>9223</v>
      </c>
      <c r="C1398" s="9" t="s">
        <v>139</v>
      </c>
      <c r="D1398" s="9" t="s">
        <v>139</v>
      </c>
      <c r="E1398" s="9">
        <v>75</v>
      </c>
      <c r="F1398" s="9" t="s">
        <v>413</v>
      </c>
      <c r="G1398" s="9" t="s">
        <v>142</v>
      </c>
      <c r="H1398" s="9" t="s">
        <v>139</v>
      </c>
      <c r="I1398" s="9" t="s">
        <v>143</v>
      </c>
      <c r="J1398" s="9" t="s">
        <v>139</v>
      </c>
      <c r="K1398" s="10">
        <v>38528.737650462965</v>
      </c>
    </row>
    <row r="1399" spans="1:11" x14ac:dyDescent="0.25">
      <c r="A1399" s="8">
        <v>2391</v>
      </c>
      <c r="B1399" s="9" t="s">
        <v>5815</v>
      </c>
      <c r="C1399" s="9" t="s">
        <v>2742</v>
      </c>
      <c r="D1399" s="9" t="s">
        <v>139</v>
      </c>
      <c r="E1399" s="9" t="s">
        <v>2743</v>
      </c>
      <c r="F1399" s="9" t="s">
        <v>2744</v>
      </c>
      <c r="G1399" s="9" t="s">
        <v>142</v>
      </c>
      <c r="H1399" s="9" t="s">
        <v>241</v>
      </c>
      <c r="I1399" s="9" t="s">
        <v>411</v>
      </c>
      <c r="J1399" s="9" t="s">
        <v>139</v>
      </c>
      <c r="K1399" s="10">
        <v>38531.794398148151</v>
      </c>
    </row>
    <row r="1400" spans="1:11" x14ac:dyDescent="0.25">
      <c r="A1400" s="8">
        <v>2395</v>
      </c>
      <c r="B1400" s="9" t="s">
        <v>5816</v>
      </c>
      <c r="C1400" s="9" t="s">
        <v>2745</v>
      </c>
      <c r="D1400" s="9" t="s">
        <v>139</v>
      </c>
      <c r="E1400" s="9" t="s">
        <v>2746</v>
      </c>
      <c r="F1400" s="9" t="s">
        <v>471</v>
      </c>
      <c r="G1400" s="9" t="s">
        <v>142</v>
      </c>
      <c r="H1400" s="9" t="s">
        <v>166</v>
      </c>
      <c r="I1400" s="9" t="s">
        <v>411</v>
      </c>
      <c r="J1400" s="9" t="s">
        <v>139</v>
      </c>
      <c r="K1400" s="10">
        <v>38539.547303240739</v>
      </c>
    </row>
    <row r="1401" spans="1:11" x14ac:dyDescent="0.25">
      <c r="A1401" s="8">
        <v>2396</v>
      </c>
      <c r="B1401" s="9" t="s">
        <v>5817</v>
      </c>
      <c r="C1401" s="9" t="s">
        <v>2747</v>
      </c>
      <c r="D1401" s="9" t="s">
        <v>139</v>
      </c>
      <c r="E1401" s="9" t="s">
        <v>419</v>
      </c>
      <c r="F1401" s="9" t="s">
        <v>420</v>
      </c>
      <c r="G1401" s="9" t="s">
        <v>142</v>
      </c>
      <c r="H1401" s="9" t="s">
        <v>139</v>
      </c>
      <c r="I1401" s="9" t="s">
        <v>411</v>
      </c>
      <c r="J1401" s="9" t="s">
        <v>139</v>
      </c>
      <c r="K1401" s="10">
        <v>38546.885300925926</v>
      </c>
    </row>
    <row r="1402" spans="1:11" x14ac:dyDescent="0.25">
      <c r="A1402" s="8">
        <v>2397</v>
      </c>
      <c r="B1402" s="9" t="s">
        <v>5818</v>
      </c>
      <c r="C1402" s="9" t="s">
        <v>2742</v>
      </c>
      <c r="D1402" s="9" t="s">
        <v>139</v>
      </c>
      <c r="E1402" s="9" t="s">
        <v>2743</v>
      </c>
      <c r="F1402" s="9" t="s">
        <v>2748</v>
      </c>
      <c r="G1402" s="9" t="s">
        <v>142</v>
      </c>
      <c r="H1402" s="9" t="s">
        <v>139</v>
      </c>
      <c r="I1402" s="9" t="s">
        <v>411</v>
      </c>
      <c r="J1402" s="9" t="s">
        <v>139</v>
      </c>
      <c r="K1402" s="10">
        <v>38553.743888888886</v>
      </c>
    </row>
    <row r="1403" spans="1:11" x14ac:dyDescent="0.25">
      <c r="A1403" s="8">
        <v>2398</v>
      </c>
      <c r="B1403" s="9" t="s">
        <v>9224</v>
      </c>
      <c r="C1403" s="9" t="s">
        <v>139</v>
      </c>
      <c r="D1403" s="9" t="s">
        <v>139</v>
      </c>
      <c r="E1403" s="9">
        <v>75</v>
      </c>
      <c r="F1403" s="9" t="s">
        <v>413</v>
      </c>
      <c r="G1403" s="9" t="s">
        <v>142</v>
      </c>
      <c r="H1403" s="9" t="s">
        <v>139</v>
      </c>
      <c r="I1403" s="9" t="s">
        <v>143</v>
      </c>
      <c r="J1403" s="9" t="s">
        <v>139</v>
      </c>
      <c r="K1403" s="10">
        <v>38556.754965277774</v>
      </c>
    </row>
    <row r="1404" spans="1:11" x14ac:dyDescent="0.25">
      <c r="A1404" s="8">
        <v>2399</v>
      </c>
      <c r="B1404" s="9" t="s">
        <v>5819</v>
      </c>
      <c r="C1404" s="9" t="s">
        <v>1445</v>
      </c>
      <c r="D1404" s="9" t="s">
        <v>139</v>
      </c>
      <c r="E1404" s="9" t="s">
        <v>229</v>
      </c>
      <c r="F1404" s="9" t="s">
        <v>141</v>
      </c>
      <c r="G1404" s="9" t="s">
        <v>142</v>
      </c>
      <c r="H1404" s="9" t="s">
        <v>166</v>
      </c>
      <c r="I1404" s="9" t="s">
        <v>411</v>
      </c>
      <c r="J1404" s="9" t="s">
        <v>139</v>
      </c>
      <c r="K1404" s="10">
        <v>38560.807488425926</v>
      </c>
    </row>
    <row r="1405" spans="1:11" x14ac:dyDescent="0.25">
      <c r="A1405" s="8">
        <v>2400</v>
      </c>
      <c r="B1405" s="9" t="s">
        <v>5820</v>
      </c>
      <c r="C1405" s="9" t="s">
        <v>2749</v>
      </c>
      <c r="D1405" s="9" t="s">
        <v>139</v>
      </c>
      <c r="E1405" s="9" t="s">
        <v>2750</v>
      </c>
      <c r="F1405" s="9" t="s">
        <v>2751</v>
      </c>
      <c r="G1405" s="9" t="s">
        <v>142</v>
      </c>
      <c r="H1405" s="9" t="s">
        <v>241</v>
      </c>
      <c r="I1405" s="9" t="s">
        <v>411</v>
      </c>
      <c r="J1405" s="9" t="s">
        <v>139</v>
      </c>
      <c r="K1405" s="10">
        <v>38561.699131944442</v>
      </c>
    </row>
    <row r="1406" spans="1:11" x14ac:dyDescent="0.25">
      <c r="A1406" s="8">
        <v>2402</v>
      </c>
      <c r="B1406" s="9" t="s">
        <v>5821</v>
      </c>
      <c r="C1406" s="9" t="s">
        <v>2752</v>
      </c>
      <c r="D1406" s="9" t="s">
        <v>139</v>
      </c>
      <c r="E1406" s="9" t="s">
        <v>308</v>
      </c>
      <c r="F1406" s="9" t="s">
        <v>413</v>
      </c>
      <c r="G1406" s="9" t="s">
        <v>142</v>
      </c>
      <c r="H1406" s="9" t="s">
        <v>166</v>
      </c>
      <c r="I1406" s="9" t="s">
        <v>411</v>
      </c>
      <c r="J1406" s="9" t="s">
        <v>139</v>
      </c>
      <c r="K1406" s="10">
        <v>38589.572812500002</v>
      </c>
    </row>
    <row r="1407" spans="1:11" x14ac:dyDescent="0.25">
      <c r="A1407" s="8">
        <v>2406</v>
      </c>
      <c r="B1407" s="9" t="s">
        <v>5822</v>
      </c>
      <c r="C1407" s="9" t="s">
        <v>2753</v>
      </c>
      <c r="D1407" s="9" t="s">
        <v>139</v>
      </c>
      <c r="E1407" s="9" t="s">
        <v>2754</v>
      </c>
      <c r="F1407" s="9" t="s">
        <v>2755</v>
      </c>
      <c r="G1407" s="9" t="s">
        <v>142</v>
      </c>
      <c r="H1407" s="9" t="s">
        <v>166</v>
      </c>
      <c r="I1407" s="9" t="s">
        <v>411</v>
      </c>
      <c r="J1407" s="9" t="s">
        <v>139</v>
      </c>
      <c r="K1407" s="10">
        <v>38589.577557870369</v>
      </c>
    </row>
    <row r="1408" spans="1:11" x14ac:dyDescent="0.25">
      <c r="A1408" s="8">
        <v>2407</v>
      </c>
      <c r="B1408" s="9" t="s">
        <v>5823</v>
      </c>
      <c r="C1408" s="9" t="s">
        <v>2756</v>
      </c>
      <c r="D1408" s="9" t="s">
        <v>139</v>
      </c>
      <c r="E1408" s="9" t="s">
        <v>2351</v>
      </c>
      <c r="F1408" s="9" t="s">
        <v>2757</v>
      </c>
      <c r="G1408" s="9" t="s">
        <v>142</v>
      </c>
      <c r="H1408" s="9" t="s">
        <v>166</v>
      </c>
      <c r="I1408" s="9" t="s">
        <v>411</v>
      </c>
      <c r="J1408" s="9" t="s">
        <v>2758</v>
      </c>
      <c r="K1408" s="10">
        <v>38589.578819444447</v>
      </c>
    </row>
    <row r="1409" spans="1:11" x14ac:dyDescent="0.25">
      <c r="A1409" s="8">
        <v>2412</v>
      </c>
      <c r="B1409" s="9" t="s">
        <v>5824</v>
      </c>
      <c r="C1409" s="9" t="s">
        <v>2759</v>
      </c>
      <c r="D1409" s="9" t="s">
        <v>2760</v>
      </c>
      <c r="E1409" s="9" t="s">
        <v>2761</v>
      </c>
      <c r="F1409" s="9" t="s">
        <v>2762</v>
      </c>
      <c r="G1409" s="9" t="s">
        <v>142</v>
      </c>
      <c r="H1409" s="9" t="s">
        <v>139</v>
      </c>
      <c r="I1409" s="9" t="s">
        <v>411</v>
      </c>
      <c r="J1409" s="9" t="s">
        <v>139</v>
      </c>
      <c r="K1409" s="10">
        <v>38589.584814814814</v>
      </c>
    </row>
    <row r="1410" spans="1:11" x14ac:dyDescent="0.25">
      <c r="A1410" s="8">
        <v>2415</v>
      </c>
      <c r="B1410" s="9" t="s">
        <v>5825</v>
      </c>
      <c r="C1410" s="9" t="s">
        <v>2763</v>
      </c>
      <c r="D1410" s="9" t="s">
        <v>139</v>
      </c>
      <c r="E1410" s="9" t="s">
        <v>2764</v>
      </c>
      <c r="F1410" s="9" t="s">
        <v>2765</v>
      </c>
      <c r="G1410" s="9" t="s">
        <v>142</v>
      </c>
      <c r="H1410" s="9" t="s">
        <v>166</v>
      </c>
      <c r="I1410" s="9" t="s">
        <v>411</v>
      </c>
      <c r="J1410" s="9" t="s">
        <v>139</v>
      </c>
      <c r="K1410" s="10">
        <v>38599.793761574074</v>
      </c>
    </row>
    <row r="1411" spans="1:11" x14ac:dyDescent="0.25">
      <c r="A1411" s="8">
        <v>2417</v>
      </c>
      <c r="B1411" s="9" t="s">
        <v>5826</v>
      </c>
      <c r="C1411" s="9" t="s">
        <v>2766</v>
      </c>
      <c r="D1411" s="9" t="s">
        <v>2767</v>
      </c>
      <c r="E1411" s="9" t="s">
        <v>2768</v>
      </c>
      <c r="F1411" s="9" t="s">
        <v>2769</v>
      </c>
      <c r="G1411" s="9" t="s">
        <v>142</v>
      </c>
      <c r="H1411" s="9" t="s">
        <v>139</v>
      </c>
      <c r="I1411" s="9" t="s">
        <v>411</v>
      </c>
      <c r="J1411" s="9" t="s">
        <v>139</v>
      </c>
      <c r="K1411" s="10">
        <v>38599.824849537035</v>
      </c>
    </row>
    <row r="1412" spans="1:11" x14ac:dyDescent="0.25">
      <c r="A1412" s="8">
        <v>2420</v>
      </c>
      <c r="B1412" s="9" t="s">
        <v>5827</v>
      </c>
      <c r="C1412" s="9" t="s">
        <v>2770</v>
      </c>
      <c r="D1412" s="9" t="s">
        <v>139</v>
      </c>
      <c r="E1412" s="9" t="s">
        <v>736</v>
      </c>
      <c r="F1412" s="9" t="s">
        <v>737</v>
      </c>
      <c r="G1412" s="9" t="s">
        <v>142</v>
      </c>
      <c r="H1412" s="9" t="s">
        <v>139</v>
      </c>
      <c r="I1412" s="9" t="s">
        <v>411</v>
      </c>
      <c r="J1412" s="9" t="s">
        <v>2771</v>
      </c>
      <c r="K1412" s="10">
        <v>38599.844525462962</v>
      </c>
    </row>
    <row r="1413" spans="1:11" x14ac:dyDescent="0.25">
      <c r="A1413" s="8">
        <v>2421</v>
      </c>
      <c r="B1413" s="9" t="s">
        <v>5828</v>
      </c>
      <c r="C1413" s="9" t="s">
        <v>2772</v>
      </c>
      <c r="D1413" s="9" t="s">
        <v>139</v>
      </c>
      <c r="E1413" s="9" t="s">
        <v>2773</v>
      </c>
      <c r="F1413" s="9" t="s">
        <v>425</v>
      </c>
      <c r="G1413" s="9" t="s">
        <v>142</v>
      </c>
      <c r="H1413" s="9" t="s">
        <v>139</v>
      </c>
      <c r="I1413" s="9" t="s">
        <v>411</v>
      </c>
      <c r="J1413" s="9" t="s">
        <v>2774</v>
      </c>
      <c r="K1413" s="10">
        <v>38602.723055555558</v>
      </c>
    </row>
    <row r="1414" spans="1:11" x14ac:dyDescent="0.25">
      <c r="A1414" s="8">
        <v>2422</v>
      </c>
      <c r="B1414" s="9" t="s">
        <v>5829</v>
      </c>
      <c r="C1414" s="9" t="s">
        <v>2775</v>
      </c>
      <c r="D1414" s="9" t="s">
        <v>2776</v>
      </c>
      <c r="E1414" s="9" t="s">
        <v>2777</v>
      </c>
      <c r="F1414" s="9" t="s">
        <v>2778</v>
      </c>
      <c r="G1414" s="9" t="s">
        <v>142</v>
      </c>
      <c r="H1414" s="9" t="s">
        <v>139</v>
      </c>
      <c r="I1414" s="9" t="s">
        <v>411</v>
      </c>
      <c r="J1414" s="9" t="s">
        <v>2779</v>
      </c>
      <c r="K1414" s="10">
        <v>38602.756226851852</v>
      </c>
    </row>
    <row r="1415" spans="1:11" x14ac:dyDescent="0.25">
      <c r="A1415" s="8">
        <v>2423</v>
      </c>
      <c r="B1415" s="9" t="s">
        <v>5830</v>
      </c>
      <c r="C1415" s="9" t="s">
        <v>2780</v>
      </c>
      <c r="D1415" s="9" t="s">
        <v>139</v>
      </c>
      <c r="E1415" s="9" t="s">
        <v>2781</v>
      </c>
      <c r="F1415" s="9" t="s">
        <v>2782</v>
      </c>
      <c r="G1415" s="9" t="s">
        <v>142</v>
      </c>
      <c r="H1415" s="9" t="s">
        <v>241</v>
      </c>
      <c r="I1415" s="9" t="s">
        <v>411</v>
      </c>
      <c r="J1415" s="9" t="s">
        <v>2783</v>
      </c>
      <c r="K1415" s="10">
        <v>38602.759618055556</v>
      </c>
    </row>
    <row r="1416" spans="1:11" x14ac:dyDescent="0.25">
      <c r="A1416" s="8">
        <v>2424</v>
      </c>
      <c r="B1416" s="9" t="s">
        <v>5831</v>
      </c>
      <c r="C1416" s="9" t="s">
        <v>2784</v>
      </c>
      <c r="D1416" s="9" t="s">
        <v>139</v>
      </c>
      <c r="E1416" s="9" t="s">
        <v>2785</v>
      </c>
      <c r="F1416" s="9" t="s">
        <v>2786</v>
      </c>
      <c r="G1416" s="9" t="s">
        <v>142</v>
      </c>
      <c r="H1416" s="9" t="s">
        <v>241</v>
      </c>
      <c r="I1416" s="9" t="s">
        <v>411</v>
      </c>
      <c r="J1416" s="9" t="s">
        <v>2787</v>
      </c>
      <c r="K1416" s="10">
        <v>38602.774652777778</v>
      </c>
    </row>
    <row r="1417" spans="1:11" x14ac:dyDescent="0.25">
      <c r="A1417" s="8">
        <v>2425</v>
      </c>
      <c r="B1417" s="9" t="s">
        <v>5832</v>
      </c>
      <c r="C1417" s="9" t="s">
        <v>2788</v>
      </c>
      <c r="D1417" s="9" t="s">
        <v>139</v>
      </c>
      <c r="E1417" s="9" t="s">
        <v>2789</v>
      </c>
      <c r="F1417" s="9" t="s">
        <v>2790</v>
      </c>
      <c r="G1417" s="9" t="s">
        <v>142</v>
      </c>
      <c r="H1417" s="9" t="s">
        <v>241</v>
      </c>
      <c r="I1417" s="9" t="s">
        <v>411</v>
      </c>
      <c r="J1417" s="9" t="s">
        <v>2791</v>
      </c>
      <c r="K1417" s="10">
        <v>38602.785439814812</v>
      </c>
    </row>
    <row r="1418" spans="1:11" x14ac:dyDescent="0.25">
      <c r="A1418" s="8">
        <v>2426</v>
      </c>
      <c r="B1418" s="9" t="s">
        <v>5833</v>
      </c>
      <c r="C1418" s="9" t="s">
        <v>2792</v>
      </c>
      <c r="D1418" s="9" t="s">
        <v>139</v>
      </c>
      <c r="E1418" s="9" t="s">
        <v>2793</v>
      </c>
      <c r="F1418" s="9" t="s">
        <v>5149</v>
      </c>
      <c r="G1418" s="9" t="s">
        <v>142</v>
      </c>
      <c r="H1418" s="9" t="s">
        <v>241</v>
      </c>
      <c r="I1418" s="9" t="s">
        <v>411</v>
      </c>
      <c r="J1418" s="9" t="s">
        <v>2794</v>
      </c>
      <c r="K1418" s="10">
        <v>38603.545497685183</v>
      </c>
    </row>
    <row r="1419" spans="1:11" x14ac:dyDescent="0.25">
      <c r="A1419" s="8">
        <v>2427</v>
      </c>
      <c r="B1419" s="9" t="s">
        <v>5834</v>
      </c>
      <c r="C1419" s="9" t="s">
        <v>2795</v>
      </c>
      <c r="D1419" s="9" t="s">
        <v>139</v>
      </c>
      <c r="E1419" s="9" t="s">
        <v>2796</v>
      </c>
      <c r="F1419" s="9" t="s">
        <v>2797</v>
      </c>
      <c r="G1419" s="9" t="s">
        <v>142</v>
      </c>
      <c r="H1419" s="9" t="s">
        <v>139</v>
      </c>
      <c r="I1419" s="9" t="s">
        <v>411</v>
      </c>
      <c r="J1419" s="9" t="s">
        <v>2798</v>
      </c>
      <c r="K1419" s="10">
        <v>38604.616597222222</v>
      </c>
    </row>
    <row r="1420" spans="1:11" x14ac:dyDescent="0.25">
      <c r="A1420" s="8">
        <v>2429</v>
      </c>
      <c r="B1420" s="9" t="s">
        <v>5835</v>
      </c>
      <c r="C1420" s="9" t="s">
        <v>2799</v>
      </c>
      <c r="D1420" s="9" t="s">
        <v>139</v>
      </c>
      <c r="E1420" s="9" t="s">
        <v>299</v>
      </c>
      <c r="F1420" s="9" t="s">
        <v>2800</v>
      </c>
      <c r="G1420" s="9" t="s">
        <v>142</v>
      </c>
      <c r="H1420" s="9" t="s">
        <v>139</v>
      </c>
      <c r="I1420" s="9" t="s">
        <v>411</v>
      </c>
      <c r="J1420" s="9" t="s">
        <v>139</v>
      </c>
      <c r="K1420" s="10">
        <v>38605.534930555557</v>
      </c>
    </row>
    <row r="1421" spans="1:11" x14ac:dyDescent="0.25">
      <c r="A1421" s="8">
        <v>2431</v>
      </c>
      <c r="B1421" s="9" t="s">
        <v>5836</v>
      </c>
      <c r="C1421" s="9" t="s">
        <v>2801</v>
      </c>
      <c r="D1421" s="9" t="s">
        <v>139</v>
      </c>
      <c r="E1421" s="9" t="s">
        <v>2802</v>
      </c>
      <c r="F1421" s="9" t="s">
        <v>2803</v>
      </c>
      <c r="G1421" s="9" t="s">
        <v>142</v>
      </c>
      <c r="H1421" s="9" t="s">
        <v>139</v>
      </c>
      <c r="I1421" s="9" t="s">
        <v>411</v>
      </c>
      <c r="J1421" s="9" t="s">
        <v>2804</v>
      </c>
      <c r="K1421" s="10">
        <v>38608.564837962964</v>
      </c>
    </row>
    <row r="1422" spans="1:11" x14ac:dyDescent="0.25">
      <c r="A1422" s="8">
        <v>2432</v>
      </c>
      <c r="B1422" s="9" t="s">
        <v>9225</v>
      </c>
      <c r="C1422" s="9" t="s">
        <v>2805</v>
      </c>
      <c r="D1422" s="9" t="s">
        <v>139</v>
      </c>
      <c r="E1422" s="9" t="s">
        <v>222</v>
      </c>
      <c r="F1422" s="9" t="s">
        <v>223</v>
      </c>
      <c r="G1422" s="9" t="s">
        <v>142</v>
      </c>
      <c r="H1422" s="9" t="s">
        <v>139</v>
      </c>
      <c r="I1422" s="9" t="s">
        <v>143</v>
      </c>
      <c r="J1422" s="9" t="s">
        <v>139</v>
      </c>
      <c r="K1422" s="10">
        <v>38608.86005787037</v>
      </c>
    </row>
    <row r="1423" spans="1:11" x14ac:dyDescent="0.25">
      <c r="A1423" s="8">
        <v>2433</v>
      </c>
      <c r="B1423" s="9" t="s">
        <v>5837</v>
      </c>
      <c r="C1423" s="9" t="s">
        <v>2806</v>
      </c>
      <c r="D1423" s="9" t="s">
        <v>139</v>
      </c>
      <c r="E1423" s="9" t="s">
        <v>147</v>
      </c>
      <c r="F1423" s="9" t="s">
        <v>141</v>
      </c>
      <c r="G1423" s="9" t="s">
        <v>142</v>
      </c>
      <c r="H1423" s="9" t="s">
        <v>139</v>
      </c>
      <c r="I1423" s="9" t="s">
        <v>411</v>
      </c>
      <c r="J1423" s="9" t="s">
        <v>139</v>
      </c>
      <c r="K1423" s="10">
        <v>38616.93650462963</v>
      </c>
    </row>
    <row r="1424" spans="1:11" x14ac:dyDescent="0.25">
      <c r="A1424" s="8">
        <v>2435</v>
      </c>
      <c r="B1424" s="9" t="s">
        <v>9226</v>
      </c>
      <c r="C1424" s="9" t="s">
        <v>2807</v>
      </c>
      <c r="D1424" s="9" t="s">
        <v>139</v>
      </c>
      <c r="E1424" s="9" t="s">
        <v>306</v>
      </c>
      <c r="F1424" s="9" t="s">
        <v>141</v>
      </c>
      <c r="G1424" s="9" t="s">
        <v>142</v>
      </c>
      <c r="H1424" s="9" t="s">
        <v>241</v>
      </c>
      <c r="I1424" s="9" t="s">
        <v>143</v>
      </c>
      <c r="J1424" s="9" t="s">
        <v>139</v>
      </c>
      <c r="K1424" s="10">
        <v>38629.722384259258</v>
      </c>
    </row>
    <row r="1425" spans="1:11" x14ac:dyDescent="0.25">
      <c r="A1425" s="8">
        <v>2436</v>
      </c>
      <c r="B1425" s="9" t="s">
        <v>9227</v>
      </c>
      <c r="C1425" s="9" t="s">
        <v>139</v>
      </c>
      <c r="D1425" s="9" t="s">
        <v>139</v>
      </c>
      <c r="E1425" s="9">
        <v>75</v>
      </c>
      <c r="F1425" s="9" t="s">
        <v>413</v>
      </c>
      <c r="G1425" s="9" t="s">
        <v>142</v>
      </c>
      <c r="H1425" s="9" t="s">
        <v>241</v>
      </c>
      <c r="I1425" s="9" t="s">
        <v>143</v>
      </c>
      <c r="J1425" s="9" t="s">
        <v>139</v>
      </c>
      <c r="K1425" s="10">
        <v>38631.689756944441</v>
      </c>
    </row>
    <row r="1426" spans="1:11" x14ac:dyDescent="0.25">
      <c r="A1426" s="8">
        <v>2437</v>
      </c>
      <c r="B1426" s="9" t="s">
        <v>9228</v>
      </c>
      <c r="C1426" s="9" t="s">
        <v>2808</v>
      </c>
      <c r="D1426" s="9" t="s">
        <v>139</v>
      </c>
      <c r="E1426" s="9" t="s">
        <v>576</v>
      </c>
      <c r="F1426" s="9" t="s">
        <v>577</v>
      </c>
      <c r="G1426" s="9" t="s">
        <v>142</v>
      </c>
      <c r="H1426" s="9" t="s">
        <v>139</v>
      </c>
      <c r="I1426" s="9" t="s">
        <v>143</v>
      </c>
      <c r="J1426" s="9" t="s">
        <v>139</v>
      </c>
      <c r="K1426" s="10">
        <v>38632.638703703706</v>
      </c>
    </row>
    <row r="1427" spans="1:11" x14ac:dyDescent="0.25">
      <c r="A1427" s="8">
        <v>2438</v>
      </c>
      <c r="B1427" s="9" t="s">
        <v>5838</v>
      </c>
      <c r="C1427" s="9" t="s">
        <v>2809</v>
      </c>
      <c r="D1427" s="9" t="s">
        <v>139</v>
      </c>
      <c r="E1427" s="9" t="s">
        <v>2810</v>
      </c>
      <c r="F1427" s="9" t="s">
        <v>2811</v>
      </c>
      <c r="G1427" s="9" t="s">
        <v>142</v>
      </c>
      <c r="H1427" s="9" t="s">
        <v>139</v>
      </c>
      <c r="I1427" s="9" t="s">
        <v>411</v>
      </c>
      <c r="J1427" s="9" t="s">
        <v>139</v>
      </c>
      <c r="K1427" s="10">
        <v>38637.735717592594</v>
      </c>
    </row>
    <row r="1428" spans="1:11" x14ac:dyDescent="0.25">
      <c r="A1428" s="8">
        <v>2439</v>
      </c>
      <c r="B1428" s="9" t="s">
        <v>5839</v>
      </c>
      <c r="C1428" s="9" t="s">
        <v>2812</v>
      </c>
      <c r="D1428" s="9" t="s">
        <v>139</v>
      </c>
      <c r="E1428" s="9" t="s">
        <v>2737</v>
      </c>
      <c r="F1428" s="9" t="s">
        <v>2813</v>
      </c>
      <c r="G1428" s="9" t="s">
        <v>142</v>
      </c>
      <c r="H1428" s="9" t="s">
        <v>139</v>
      </c>
      <c r="I1428" s="9" t="s">
        <v>411</v>
      </c>
      <c r="J1428" s="9" t="s">
        <v>2814</v>
      </c>
      <c r="K1428" s="10">
        <v>38638.674942129626</v>
      </c>
    </row>
    <row r="1429" spans="1:11" x14ac:dyDescent="0.25">
      <c r="A1429" s="8">
        <v>2440</v>
      </c>
      <c r="B1429" s="9" t="s">
        <v>5840</v>
      </c>
      <c r="C1429" s="9" t="s">
        <v>2815</v>
      </c>
      <c r="D1429" s="9" t="s">
        <v>2816</v>
      </c>
      <c r="E1429" s="9" t="s">
        <v>1903</v>
      </c>
      <c r="F1429" s="9" t="s">
        <v>1904</v>
      </c>
      <c r="G1429" s="9" t="s">
        <v>142</v>
      </c>
      <c r="H1429" s="9" t="s">
        <v>139</v>
      </c>
      <c r="I1429" s="9" t="s">
        <v>411</v>
      </c>
      <c r="J1429" s="9" t="s">
        <v>139</v>
      </c>
      <c r="K1429" s="10">
        <v>38638.928888888891</v>
      </c>
    </row>
    <row r="1430" spans="1:11" x14ac:dyDescent="0.25">
      <c r="A1430" s="8">
        <v>2442</v>
      </c>
      <c r="B1430" s="9" t="s">
        <v>5841</v>
      </c>
      <c r="C1430" s="9" t="s">
        <v>2817</v>
      </c>
      <c r="D1430" s="9" t="s">
        <v>139</v>
      </c>
      <c r="E1430" s="9" t="s">
        <v>2785</v>
      </c>
      <c r="F1430" s="9" t="s">
        <v>2786</v>
      </c>
      <c r="G1430" s="9" t="s">
        <v>142</v>
      </c>
      <c r="H1430" s="9" t="s">
        <v>139</v>
      </c>
      <c r="I1430" s="9" t="s">
        <v>411</v>
      </c>
      <c r="J1430" s="9" t="s">
        <v>139</v>
      </c>
      <c r="K1430" s="10">
        <v>38659.617071759261</v>
      </c>
    </row>
    <row r="1431" spans="1:11" x14ac:dyDescent="0.25">
      <c r="A1431" s="8">
        <v>2443</v>
      </c>
      <c r="B1431" s="9" t="s">
        <v>5842</v>
      </c>
      <c r="C1431" s="9" t="s">
        <v>2818</v>
      </c>
      <c r="D1431" s="9" t="s">
        <v>139</v>
      </c>
      <c r="E1431" s="9" t="s">
        <v>2819</v>
      </c>
      <c r="F1431" s="9" t="s">
        <v>2820</v>
      </c>
      <c r="G1431" s="9" t="s">
        <v>142</v>
      </c>
      <c r="H1431" s="9" t="s">
        <v>139</v>
      </c>
      <c r="I1431" s="9" t="s">
        <v>411</v>
      </c>
      <c r="J1431" s="9" t="s">
        <v>139</v>
      </c>
      <c r="K1431" s="10">
        <v>38659.622881944444</v>
      </c>
    </row>
    <row r="1432" spans="1:11" x14ac:dyDescent="0.25">
      <c r="A1432" s="8">
        <v>2444</v>
      </c>
      <c r="B1432" s="9" t="s">
        <v>5843</v>
      </c>
      <c r="C1432" s="9" t="s">
        <v>2821</v>
      </c>
      <c r="D1432" s="9" t="s">
        <v>139</v>
      </c>
      <c r="E1432" s="9" t="s">
        <v>977</v>
      </c>
      <c r="F1432" s="9" t="s">
        <v>978</v>
      </c>
      <c r="G1432" s="9" t="s">
        <v>142</v>
      </c>
      <c r="H1432" s="9" t="s">
        <v>139</v>
      </c>
      <c r="I1432" s="9" t="s">
        <v>411</v>
      </c>
      <c r="J1432" s="9" t="s">
        <v>139</v>
      </c>
      <c r="K1432" s="10">
        <v>38659.624837962961</v>
      </c>
    </row>
    <row r="1433" spans="1:11" x14ac:dyDescent="0.25">
      <c r="A1433" s="8">
        <v>2446</v>
      </c>
      <c r="B1433" s="9" t="s">
        <v>5844</v>
      </c>
      <c r="C1433" s="9" t="s">
        <v>2822</v>
      </c>
      <c r="D1433" s="9" t="s">
        <v>139</v>
      </c>
      <c r="E1433" s="9" t="s">
        <v>2823</v>
      </c>
      <c r="F1433" s="9" t="s">
        <v>2824</v>
      </c>
      <c r="G1433" s="9" t="s">
        <v>142</v>
      </c>
      <c r="H1433" s="9" t="s">
        <v>321</v>
      </c>
      <c r="I1433" s="9" t="s">
        <v>411</v>
      </c>
      <c r="J1433" s="9" t="s">
        <v>139</v>
      </c>
      <c r="K1433" s="10">
        <v>38659.629178240742</v>
      </c>
    </row>
    <row r="1434" spans="1:11" x14ac:dyDescent="0.25">
      <c r="A1434" s="8">
        <v>2449</v>
      </c>
      <c r="B1434" s="9" t="s">
        <v>9229</v>
      </c>
      <c r="C1434" s="9" t="s">
        <v>2825</v>
      </c>
      <c r="D1434" s="9" t="s">
        <v>139</v>
      </c>
      <c r="E1434" s="9" t="s">
        <v>263</v>
      </c>
      <c r="F1434" s="9" t="s">
        <v>141</v>
      </c>
      <c r="G1434" s="9" t="s">
        <v>142</v>
      </c>
      <c r="H1434" s="9" t="s">
        <v>166</v>
      </c>
      <c r="I1434" s="9" t="s">
        <v>143</v>
      </c>
      <c r="J1434" s="9" t="s">
        <v>139</v>
      </c>
      <c r="K1434" s="10">
        <v>38659.687418981484</v>
      </c>
    </row>
    <row r="1435" spans="1:11" x14ac:dyDescent="0.25">
      <c r="A1435" s="8">
        <v>2450</v>
      </c>
      <c r="B1435" s="9" t="s">
        <v>5845</v>
      </c>
      <c r="C1435" s="9" t="s">
        <v>2770</v>
      </c>
      <c r="D1435" s="9" t="s">
        <v>139</v>
      </c>
      <c r="E1435" s="9" t="s">
        <v>736</v>
      </c>
      <c r="F1435" s="9" t="s">
        <v>737</v>
      </c>
      <c r="G1435" s="9" t="s">
        <v>142</v>
      </c>
      <c r="H1435" s="9" t="s">
        <v>139</v>
      </c>
      <c r="I1435" s="9" t="s">
        <v>411</v>
      </c>
      <c r="J1435" s="9" t="s">
        <v>2826</v>
      </c>
      <c r="K1435" s="10">
        <v>38663.741678240738</v>
      </c>
    </row>
    <row r="1436" spans="1:11" x14ac:dyDescent="0.25">
      <c r="A1436" s="8">
        <v>2451</v>
      </c>
      <c r="B1436" s="9" t="s">
        <v>9230</v>
      </c>
      <c r="C1436" s="9" t="s">
        <v>2827</v>
      </c>
      <c r="D1436" s="9" t="s">
        <v>139</v>
      </c>
      <c r="E1436" s="9" t="s">
        <v>1053</v>
      </c>
      <c r="F1436" s="9" t="s">
        <v>1054</v>
      </c>
      <c r="G1436" s="9" t="s">
        <v>142</v>
      </c>
      <c r="H1436" s="9" t="s">
        <v>166</v>
      </c>
      <c r="I1436" s="9" t="s">
        <v>143</v>
      </c>
      <c r="J1436" s="9" t="s">
        <v>139</v>
      </c>
      <c r="K1436" s="10">
        <v>38663.824675925927</v>
      </c>
    </row>
    <row r="1437" spans="1:11" x14ac:dyDescent="0.25">
      <c r="A1437" s="8">
        <v>2452</v>
      </c>
      <c r="B1437" s="9" t="s">
        <v>5846</v>
      </c>
      <c r="C1437" s="9" t="s">
        <v>2828</v>
      </c>
      <c r="D1437" s="9" t="s">
        <v>139</v>
      </c>
      <c r="E1437" s="9" t="s">
        <v>1277</v>
      </c>
      <c r="F1437" s="9" t="s">
        <v>1278</v>
      </c>
      <c r="G1437" s="9" t="s">
        <v>142</v>
      </c>
      <c r="H1437" s="9" t="s">
        <v>139</v>
      </c>
      <c r="I1437" s="9" t="s">
        <v>411</v>
      </c>
      <c r="J1437" s="9" t="s">
        <v>2829</v>
      </c>
      <c r="K1437" s="10">
        <v>38671.765914351854</v>
      </c>
    </row>
    <row r="1438" spans="1:11" x14ac:dyDescent="0.25">
      <c r="A1438" s="8">
        <v>2453</v>
      </c>
      <c r="B1438" s="9" t="s">
        <v>5847</v>
      </c>
      <c r="C1438" s="9" t="s">
        <v>2830</v>
      </c>
      <c r="D1438" s="9" t="s">
        <v>139</v>
      </c>
      <c r="E1438" s="9" t="s">
        <v>2831</v>
      </c>
      <c r="F1438" s="9" t="s">
        <v>2832</v>
      </c>
      <c r="G1438" s="9" t="s">
        <v>142</v>
      </c>
      <c r="H1438" s="9" t="s">
        <v>139</v>
      </c>
      <c r="I1438" s="9" t="s">
        <v>411</v>
      </c>
      <c r="J1438" s="9" t="s">
        <v>2833</v>
      </c>
      <c r="K1438" s="10">
        <v>38674.565462962964</v>
      </c>
    </row>
    <row r="1439" spans="1:11" x14ac:dyDescent="0.25">
      <c r="A1439" s="8">
        <v>2455</v>
      </c>
      <c r="B1439" s="9" t="s">
        <v>9231</v>
      </c>
      <c r="C1439" s="9" t="s">
        <v>2834</v>
      </c>
      <c r="D1439" s="9" t="s">
        <v>139</v>
      </c>
      <c r="E1439" s="9" t="s">
        <v>2835</v>
      </c>
      <c r="F1439" s="9" t="s">
        <v>2836</v>
      </c>
      <c r="G1439" s="9" t="s">
        <v>142</v>
      </c>
      <c r="H1439" s="9" t="s">
        <v>139</v>
      </c>
      <c r="I1439" s="9" t="s">
        <v>143</v>
      </c>
      <c r="J1439" s="9" t="s">
        <v>139</v>
      </c>
      <c r="K1439" s="10">
        <v>38679.798634259256</v>
      </c>
    </row>
    <row r="1440" spans="1:11" x14ac:dyDescent="0.25">
      <c r="A1440" s="8">
        <v>2457</v>
      </c>
      <c r="B1440" s="9" t="s">
        <v>9232</v>
      </c>
      <c r="C1440" s="9" t="s">
        <v>2837</v>
      </c>
      <c r="D1440" s="9" t="s">
        <v>139</v>
      </c>
      <c r="E1440" s="9" t="s">
        <v>229</v>
      </c>
      <c r="F1440" s="9" t="s">
        <v>709</v>
      </c>
      <c r="G1440" s="9" t="s">
        <v>142</v>
      </c>
      <c r="H1440" s="9" t="s">
        <v>166</v>
      </c>
      <c r="I1440" s="9" t="s">
        <v>143</v>
      </c>
      <c r="J1440" s="9" t="s">
        <v>139</v>
      </c>
      <c r="K1440" s="10">
        <v>38684.748541666668</v>
      </c>
    </row>
    <row r="1441" spans="1:11" x14ac:dyDescent="0.25">
      <c r="A1441" s="8">
        <v>2458</v>
      </c>
      <c r="B1441" s="9" t="s">
        <v>5848</v>
      </c>
      <c r="C1441" s="9" t="s">
        <v>2838</v>
      </c>
      <c r="D1441" s="9" t="s">
        <v>139</v>
      </c>
      <c r="E1441" s="9" t="s">
        <v>2122</v>
      </c>
      <c r="F1441" s="9" t="s">
        <v>2839</v>
      </c>
      <c r="G1441" s="9" t="s">
        <v>142</v>
      </c>
      <c r="H1441" s="9" t="s">
        <v>241</v>
      </c>
      <c r="I1441" s="9" t="s">
        <v>411</v>
      </c>
      <c r="J1441" s="9" t="s">
        <v>139</v>
      </c>
      <c r="K1441" s="10">
        <v>38685.690578703703</v>
      </c>
    </row>
    <row r="1442" spans="1:11" x14ac:dyDescent="0.25">
      <c r="A1442" s="8">
        <v>2459</v>
      </c>
      <c r="B1442" s="9" t="s">
        <v>5849</v>
      </c>
      <c r="C1442" s="9" t="s">
        <v>2840</v>
      </c>
      <c r="D1442" s="9" t="s">
        <v>139</v>
      </c>
      <c r="E1442" s="9" t="s">
        <v>2122</v>
      </c>
      <c r="F1442" s="9" t="s">
        <v>2839</v>
      </c>
      <c r="G1442" s="9" t="s">
        <v>142</v>
      </c>
      <c r="H1442" s="9" t="s">
        <v>241</v>
      </c>
      <c r="I1442" s="9" t="s">
        <v>411</v>
      </c>
      <c r="J1442" s="9" t="s">
        <v>139</v>
      </c>
      <c r="K1442" s="10">
        <v>38685.693576388891</v>
      </c>
    </row>
    <row r="1443" spans="1:11" x14ac:dyDescent="0.25">
      <c r="A1443" s="8">
        <v>2460</v>
      </c>
      <c r="B1443" s="9" t="s">
        <v>5850</v>
      </c>
      <c r="C1443" s="9" t="s">
        <v>2841</v>
      </c>
      <c r="D1443" s="9" t="s">
        <v>139</v>
      </c>
      <c r="E1443" s="9" t="s">
        <v>2122</v>
      </c>
      <c r="F1443" s="9" t="s">
        <v>2839</v>
      </c>
      <c r="G1443" s="9" t="s">
        <v>142</v>
      </c>
      <c r="H1443" s="9" t="s">
        <v>139</v>
      </c>
      <c r="I1443" s="9" t="s">
        <v>411</v>
      </c>
      <c r="J1443" s="9" t="s">
        <v>139</v>
      </c>
      <c r="K1443" s="10">
        <v>38685.696076388886</v>
      </c>
    </row>
    <row r="1444" spans="1:11" x14ac:dyDescent="0.25">
      <c r="A1444" s="8">
        <v>2462</v>
      </c>
      <c r="B1444" s="9" t="s">
        <v>5851</v>
      </c>
      <c r="C1444" s="9" t="s">
        <v>2842</v>
      </c>
      <c r="D1444" s="9" t="s">
        <v>139</v>
      </c>
      <c r="E1444" s="9" t="s">
        <v>2843</v>
      </c>
      <c r="F1444" s="9" t="s">
        <v>2844</v>
      </c>
      <c r="G1444" s="9" t="s">
        <v>142</v>
      </c>
      <c r="H1444" s="9" t="s">
        <v>139</v>
      </c>
      <c r="I1444" s="9" t="s">
        <v>411</v>
      </c>
      <c r="J1444" s="9" t="s">
        <v>139</v>
      </c>
      <c r="K1444" s="10">
        <v>38685.705312500002</v>
      </c>
    </row>
    <row r="1445" spans="1:11" x14ac:dyDescent="0.25">
      <c r="A1445" s="8">
        <v>2463</v>
      </c>
      <c r="B1445" s="9" t="s">
        <v>5852</v>
      </c>
      <c r="C1445" s="9" t="s">
        <v>2845</v>
      </c>
      <c r="D1445" s="9" t="s">
        <v>139</v>
      </c>
      <c r="E1445" s="9" t="s">
        <v>2846</v>
      </c>
      <c r="F1445" s="9" t="s">
        <v>2847</v>
      </c>
      <c r="G1445" s="9" t="s">
        <v>142</v>
      </c>
      <c r="H1445" s="9" t="s">
        <v>139</v>
      </c>
      <c r="I1445" s="9" t="s">
        <v>411</v>
      </c>
      <c r="J1445" s="9" t="s">
        <v>139</v>
      </c>
      <c r="K1445" s="10">
        <v>38685.709155092591</v>
      </c>
    </row>
    <row r="1446" spans="1:11" x14ac:dyDescent="0.25">
      <c r="A1446" s="8">
        <v>2464</v>
      </c>
      <c r="B1446" s="9" t="s">
        <v>5853</v>
      </c>
      <c r="C1446" s="9" t="s">
        <v>2848</v>
      </c>
      <c r="D1446" s="9" t="s">
        <v>139</v>
      </c>
      <c r="E1446" s="9" t="s">
        <v>212</v>
      </c>
      <c r="F1446" s="9" t="s">
        <v>141</v>
      </c>
      <c r="G1446" s="9" t="s">
        <v>142</v>
      </c>
      <c r="H1446" s="9" t="s">
        <v>139</v>
      </c>
      <c r="I1446" s="9" t="s">
        <v>411</v>
      </c>
      <c r="J1446" s="9" t="s">
        <v>139</v>
      </c>
      <c r="K1446" s="10">
        <v>38685.800891203704</v>
      </c>
    </row>
    <row r="1447" spans="1:11" x14ac:dyDescent="0.25">
      <c r="A1447" s="8">
        <v>2465</v>
      </c>
      <c r="B1447" s="9" t="s">
        <v>9233</v>
      </c>
      <c r="C1447" s="9" t="s">
        <v>2849</v>
      </c>
      <c r="D1447" s="9" t="s">
        <v>139</v>
      </c>
      <c r="E1447" s="9" t="s">
        <v>145</v>
      </c>
      <c r="F1447" s="9" t="s">
        <v>141</v>
      </c>
      <c r="G1447" s="9" t="s">
        <v>142</v>
      </c>
      <c r="H1447" s="9" t="s">
        <v>258</v>
      </c>
      <c r="I1447" s="9" t="s">
        <v>143</v>
      </c>
      <c r="J1447" s="9" t="s">
        <v>139</v>
      </c>
      <c r="K1447" s="10">
        <v>38689.726215277777</v>
      </c>
    </row>
    <row r="1448" spans="1:11" x14ac:dyDescent="0.25">
      <c r="A1448" s="8">
        <v>2466</v>
      </c>
      <c r="B1448" s="9" t="s">
        <v>9234</v>
      </c>
      <c r="C1448" s="9" t="s">
        <v>139</v>
      </c>
      <c r="D1448" s="9" t="s">
        <v>139</v>
      </c>
      <c r="E1448" s="25">
        <v>75000</v>
      </c>
      <c r="F1448" s="9" t="s">
        <v>413</v>
      </c>
      <c r="G1448" s="9" t="s">
        <v>142</v>
      </c>
      <c r="H1448" s="9" t="s">
        <v>166</v>
      </c>
      <c r="I1448" s="9" t="s">
        <v>143</v>
      </c>
      <c r="J1448" s="9" t="s">
        <v>139</v>
      </c>
      <c r="K1448" s="10">
        <v>38689.763807870368</v>
      </c>
    </row>
    <row r="1449" spans="1:11" x14ac:dyDescent="0.25">
      <c r="A1449" s="8">
        <v>2467</v>
      </c>
      <c r="B1449" s="9" t="s">
        <v>9235</v>
      </c>
      <c r="C1449" s="9" t="s">
        <v>139</v>
      </c>
      <c r="D1449" s="9" t="s">
        <v>139</v>
      </c>
      <c r="E1449" s="9">
        <v>75</v>
      </c>
      <c r="F1449" s="9" t="s">
        <v>413</v>
      </c>
      <c r="G1449" s="9" t="s">
        <v>142</v>
      </c>
      <c r="H1449" s="9" t="s">
        <v>321</v>
      </c>
      <c r="I1449" s="9" t="s">
        <v>143</v>
      </c>
      <c r="J1449" s="9" t="s">
        <v>139</v>
      </c>
      <c r="K1449" s="10">
        <v>38694.631076388891</v>
      </c>
    </row>
    <row r="1450" spans="1:11" x14ac:dyDescent="0.25">
      <c r="A1450" s="8">
        <v>2468</v>
      </c>
      <c r="B1450" s="9" t="s">
        <v>9236</v>
      </c>
      <c r="C1450" s="9" t="s">
        <v>139</v>
      </c>
      <c r="D1450" s="9" t="s">
        <v>139</v>
      </c>
      <c r="E1450" s="9">
        <v>75</v>
      </c>
      <c r="F1450" s="9" t="s">
        <v>413</v>
      </c>
      <c r="G1450" s="9" t="s">
        <v>142</v>
      </c>
      <c r="H1450" s="9" t="s">
        <v>166</v>
      </c>
      <c r="I1450" s="9" t="s">
        <v>143</v>
      </c>
      <c r="J1450" s="9" t="s">
        <v>139</v>
      </c>
      <c r="K1450" s="10">
        <v>38696.669976851852</v>
      </c>
    </row>
    <row r="1451" spans="1:11" x14ac:dyDescent="0.25">
      <c r="A1451" s="8">
        <v>2469</v>
      </c>
      <c r="B1451" s="9" t="s">
        <v>9237</v>
      </c>
      <c r="C1451" s="9" t="s">
        <v>1171</v>
      </c>
      <c r="D1451" s="9" t="s">
        <v>139</v>
      </c>
      <c r="E1451" s="9" t="s">
        <v>229</v>
      </c>
      <c r="F1451" s="9" t="s">
        <v>413</v>
      </c>
      <c r="G1451" s="9" t="s">
        <v>142</v>
      </c>
      <c r="H1451" s="9" t="s">
        <v>241</v>
      </c>
      <c r="I1451" s="9" t="s">
        <v>143</v>
      </c>
      <c r="J1451" s="9" t="s">
        <v>139</v>
      </c>
      <c r="K1451" s="10">
        <v>38699.617511574077</v>
      </c>
    </row>
    <row r="1452" spans="1:11" x14ac:dyDescent="0.25">
      <c r="A1452" s="8">
        <v>2470</v>
      </c>
      <c r="B1452" s="9" t="s">
        <v>9238</v>
      </c>
      <c r="C1452" s="9" t="s">
        <v>139</v>
      </c>
      <c r="D1452" s="9" t="s">
        <v>139</v>
      </c>
      <c r="E1452" s="9">
        <v>75</v>
      </c>
      <c r="F1452" s="9" t="s">
        <v>413</v>
      </c>
      <c r="G1452" s="9" t="s">
        <v>142</v>
      </c>
      <c r="H1452" s="9" t="s">
        <v>241</v>
      </c>
      <c r="I1452" s="9" t="s">
        <v>143</v>
      </c>
      <c r="J1452" s="9" t="s">
        <v>139</v>
      </c>
      <c r="K1452" s="10">
        <v>38703.511481481481</v>
      </c>
    </row>
    <row r="1453" spans="1:11" x14ac:dyDescent="0.25">
      <c r="A1453" s="8">
        <v>2471</v>
      </c>
      <c r="B1453" s="9" t="s">
        <v>9239</v>
      </c>
      <c r="C1453" s="9" t="s">
        <v>139</v>
      </c>
      <c r="D1453" s="9" t="s">
        <v>139</v>
      </c>
      <c r="E1453" s="9">
        <v>75</v>
      </c>
      <c r="F1453" s="9" t="s">
        <v>413</v>
      </c>
      <c r="G1453" s="9" t="s">
        <v>142</v>
      </c>
      <c r="H1453" s="9" t="s">
        <v>139</v>
      </c>
      <c r="I1453" s="9" t="s">
        <v>143</v>
      </c>
      <c r="J1453" s="9" t="s">
        <v>139</v>
      </c>
      <c r="K1453" s="10">
        <v>38703.787245370368</v>
      </c>
    </row>
    <row r="1454" spans="1:11" x14ac:dyDescent="0.25">
      <c r="A1454" s="8">
        <v>2472</v>
      </c>
      <c r="B1454" s="9" t="s">
        <v>9240</v>
      </c>
      <c r="C1454" s="9" t="s">
        <v>139</v>
      </c>
      <c r="D1454" s="9" t="s">
        <v>139</v>
      </c>
      <c r="E1454" s="9">
        <v>75</v>
      </c>
      <c r="F1454" s="9" t="s">
        <v>413</v>
      </c>
      <c r="G1454" s="9" t="s">
        <v>142</v>
      </c>
      <c r="H1454" s="9" t="s">
        <v>139</v>
      </c>
      <c r="I1454" s="9" t="s">
        <v>143</v>
      </c>
      <c r="J1454" s="9" t="s">
        <v>139</v>
      </c>
      <c r="K1454" s="10">
        <v>38703.814942129633</v>
      </c>
    </row>
    <row r="1455" spans="1:11" x14ac:dyDescent="0.25">
      <c r="A1455" s="8">
        <v>2473</v>
      </c>
      <c r="B1455" s="9" t="s">
        <v>9241</v>
      </c>
      <c r="C1455" s="9" t="s">
        <v>139</v>
      </c>
      <c r="D1455" s="9" t="s">
        <v>139</v>
      </c>
      <c r="E1455" s="9">
        <v>75</v>
      </c>
      <c r="F1455" s="9" t="s">
        <v>413</v>
      </c>
      <c r="G1455" s="9" t="s">
        <v>142</v>
      </c>
      <c r="H1455" s="9" t="s">
        <v>166</v>
      </c>
      <c r="I1455" s="9" t="s">
        <v>143</v>
      </c>
      <c r="J1455" s="9" t="s">
        <v>139</v>
      </c>
      <c r="K1455" s="10">
        <v>38706.649664351855</v>
      </c>
    </row>
    <row r="1456" spans="1:11" x14ac:dyDescent="0.25">
      <c r="A1456" s="8">
        <v>2474</v>
      </c>
      <c r="B1456" s="9" t="s">
        <v>9242</v>
      </c>
      <c r="C1456" s="9" t="s">
        <v>139</v>
      </c>
      <c r="D1456" s="9" t="s">
        <v>139</v>
      </c>
      <c r="E1456" s="9">
        <v>75</v>
      </c>
      <c r="F1456" s="9" t="s">
        <v>413</v>
      </c>
      <c r="G1456" s="9" t="s">
        <v>142</v>
      </c>
      <c r="H1456" s="9" t="s">
        <v>241</v>
      </c>
      <c r="I1456" s="9" t="s">
        <v>143</v>
      </c>
      <c r="J1456" s="9" t="s">
        <v>139</v>
      </c>
      <c r="K1456" s="10">
        <v>38707.765451388892</v>
      </c>
    </row>
    <row r="1457" spans="1:11" x14ac:dyDescent="0.25">
      <c r="A1457" s="8">
        <v>2475</v>
      </c>
      <c r="B1457" s="9" t="s">
        <v>9243</v>
      </c>
      <c r="C1457" s="9" t="s">
        <v>139</v>
      </c>
      <c r="D1457" s="9" t="s">
        <v>139</v>
      </c>
      <c r="E1457" s="9">
        <v>75</v>
      </c>
      <c r="F1457" s="9" t="s">
        <v>413</v>
      </c>
      <c r="G1457" s="9" t="s">
        <v>142</v>
      </c>
      <c r="H1457" s="9" t="s">
        <v>166</v>
      </c>
      <c r="I1457" s="9" t="s">
        <v>143</v>
      </c>
      <c r="J1457" s="9" t="s">
        <v>139</v>
      </c>
      <c r="K1457" s="10">
        <v>38709.729050925926</v>
      </c>
    </row>
    <row r="1458" spans="1:11" x14ac:dyDescent="0.25">
      <c r="A1458" s="8">
        <v>2476</v>
      </c>
      <c r="B1458" s="9" t="s">
        <v>9244</v>
      </c>
      <c r="C1458" s="9" t="s">
        <v>2850</v>
      </c>
      <c r="D1458" s="9" t="s">
        <v>139</v>
      </c>
      <c r="E1458" s="9" t="s">
        <v>306</v>
      </c>
      <c r="F1458" s="9" t="s">
        <v>141</v>
      </c>
      <c r="G1458" s="9" t="s">
        <v>142</v>
      </c>
      <c r="H1458" s="9" t="s">
        <v>166</v>
      </c>
      <c r="I1458" s="9" t="s">
        <v>143</v>
      </c>
      <c r="J1458" s="9" t="s">
        <v>139</v>
      </c>
      <c r="K1458" s="10">
        <v>38722.757326388892</v>
      </c>
    </row>
    <row r="1459" spans="1:11" x14ac:dyDescent="0.25">
      <c r="A1459" s="8">
        <v>2477</v>
      </c>
      <c r="B1459" s="9" t="s">
        <v>5854</v>
      </c>
      <c r="C1459" s="9" t="s">
        <v>2851</v>
      </c>
      <c r="D1459" s="9" t="s">
        <v>139</v>
      </c>
      <c r="E1459" s="9" t="s">
        <v>2075</v>
      </c>
      <c r="F1459" s="9" t="s">
        <v>2076</v>
      </c>
      <c r="G1459" s="9" t="s">
        <v>142</v>
      </c>
      <c r="H1459" s="9" t="s">
        <v>166</v>
      </c>
      <c r="I1459" s="9" t="s">
        <v>411</v>
      </c>
      <c r="J1459" s="9" t="s">
        <v>2852</v>
      </c>
      <c r="K1459" s="10">
        <v>38729.593287037038</v>
      </c>
    </row>
    <row r="1460" spans="1:11" x14ac:dyDescent="0.25">
      <c r="A1460" s="8">
        <v>2478</v>
      </c>
      <c r="B1460" s="9" t="s">
        <v>5855</v>
      </c>
      <c r="C1460" s="9" t="s">
        <v>2853</v>
      </c>
      <c r="D1460" s="9" t="s">
        <v>139</v>
      </c>
      <c r="E1460" s="9" t="s">
        <v>1649</v>
      </c>
      <c r="F1460" s="9" t="s">
        <v>1650</v>
      </c>
      <c r="G1460" s="9" t="s">
        <v>142</v>
      </c>
      <c r="H1460" s="9" t="s">
        <v>139</v>
      </c>
      <c r="I1460" s="9" t="s">
        <v>411</v>
      </c>
      <c r="J1460" s="9" t="s">
        <v>2854</v>
      </c>
      <c r="K1460" s="10">
        <v>38729.600416666668</v>
      </c>
    </row>
    <row r="1461" spans="1:11" x14ac:dyDescent="0.25">
      <c r="A1461" s="8">
        <v>2479</v>
      </c>
      <c r="B1461" s="9" t="s">
        <v>5856</v>
      </c>
      <c r="C1461" s="9" t="s">
        <v>2855</v>
      </c>
      <c r="D1461" s="9" t="s">
        <v>139</v>
      </c>
      <c r="E1461" s="9" t="s">
        <v>2856</v>
      </c>
      <c r="F1461" s="9" t="s">
        <v>2857</v>
      </c>
      <c r="G1461" s="9" t="s">
        <v>142</v>
      </c>
      <c r="H1461" s="9" t="s">
        <v>166</v>
      </c>
      <c r="I1461" s="9" t="s">
        <v>411</v>
      </c>
      <c r="J1461" s="9" t="s">
        <v>139</v>
      </c>
      <c r="K1461" s="10">
        <v>38729.657708333332</v>
      </c>
    </row>
    <row r="1462" spans="1:11" x14ac:dyDescent="0.25">
      <c r="A1462" s="8">
        <v>2480</v>
      </c>
      <c r="B1462" s="9" t="s">
        <v>5857</v>
      </c>
      <c r="C1462" s="9" t="s">
        <v>2858</v>
      </c>
      <c r="D1462" s="9" t="s">
        <v>139</v>
      </c>
      <c r="E1462" s="9" t="s">
        <v>1955</v>
      </c>
      <c r="F1462" s="9" t="s">
        <v>2859</v>
      </c>
      <c r="G1462" s="9" t="s">
        <v>142</v>
      </c>
      <c r="H1462" s="9" t="s">
        <v>166</v>
      </c>
      <c r="I1462" s="9" t="s">
        <v>411</v>
      </c>
      <c r="J1462" s="9" t="s">
        <v>2860</v>
      </c>
      <c r="K1462" s="10">
        <v>38730.556805555556</v>
      </c>
    </row>
    <row r="1463" spans="1:11" x14ac:dyDescent="0.25">
      <c r="A1463" s="8">
        <v>2481</v>
      </c>
      <c r="B1463" s="9" t="s">
        <v>5858</v>
      </c>
      <c r="C1463" s="9" t="s">
        <v>2861</v>
      </c>
      <c r="D1463" s="9" t="s">
        <v>139</v>
      </c>
      <c r="E1463" s="9" t="s">
        <v>306</v>
      </c>
      <c r="F1463" s="9" t="s">
        <v>141</v>
      </c>
      <c r="G1463" s="9" t="s">
        <v>142</v>
      </c>
      <c r="H1463" s="9" t="s">
        <v>139</v>
      </c>
      <c r="I1463" s="9" t="s">
        <v>411</v>
      </c>
      <c r="J1463" s="9" t="s">
        <v>139</v>
      </c>
      <c r="K1463" s="10">
        <v>38739.733252314814</v>
      </c>
    </row>
    <row r="1464" spans="1:11" x14ac:dyDescent="0.25">
      <c r="A1464" s="8">
        <v>2482</v>
      </c>
      <c r="B1464" s="9" t="s">
        <v>9245</v>
      </c>
      <c r="C1464" s="9" t="s">
        <v>2862</v>
      </c>
      <c r="D1464" s="9" t="s">
        <v>139</v>
      </c>
      <c r="E1464" s="9" t="s">
        <v>706</v>
      </c>
      <c r="F1464" s="9" t="s">
        <v>141</v>
      </c>
      <c r="G1464" s="9" t="s">
        <v>142</v>
      </c>
      <c r="H1464" s="9" t="s">
        <v>258</v>
      </c>
      <c r="I1464" s="9" t="s">
        <v>143</v>
      </c>
      <c r="J1464" s="9" t="s">
        <v>139</v>
      </c>
      <c r="K1464" s="10">
        <v>38740.82675925926</v>
      </c>
    </row>
    <row r="1465" spans="1:11" x14ac:dyDescent="0.25">
      <c r="A1465" s="8">
        <v>2483</v>
      </c>
      <c r="B1465" s="9" t="s">
        <v>5859</v>
      </c>
      <c r="C1465" s="9" t="s">
        <v>2863</v>
      </c>
      <c r="D1465" s="9" t="s">
        <v>139</v>
      </c>
      <c r="E1465" s="9" t="s">
        <v>2864</v>
      </c>
      <c r="F1465" s="9" t="s">
        <v>2865</v>
      </c>
      <c r="G1465" s="9" t="s">
        <v>142</v>
      </c>
      <c r="H1465" s="9" t="s">
        <v>321</v>
      </c>
      <c r="I1465" s="9" t="s">
        <v>411</v>
      </c>
      <c r="J1465" s="9" t="s">
        <v>139</v>
      </c>
      <c r="K1465" s="10">
        <v>38745.542384259257</v>
      </c>
    </row>
    <row r="1466" spans="1:11" x14ac:dyDescent="0.25">
      <c r="A1466" s="8">
        <v>2484</v>
      </c>
      <c r="B1466" s="9" t="s">
        <v>5860</v>
      </c>
      <c r="C1466" s="9" t="s">
        <v>2866</v>
      </c>
      <c r="D1466" s="9" t="s">
        <v>139</v>
      </c>
      <c r="E1466" s="9" t="s">
        <v>2867</v>
      </c>
      <c r="F1466" s="9" t="s">
        <v>2868</v>
      </c>
      <c r="G1466" s="9" t="s">
        <v>1409</v>
      </c>
      <c r="H1466" s="9" t="s">
        <v>139</v>
      </c>
      <c r="I1466" s="9" t="s">
        <v>411</v>
      </c>
      <c r="J1466" s="9" t="s">
        <v>2869</v>
      </c>
      <c r="K1466" s="10">
        <v>38745.543425925927</v>
      </c>
    </row>
    <row r="1467" spans="1:11" x14ac:dyDescent="0.25">
      <c r="A1467" s="8">
        <v>2485</v>
      </c>
      <c r="B1467" s="9" t="s">
        <v>5861</v>
      </c>
      <c r="C1467" s="9" t="s">
        <v>2870</v>
      </c>
      <c r="D1467" s="9" t="s">
        <v>139</v>
      </c>
      <c r="E1467" s="9" t="s">
        <v>263</v>
      </c>
      <c r="F1467" s="9" t="s">
        <v>141</v>
      </c>
      <c r="G1467" s="9" t="s">
        <v>142</v>
      </c>
      <c r="H1467" s="9" t="s">
        <v>139</v>
      </c>
      <c r="I1467" s="9" t="s">
        <v>411</v>
      </c>
      <c r="J1467" s="9" t="s">
        <v>139</v>
      </c>
      <c r="K1467" s="10">
        <v>38746.547071759262</v>
      </c>
    </row>
    <row r="1468" spans="1:11" x14ac:dyDescent="0.25">
      <c r="A1468" s="8">
        <v>2486</v>
      </c>
      <c r="B1468" s="9" t="s">
        <v>5862</v>
      </c>
      <c r="C1468" s="9" t="s">
        <v>2871</v>
      </c>
      <c r="D1468" s="9" t="s">
        <v>2872</v>
      </c>
      <c r="E1468" s="9" t="s">
        <v>2873</v>
      </c>
      <c r="F1468" s="9" t="s">
        <v>2874</v>
      </c>
      <c r="G1468" s="9" t="s">
        <v>444</v>
      </c>
      <c r="H1468" s="9" t="s">
        <v>139</v>
      </c>
      <c r="I1468" s="9" t="s">
        <v>411</v>
      </c>
      <c r="J1468" s="9" t="s">
        <v>139</v>
      </c>
      <c r="K1468" s="10">
        <v>38748.555439814816</v>
      </c>
    </row>
    <row r="1469" spans="1:11" x14ac:dyDescent="0.25">
      <c r="A1469" s="8">
        <v>2487</v>
      </c>
      <c r="B1469" s="9" t="s">
        <v>5863</v>
      </c>
      <c r="C1469" s="9" t="s">
        <v>2875</v>
      </c>
      <c r="D1469" s="9" t="s">
        <v>139</v>
      </c>
      <c r="E1469" s="9" t="s">
        <v>2876</v>
      </c>
      <c r="F1469" s="9" t="s">
        <v>2877</v>
      </c>
      <c r="G1469" s="9" t="s">
        <v>8387</v>
      </c>
      <c r="H1469" s="9" t="s">
        <v>139</v>
      </c>
      <c r="I1469" s="9" t="s">
        <v>411</v>
      </c>
      <c r="J1469" s="9" t="s">
        <v>139</v>
      </c>
      <c r="K1469" s="10">
        <v>38748.557962962965</v>
      </c>
    </row>
    <row r="1470" spans="1:11" x14ac:dyDescent="0.25">
      <c r="A1470" s="8">
        <v>2488</v>
      </c>
      <c r="B1470" s="9" t="s">
        <v>5864</v>
      </c>
      <c r="C1470" s="9" t="s">
        <v>2878</v>
      </c>
      <c r="D1470" s="9" t="s">
        <v>139</v>
      </c>
      <c r="E1470" s="9" t="s">
        <v>2879</v>
      </c>
      <c r="F1470" s="9" t="s">
        <v>2880</v>
      </c>
      <c r="G1470" s="9" t="s">
        <v>2881</v>
      </c>
      <c r="H1470" s="9" t="s">
        <v>139</v>
      </c>
      <c r="I1470" s="9" t="s">
        <v>411</v>
      </c>
      <c r="J1470" s="9" t="s">
        <v>2882</v>
      </c>
      <c r="K1470" s="10">
        <v>38748.56355324074</v>
      </c>
    </row>
    <row r="1471" spans="1:11" x14ac:dyDescent="0.25">
      <c r="A1471" s="8">
        <v>2491</v>
      </c>
      <c r="B1471" s="9" t="s">
        <v>5865</v>
      </c>
      <c r="C1471" s="9" t="s">
        <v>2883</v>
      </c>
      <c r="D1471" s="9" t="s">
        <v>139</v>
      </c>
      <c r="E1471" s="9" t="s">
        <v>2456</v>
      </c>
      <c r="F1471" s="9" t="s">
        <v>2884</v>
      </c>
      <c r="G1471" s="9" t="s">
        <v>142</v>
      </c>
      <c r="H1471" s="9" t="s">
        <v>139</v>
      </c>
      <c r="I1471" s="9" t="s">
        <v>411</v>
      </c>
      <c r="J1471" s="9" t="s">
        <v>2885</v>
      </c>
      <c r="K1471" s="10">
        <v>38750.535775462966</v>
      </c>
    </row>
    <row r="1472" spans="1:11" x14ac:dyDescent="0.25">
      <c r="A1472" s="8">
        <v>2492</v>
      </c>
      <c r="B1472" s="9" t="s">
        <v>5866</v>
      </c>
      <c r="C1472" s="9" t="s">
        <v>2886</v>
      </c>
      <c r="D1472" s="9" t="s">
        <v>139</v>
      </c>
      <c r="E1472" s="9" t="s">
        <v>1871</v>
      </c>
      <c r="F1472" s="9" t="s">
        <v>2887</v>
      </c>
      <c r="G1472" s="9" t="s">
        <v>142</v>
      </c>
      <c r="H1472" s="9" t="s">
        <v>166</v>
      </c>
      <c r="I1472" s="9" t="s">
        <v>411</v>
      </c>
      <c r="J1472" s="9" t="s">
        <v>2888</v>
      </c>
      <c r="K1472" s="10">
        <v>38750.540555555555</v>
      </c>
    </row>
    <row r="1473" spans="1:11" x14ac:dyDescent="0.25">
      <c r="A1473" s="8">
        <v>2493</v>
      </c>
      <c r="B1473" s="9" t="s">
        <v>9246</v>
      </c>
      <c r="C1473" s="9" t="s">
        <v>139</v>
      </c>
      <c r="D1473" s="9" t="s">
        <v>139</v>
      </c>
      <c r="E1473" s="9">
        <v>75</v>
      </c>
      <c r="F1473" s="9" t="s">
        <v>413</v>
      </c>
      <c r="G1473" s="9" t="s">
        <v>142</v>
      </c>
      <c r="H1473" s="9" t="s">
        <v>166</v>
      </c>
      <c r="I1473" s="9" t="s">
        <v>143</v>
      </c>
      <c r="J1473" s="9" t="s">
        <v>139</v>
      </c>
      <c r="K1473" s="10">
        <v>38750.600057870368</v>
      </c>
    </row>
    <row r="1474" spans="1:11" x14ac:dyDescent="0.25">
      <c r="A1474" s="8">
        <v>2494</v>
      </c>
      <c r="B1474" s="9" t="s">
        <v>5867</v>
      </c>
      <c r="C1474" s="9" t="s">
        <v>2889</v>
      </c>
      <c r="D1474" s="9" t="s">
        <v>139</v>
      </c>
      <c r="E1474" s="9" t="s">
        <v>1733</v>
      </c>
      <c r="F1474" s="9" t="s">
        <v>1880</v>
      </c>
      <c r="G1474" s="9" t="s">
        <v>142</v>
      </c>
      <c r="H1474" s="9" t="s">
        <v>139</v>
      </c>
      <c r="I1474" s="9" t="s">
        <v>411</v>
      </c>
      <c r="J1474" s="9" t="s">
        <v>2890</v>
      </c>
      <c r="K1474" s="10">
        <v>38750.667997685188</v>
      </c>
    </row>
    <row r="1475" spans="1:11" x14ac:dyDescent="0.25">
      <c r="A1475" s="8">
        <v>2495</v>
      </c>
      <c r="B1475" s="9" t="s">
        <v>5868</v>
      </c>
      <c r="C1475" s="9" t="s">
        <v>2891</v>
      </c>
      <c r="D1475" s="9" t="s">
        <v>139</v>
      </c>
      <c r="E1475" s="9" t="s">
        <v>2892</v>
      </c>
      <c r="F1475" s="9" t="s">
        <v>2893</v>
      </c>
      <c r="G1475" s="9" t="s">
        <v>142</v>
      </c>
      <c r="H1475" s="9" t="s">
        <v>241</v>
      </c>
      <c r="I1475" s="9" t="s">
        <v>411</v>
      </c>
      <c r="J1475" s="9" t="s">
        <v>2894</v>
      </c>
      <c r="K1475" s="10">
        <v>38751.748101851852</v>
      </c>
    </row>
    <row r="1476" spans="1:11" x14ac:dyDescent="0.25">
      <c r="A1476" s="8">
        <v>2496</v>
      </c>
      <c r="B1476" s="9" t="s">
        <v>5869</v>
      </c>
      <c r="C1476" s="9" t="s">
        <v>2304</v>
      </c>
      <c r="D1476" s="9" t="s">
        <v>139</v>
      </c>
      <c r="E1476" s="9" t="s">
        <v>299</v>
      </c>
      <c r="F1476" s="9" t="s">
        <v>300</v>
      </c>
      <c r="G1476" s="9" t="s">
        <v>142</v>
      </c>
      <c r="H1476" s="9" t="s">
        <v>166</v>
      </c>
      <c r="I1476" s="9" t="s">
        <v>411</v>
      </c>
      <c r="J1476" s="9" t="s">
        <v>2895</v>
      </c>
      <c r="K1476" s="10">
        <v>38751.764027777775</v>
      </c>
    </row>
    <row r="1477" spans="1:11" x14ac:dyDescent="0.25">
      <c r="A1477" s="8">
        <v>2499</v>
      </c>
      <c r="B1477" s="9" t="s">
        <v>5870</v>
      </c>
      <c r="C1477" s="9" t="s">
        <v>2896</v>
      </c>
      <c r="D1477" s="9" t="s">
        <v>139</v>
      </c>
      <c r="E1477" s="9" t="s">
        <v>2897</v>
      </c>
      <c r="F1477" s="9" t="s">
        <v>2898</v>
      </c>
      <c r="G1477" s="9" t="s">
        <v>142</v>
      </c>
      <c r="H1477" s="9" t="s">
        <v>166</v>
      </c>
      <c r="I1477" s="9" t="s">
        <v>411</v>
      </c>
      <c r="J1477" s="9" t="s">
        <v>139</v>
      </c>
      <c r="K1477" s="10">
        <v>38757.619386574072</v>
      </c>
    </row>
    <row r="1478" spans="1:11" x14ac:dyDescent="0.25">
      <c r="A1478" s="8">
        <v>2502</v>
      </c>
      <c r="B1478" s="9" t="s">
        <v>9247</v>
      </c>
      <c r="C1478" s="9" t="s">
        <v>2899</v>
      </c>
      <c r="D1478" s="9" t="s">
        <v>139</v>
      </c>
      <c r="E1478" s="9" t="s">
        <v>229</v>
      </c>
      <c r="F1478" s="9" t="s">
        <v>413</v>
      </c>
      <c r="G1478" s="9" t="s">
        <v>142</v>
      </c>
      <c r="H1478" s="9" t="s">
        <v>166</v>
      </c>
      <c r="I1478" s="9" t="s">
        <v>143</v>
      </c>
      <c r="J1478" s="9" t="s">
        <v>139</v>
      </c>
      <c r="K1478" s="10">
        <v>38771.704444444447</v>
      </c>
    </row>
    <row r="1479" spans="1:11" x14ac:dyDescent="0.25">
      <c r="A1479" s="8">
        <v>2503</v>
      </c>
      <c r="B1479" s="9" t="s">
        <v>5871</v>
      </c>
      <c r="C1479" s="9" t="s">
        <v>2900</v>
      </c>
      <c r="D1479" s="9" t="s">
        <v>139</v>
      </c>
      <c r="E1479" s="9" t="s">
        <v>2901</v>
      </c>
      <c r="F1479" s="9" t="s">
        <v>2902</v>
      </c>
      <c r="G1479" s="9" t="s">
        <v>142</v>
      </c>
      <c r="H1479" s="9" t="s">
        <v>241</v>
      </c>
      <c r="I1479" s="9" t="s">
        <v>411</v>
      </c>
      <c r="J1479" s="9" t="s">
        <v>2903</v>
      </c>
      <c r="K1479" s="10">
        <v>38785.623148148145</v>
      </c>
    </row>
    <row r="1480" spans="1:11" x14ac:dyDescent="0.25">
      <c r="A1480" s="8">
        <v>2504</v>
      </c>
      <c r="B1480" s="9" t="s">
        <v>5872</v>
      </c>
      <c r="C1480" s="9" t="s">
        <v>2904</v>
      </c>
      <c r="D1480" s="9" t="s">
        <v>139</v>
      </c>
      <c r="E1480" s="9" t="s">
        <v>229</v>
      </c>
      <c r="F1480" s="9" t="s">
        <v>413</v>
      </c>
      <c r="G1480" s="9" t="s">
        <v>142</v>
      </c>
      <c r="H1480" s="9" t="s">
        <v>166</v>
      </c>
      <c r="I1480" s="9" t="s">
        <v>411</v>
      </c>
      <c r="J1480" s="9" t="s">
        <v>139</v>
      </c>
      <c r="K1480" s="10">
        <v>38798.861562500002</v>
      </c>
    </row>
    <row r="1481" spans="1:11" x14ac:dyDescent="0.25">
      <c r="A1481" s="8">
        <v>2506</v>
      </c>
      <c r="B1481" s="9" t="s">
        <v>5873</v>
      </c>
      <c r="C1481" s="9" t="s">
        <v>2905</v>
      </c>
      <c r="D1481" s="9" t="s">
        <v>139</v>
      </c>
      <c r="E1481" s="9" t="s">
        <v>2906</v>
      </c>
      <c r="F1481" s="9" t="s">
        <v>2907</v>
      </c>
      <c r="G1481" s="9" t="s">
        <v>142</v>
      </c>
      <c r="H1481" s="9" t="s">
        <v>166</v>
      </c>
      <c r="I1481" s="9" t="s">
        <v>411</v>
      </c>
      <c r="J1481" s="9" t="s">
        <v>139</v>
      </c>
      <c r="K1481" s="10">
        <v>38815.605474537035</v>
      </c>
    </row>
    <row r="1482" spans="1:11" x14ac:dyDescent="0.25">
      <c r="A1482" s="8">
        <v>2507</v>
      </c>
      <c r="B1482" s="9" t="s">
        <v>5874</v>
      </c>
      <c r="C1482" s="9" t="s">
        <v>2908</v>
      </c>
      <c r="D1482" s="9" t="s">
        <v>139</v>
      </c>
      <c r="E1482" s="9" t="s">
        <v>2909</v>
      </c>
      <c r="F1482" s="9" t="s">
        <v>2910</v>
      </c>
      <c r="G1482" s="9" t="s">
        <v>142</v>
      </c>
      <c r="H1482" s="9" t="s">
        <v>241</v>
      </c>
      <c r="I1482" s="9" t="s">
        <v>411</v>
      </c>
      <c r="J1482" s="9" t="s">
        <v>2911</v>
      </c>
      <c r="K1482" s="10">
        <v>38827.597442129627</v>
      </c>
    </row>
    <row r="1483" spans="1:11" x14ac:dyDescent="0.25">
      <c r="A1483" s="8">
        <v>2508</v>
      </c>
      <c r="B1483" s="9" t="s">
        <v>5875</v>
      </c>
      <c r="C1483" s="9" t="s">
        <v>2912</v>
      </c>
      <c r="D1483" s="9" t="s">
        <v>139</v>
      </c>
      <c r="E1483" s="9" t="s">
        <v>2913</v>
      </c>
      <c r="F1483" s="9" t="s">
        <v>2914</v>
      </c>
      <c r="G1483" s="9" t="s">
        <v>142</v>
      </c>
      <c r="H1483" s="9" t="s">
        <v>241</v>
      </c>
      <c r="I1483" s="9" t="s">
        <v>411</v>
      </c>
      <c r="J1483" s="9" t="s">
        <v>2915</v>
      </c>
      <c r="K1483" s="10">
        <v>38827.614236111112</v>
      </c>
    </row>
    <row r="1484" spans="1:11" x14ac:dyDescent="0.25">
      <c r="A1484" s="8">
        <v>2510</v>
      </c>
      <c r="B1484" s="9" t="s">
        <v>9248</v>
      </c>
      <c r="C1484" s="9" t="s">
        <v>139</v>
      </c>
      <c r="D1484" s="9" t="s">
        <v>139</v>
      </c>
      <c r="E1484" s="9">
        <v>75</v>
      </c>
      <c r="F1484" s="9" t="s">
        <v>413</v>
      </c>
      <c r="G1484" s="9" t="s">
        <v>142</v>
      </c>
      <c r="H1484" s="9" t="s">
        <v>166</v>
      </c>
      <c r="I1484" s="9" t="s">
        <v>143</v>
      </c>
      <c r="J1484" s="9" t="s">
        <v>139</v>
      </c>
      <c r="K1484" s="10">
        <v>38832.735729166663</v>
      </c>
    </row>
    <row r="1485" spans="1:11" x14ac:dyDescent="0.25">
      <c r="A1485" s="8">
        <v>2511</v>
      </c>
      <c r="B1485" s="9" t="s">
        <v>9249</v>
      </c>
      <c r="C1485" s="9" t="s">
        <v>139</v>
      </c>
      <c r="D1485" s="9" t="s">
        <v>139</v>
      </c>
      <c r="E1485" s="9">
        <v>75</v>
      </c>
      <c r="F1485" s="9" t="s">
        <v>413</v>
      </c>
      <c r="G1485" s="9" t="s">
        <v>142</v>
      </c>
      <c r="H1485" s="9" t="s">
        <v>258</v>
      </c>
      <c r="I1485" s="9" t="s">
        <v>143</v>
      </c>
      <c r="J1485" s="9" t="s">
        <v>139</v>
      </c>
      <c r="K1485" s="10">
        <v>38843.74900462963</v>
      </c>
    </row>
    <row r="1486" spans="1:11" x14ac:dyDescent="0.25">
      <c r="A1486" s="8">
        <v>2512</v>
      </c>
      <c r="B1486" s="9" t="s">
        <v>5876</v>
      </c>
      <c r="C1486" s="9" t="s">
        <v>2916</v>
      </c>
      <c r="D1486" s="9" t="s">
        <v>139</v>
      </c>
      <c r="E1486" s="9" t="s">
        <v>808</v>
      </c>
      <c r="F1486" s="9" t="s">
        <v>809</v>
      </c>
      <c r="G1486" s="9" t="s">
        <v>142</v>
      </c>
      <c r="H1486" s="9" t="s">
        <v>241</v>
      </c>
      <c r="I1486" s="9" t="s">
        <v>411</v>
      </c>
      <c r="J1486" s="9" t="s">
        <v>139</v>
      </c>
      <c r="K1486" s="10">
        <v>38847.537048611113</v>
      </c>
    </row>
    <row r="1487" spans="1:11" x14ac:dyDescent="0.25">
      <c r="A1487" s="8">
        <v>2513</v>
      </c>
      <c r="B1487" s="9" t="s">
        <v>9250</v>
      </c>
      <c r="C1487" s="9" t="s">
        <v>139</v>
      </c>
      <c r="D1487" s="9" t="s">
        <v>139</v>
      </c>
      <c r="E1487" s="25">
        <v>75000</v>
      </c>
      <c r="F1487" s="9" t="s">
        <v>413</v>
      </c>
      <c r="G1487" s="9" t="s">
        <v>142</v>
      </c>
      <c r="H1487" s="9" t="s">
        <v>166</v>
      </c>
      <c r="I1487" s="9" t="s">
        <v>143</v>
      </c>
      <c r="J1487" s="9" t="s">
        <v>139</v>
      </c>
      <c r="K1487" s="10">
        <v>38850.596018518518</v>
      </c>
    </row>
    <row r="1488" spans="1:11" x14ac:dyDescent="0.25">
      <c r="A1488" s="8">
        <v>2514</v>
      </c>
      <c r="B1488" s="9" t="s">
        <v>5877</v>
      </c>
      <c r="C1488" s="9" t="s">
        <v>2917</v>
      </c>
      <c r="D1488" s="9" t="s">
        <v>139</v>
      </c>
      <c r="E1488" s="9" t="s">
        <v>140</v>
      </c>
      <c r="F1488" s="9" t="s">
        <v>141</v>
      </c>
      <c r="G1488" s="9" t="s">
        <v>142</v>
      </c>
      <c r="H1488" s="9" t="s">
        <v>166</v>
      </c>
      <c r="I1488" s="9" t="s">
        <v>411</v>
      </c>
      <c r="J1488" s="9" t="s">
        <v>139</v>
      </c>
      <c r="K1488" s="10">
        <v>38854.773553240739</v>
      </c>
    </row>
    <row r="1489" spans="1:11" x14ac:dyDescent="0.25">
      <c r="A1489" s="8">
        <v>2515</v>
      </c>
      <c r="B1489" s="9" t="s">
        <v>9251</v>
      </c>
      <c r="C1489" s="9" t="s">
        <v>139</v>
      </c>
      <c r="D1489" s="9" t="s">
        <v>139</v>
      </c>
      <c r="E1489" s="9">
        <v>75</v>
      </c>
      <c r="F1489" s="9" t="s">
        <v>413</v>
      </c>
      <c r="G1489" s="9" t="s">
        <v>142</v>
      </c>
      <c r="H1489" s="9" t="s">
        <v>166</v>
      </c>
      <c r="I1489" s="9" t="s">
        <v>143</v>
      </c>
      <c r="J1489" s="9" t="s">
        <v>139</v>
      </c>
      <c r="K1489" s="10">
        <v>38855.690104166664</v>
      </c>
    </row>
    <row r="1490" spans="1:11" x14ac:dyDescent="0.25">
      <c r="A1490" s="8">
        <v>2516</v>
      </c>
      <c r="B1490" s="9" t="s">
        <v>5878</v>
      </c>
      <c r="C1490" s="9" t="s">
        <v>2918</v>
      </c>
      <c r="D1490" s="9" t="s">
        <v>139</v>
      </c>
      <c r="E1490" s="9" t="s">
        <v>2919</v>
      </c>
      <c r="F1490" s="9" t="s">
        <v>2920</v>
      </c>
      <c r="G1490" s="9" t="s">
        <v>142</v>
      </c>
      <c r="H1490" s="9" t="s">
        <v>139</v>
      </c>
      <c r="I1490" s="9" t="s">
        <v>411</v>
      </c>
      <c r="J1490" s="9" t="s">
        <v>2921</v>
      </c>
      <c r="K1490" s="10">
        <v>38857.493356481478</v>
      </c>
    </row>
    <row r="1491" spans="1:11" x14ac:dyDescent="0.25">
      <c r="A1491" s="8">
        <v>2517</v>
      </c>
      <c r="B1491" s="9" t="s">
        <v>9252</v>
      </c>
      <c r="C1491" s="9" t="s">
        <v>139</v>
      </c>
      <c r="D1491" s="9" t="s">
        <v>139</v>
      </c>
      <c r="E1491" s="9">
        <v>75</v>
      </c>
      <c r="F1491" s="9" t="s">
        <v>413</v>
      </c>
      <c r="G1491" s="9" t="s">
        <v>142</v>
      </c>
      <c r="H1491" s="9" t="s">
        <v>166</v>
      </c>
      <c r="I1491" s="9" t="s">
        <v>143</v>
      </c>
      <c r="J1491" s="9" t="s">
        <v>139</v>
      </c>
      <c r="K1491" s="10">
        <v>38857.545486111114</v>
      </c>
    </row>
    <row r="1492" spans="1:11" x14ac:dyDescent="0.25">
      <c r="A1492" s="8">
        <v>2518</v>
      </c>
      <c r="B1492" s="9" t="s">
        <v>9253</v>
      </c>
      <c r="C1492" s="9" t="s">
        <v>139</v>
      </c>
      <c r="D1492" s="9" t="s">
        <v>139</v>
      </c>
      <c r="E1492" s="9">
        <v>75</v>
      </c>
      <c r="F1492" s="9" t="s">
        <v>413</v>
      </c>
      <c r="G1492" s="9" t="s">
        <v>142</v>
      </c>
      <c r="H1492" s="9" t="s">
        <v>258</v>
      </c>
      <c r="I1492" s="9" t="s">
        <v>143</v>
      </c>
      <c r="J1492" s="9" t="s">
        <v>139</v>
      </c>
      <c r="K1492" s="10">
        <v>38857.732835648145</v>
      </c>
    </row>
    <row r="1493" spans="1:11" x14ac:dyDescent="0.25">
      <c r="A1493" s="8">
        <v>2519</v>
      </c>
      <c r="B1493" s="9" t="s">
        <v>9254</v>
      </c>
      <c r="C1493" s="9" t="s">
        <v>139</v>
      </c>
      <c r="D1493" s="9" t="s">
        <v>139</v>
      </c>
      <c r="E1493" s="9">
        <v>75</v>
      </c>
      <c r="F1493" s="9" t="s">
        <v>413</v>
      </c>
      <c r="G1493" s="9" t="s">
        <v>142</v>
      </c>
      <c r="H1493" s="9" t="s">
        <v>166</v>
      </c>
      <c r="I1493" s="9" t="s">
        <v>143</v>
      </c>
      <c r="J1493" s="9" t="s">
        <v>139</v>
      </c>
      <c r="K1493" s="10">
        <v>38863.789537037039</v>
      </c>
    </row>
    <row r="1494" spans="1:11" x14ac:dyDescent="0.25">
      <c r="A1494" s="8">
        <v>2520</v>
      </c>
      <c r="B1494" s="9" t="s">
        <v>9255</v>
      </c>
      <c r="C1494" s="9" t="s">
        <v>139</v>
      </c>
      <c r="D1494" s="9" t="s">
        <v>139</v>
      </c>
      <c r="E1494" s="9">
        <v>75</v>
      </c>
      <c r="F1494" s="9" t="s">
        <v>413</v>
      </c>
      <c r="G1494" s="9" t="s">
        <v>142</v>
      </c>
      <c r="H1494" s="9" t="s">
        <v>166</v>
      </c>
      <c r="I1494" s="9" t="s">
        <v>143</v>
      </c>
      <c r="J1494" s="9" t="s">
        <v>139</v>
      </c>
      <c r="K1494" s="10">
        <v>38863.790543981479</v>
      </c>
    </row>
    <row r="1495" spans="1:11" x14ac:dyDescent="0.25">
      <c r="A1495" s="8">
        <v>2521</v>
      </c>
      <c r="B1495" s="9" t="s">
        <v>5879</v>
      </c>
      <c r="C1495" s="9" t="s">
        <v>2922</v>
      </c>
      <c r="D1495" s="9" t="s">
        <v>139</v>
      </c>
      <c r="E1495" s="9" t="s">
        <v>2923</v>
      </c>
      <c r="F1495" s="9" t="s">
        <v>2924</v>
      </c>
      <c r="G1495" s="9" t="s">
        <v>142</v>
      </c>
      <c r="H1495" s="9" t="s">
        <v>166</v>
      </c>
      <c r="I1495" s="9" t="s">
        <v>411</v>
      </c>
      <c r="J1495" s="9" t="s">
        <v>139</v>
      </c>
      <c r="K1495" s="10">
        <v>38869.90084490741</v>
      </c>
    </row>
    <row r="1496" spans="1:11" x14ac:dyDescent="0.25">
      <c r="A1496" s="8">
        <v>2522</v>
      </c>
      <c r="B1496" s="9" t="s">
        <v>5880</v>
      </c>
      <c r="C1496" s="9" t="s">
        <v>2925</v>
      </c>
      <c r="D1496" s="9" t="s">
        <v>139</v>
      </c>
      <c r="E1496" s="9" t="s">
        <v>948</v>
      </c>
      <c r="F1496" s="9" t="s">
        <v>949</v>
      </c>
      <c r="G1496" s="9" t="s">
        <v>142</v>
      </c>
      <c r="H1496" s="9" t="s">
        <v>166</v>
      </c>
      <c r="I1496" s="9" t="s">
        <v>411</v>
      </c>
      <c r="J1496" s="9" t="s">
        <v>139</v>
      </c>
      <c r="K1496" s="10">
        <v>38869.903067129628</v>
      </c>
    </row>
    <row r="1497" spans="1:11" x14ac:dyDescent="0.25">
      <c r="A1497" s="8">
        <v>2523</v>
      </c>
      <c r="B1497" s="9" t="s">
        <v>5881</v>
      </c>
      <c r="C1497" s="9" t="s">
        <v>2926</v>
      </c>
      <c r="D1497" s="9" t="s">
        <v>139</v>
      </c>
      <c r="E1497" s="9" t="s">
        <v>948</v>
      </c>
      <c r="F1497" s="9" t="s">
        <v>949</v>
      </c>
      <c r="G1497" s="9" t="s">
        <v>142</v>
      </c>
      <c r="H1497" s="9" t="s">
        <v>139</v>
      </c>
      <c r="I1497" s="9" t="s">
        <v>411</v>
      </c>
      <c r="J1497" s="9" t="s">
        <v>139</v>
      </c>
      <c r="K1497" s="10">
        <v>38869.904988425929</v>
      </c>
    </row>
    <row r="1498" spans="1:11" x14ac:dyDescent="0.25">
      <c r="A1498" s="8">
        <v>2524</v>
      </c>
      <c r="B1498" s="9" t="s">
        <v>5882</v>
      </c>
      <c r="C1498" s="9" t="s">
        <v>2927</v>
      </c>
      <c r="D1498" s="9" t="s">
        <v>2928</v>
      </c>
      <c r="E1498" s="9" t="s">
        <v>2929</v>
      </c>
      <c r="F1498" s="9" t="s">
        <v>2930</v>
      </c>
      <c r="G1498" s="9" t="s">
        <v>142</v>
      </c>
      <c r="H1498" s="9" t="s">
        <v>166</v>
      </c>
      <c r="I1498" s="9" t="s">
        <v>411</v>
      </c>
      <c r="J1498" s="9" t="s">
        <v>2931</v>
      </c>
      <c r="K1498" s="10">
        <v>38871.486215277779</v>
      </c>
    </row>
    <row r="1499" spans="1:11" x14ac:dyDescent="0.25">
      <c r="A1499" s="8">
        <v>2525</v>
      </c>
      <c r="B1499" s="9" t="s">
        <v>9256</v>
      </c>
      <c r="C1499" s="9" t="s">
        <v>139</v>
      </c>
      <c r="D1499" s="9" t="s">
        <v>139</v>
      </c>
      <c r="E1499" s="9">
        <v>75</v>
      </c>
      <c r="F1499" s="9" t="s">
        <v>413</v>
      </c>
      <c r="G1499" s="9" t="s">
        <v>142</v>
      </c>
      <c r="H1499" s="9" t="s">
        <v>139</v>
      </c>
      <c r="I1499" s="9" t="s">
        <v>143</v>
      </c>
      <c r="J1499" s="9" t="s">
        <v>139</v>
      </c>
      <c r="K1499" s="10">
        <v>38875.743726851855</v>
      </c>
    </row>
    <row r="1500" spans="1:11" x14ac:dyDescent="0.25">
      <c r="A1500" s="8">
        <v>2526</v>
      </c>
      <c r="B1500" s="9" t="s">
        <v>5883</v>
      </c>
      <c r="C1500" s="9" t="s">
        <v>2932</v>
      </c>
      <c r="D1500" s="9" t="s">
        <v>139</v>
      </c>
      <c r="E1500" s="9" t="s">
        <v>2122</v>
      </c>
      <c r="F1500" s="9" t="s">
        <v>2933</v>
      </c>
      <c r="G1500" s="9" t="s">
        <v>142</v>
      </c>
      <c r="H1500" s="9" t="s">
        <v>139</v>
      </c>
      <c r="I1500" s="9" t="s">
        <v>411</v>
      </c>
      <c r="J1500" s="9" t="s">
        <v>2934</v>
      </c>
      <c r="K1500" s="10">
        <v>38882.436921296299</v>
      </c>
    </row>
    <row r="1501" spans="1:11" x14ac:dyDescent="0.25">
      <c r="A1501" s="8">
        <v>2527</v>
      </c>
      <c r="B1501" s="9" t="s">
        <v>9257</v>
      </c>
      <c r="C1501" s="9" t="s">
        <v>139</v>
      </c>
      <c r="D1501" s="9" t="s">
        <v>139</v>
      </c>
      <c r="E1501" s="9">
        <v>75</v>
      </c>
      <c r="F1501" s="9" t="s">
        <v>413</v>
      </c>
      <c r="G1501" s="9" t="s">
        <v>142</v>
      </c>
      <c r="H1501" s="9" t="s">
        <v>166</v>
      </c>
      <c r="I1501" s="9" t="s">
        <v>143</v>
      </c>
      <c r="J1501" s="9" t="s">
        <v>139</v>
      </c>
      <c r="K1501" s="10">
        <v>38885.671620370369</v>
      </c>
    </row>
    <row r="1502" spans="1:11" x14ac:dyDescent="0.25">
      <c r="A1502" s="8">
        <v>2528</v>
      </c>
      <c r="B1502" s="9" t="s">
        <v>9258</v>
      </c>
      <c r="C1502" s="9" t="s">
        <v>139</v>
      </c>
      <c r="D1502" s="9" t="s">
        <v>139</v>
      </c>
      <c r="E1502" s="9">
        <v>75</v>
      </c>
      <c r="F1502" s="9" t="s">
        <v>413</v>
      </c>
      <c r="G1502" s="9" t="s">
        <v>142</v>
      </c>
      <c r="H1502" s="9" t="s">
        <v>139</v>
      </c>
      <c r="I1502" s="9" t="s">
        <v>143</v>
      </c>
      <c r="J1502" s="9" t="s">
        <v>139</v>
      </c>
      <c r="K1502" s="10">
        <v>38888.583275462966</v>
      </c>
    </row>
    <row r="1503" spans="1:11" x14ac:dyDescent="0.25">
      <c r="A1503" s="8">
        <v>2529</v>
      </c>
      <c r="B1503" s="9" t="s">
        <v>9259</v>
      </c>
      <c r="C1503" s="9" t="s">
        <v>139</v>
      </c>
      <c r="D1503" s="9" t="s">
        <v>139</v>
      </c>
      <c r="E1503" s="9">
        <v>75</v>
      </c>
      <c r="F1503" s="9" t="s">
        <v>413</v>
      </c>
      <c r="G1503" s="9" t="s">
        <v>142</v>
      </c>
      <c r="H1503" s="9" t="s">
        <v>241</v>
      </c>
      <c r="I1503" s="9" t="s">
        <v>143</v>
      </c>
      <c r="J1503" s="9" t="s">
        <v>139</v>
      </c>
      <c r="K1503" s="10">
        <v>38891.582199074073</v>
      </c>
    </row>
    <row r="1504" spans="1:11" x14ac:dyDescent="0.25">
      <c r="A1504" s="8">
        <v>2530</v>
      </c>
      <c r="B1504" s="9" t="s">
        <v>9260</v>
      </c>
      <c r="C1504" s="9" t="s">
        <v>139</v>
      </c>
      <c r="D1504" s="9" t="s">
        <v>139</v>
      </c>
      <c r="E1504" s="9">
        <v>75</v>
      </c>
      <c r="F1504" s="9" t="s">
        <v>413</v>
      </c>
      <c r="G1504" s="9" t="s">
        <v>142</v>
      </c>
      <c r="H1504" s="9" t="s">
        <v>241</v>
      </c>
      <c r="I1504" s="9" t="s">
        <v>143</v>
      </c>
      <c r="J1504" s="9" t="s">
        <v>139</v>
      </c>
      <c r="K1504" s="10">
        <v>38891.745219907411</v>
      </c>
    </row>
    <row r="1505" spans="1:11" x14ac:dyDescent="0.25">
      <c r="A1505" s="8">
        <v>2531</v>
      </c>
      <c r="B1505" s="9" t="s">
        <v>9261</v>
      </c>
      <c r="C1505" s="9" t="s">
        <v>139</v>
      </c>
      <c r="D1505" s="9" t="s">
        <v>139</v>
      </c>
      <c r="E1505" s="9" t="s">
        <v>328</v>
      </c>
      <c r="F1505" s="9" t="s">
        <v>413</v>
      </c>
      <c r="G1505" s="9" t="s">
        <v>142</v>
      </c>
      <c r="H1505" s="9" t="s">
        <v>166</v>
      </c>
      <c r="I1505" s="9" t="s">
        <v>143</v>
      </c>
      <c r="J1505" s="9" t="s">
        <v>139</v>
      </c>
      <c r="K1505" s="10">
        <v>38895.676388888889</v>
      </c>
    </row>
    <row r="1506" spans="1:11" x14ac:dyDescent="0.25">
      <c r="A1506" s="8">
        <v>2532</v>
      </c>
      <c r="B1506" s="9" t="s">
        <v>5884</v>
      </c>
      <c r="C1506" s="9" t="s">
        <v>2935</v>
      </c>
      <c r="D1506" s="9" t="s">
        <v>139</v>
      </c>
      <c r="E1506" s="9" t="s">
        <v>1777</v>
      </c>
      <c r="F1506" s="9" t="s">
        <v>1778</v>
      </c>
      <c r="G1506" s="9" t="s">
        <v>142</v>
      </c>
      <c r="H1506" s="9" t="s">
        <v>139</v>
      </c>
      <c r="I1506" s="9" t="s">
        <v>411</v>
      </c>
      <c r="J1506" s="9" t="s">
        <v>2936</v>
      </c>
      <c r="K1506" s="10">
        <v>38895.678217592591</v>
      </c>
    </row>
    <row r="1507" spans="1:11" x14ac:dyDescent="0.25">
      <c r="A1507" s="8">
        <v>2533</v>
      </c>
      <c r="B1507" s="9" t="s">
        <v>9262</v>
      </c>
      <c r="C1507" s="9" t="s">
        <v>139</v>
      </c>
      <c r="D1507" s="9" t="s">
        <v>139</v>
      </c>
      <c r="E1507" s="9">
        <v>75</v>
      </c>
      <c r="F1507" s="9" t="s">
        <v>413</v>
      </c>
      <c r="G1507" s="9" t="s">
        <v>142</v>
      </c>
      <c r="H1507" s="9" t="s">
        <v>166</v>
      </c>
      <c r="I1507" s="9" t="s">
        <v>143</v>
      </c>
      <c r="J1507" s="9" t="s">
        <v>139</v>
      </c>
      <c r="K1507" s="10">
        <v>38896.783518518518</v>
      </c>
    </row>
    <row r="1508" spans="1:11" x14ac:dyDescent="0.25">
      <c r="A1508" s="8">
        <v>2534</v>
      </c>
      <c r="B1508" s="9" t="s">
        <v>9263</v>
      </c>
      <c r="C1508" s="9" t="s">
        <v>2937</v>
      </c>
      <c r="D1508" s="9" t="s">
        <v>139</v>
      </c>
      <c r="E1508" s="9" t="s">
        <v>752</v>
      </c>
      <c r="F1508" s="9" t="s">
        <v>753</v>
      </c>
      <c r="G1508" s="9" t="s">
        <v>142</v>
      </c>
      <c r="H1508" s="9" t="s">
        <v>241</v>
      </c>
      <c r="I1508" s="9" t="s">
        <v>143</v>
      </c>
      <c r="J1508" s="9" t="s">
        <v>139</v>
      </c>
      <c r="K1508" s="10">
        <v>38896.807083333333</v>
      </c>
    </row>
    <row r="1509" spans="1:11" x14ac:dyDescent="0.25">
      <c r="A1509" s="8">
        <v>2535</v>
      </c>
      <c r="B1509" s="9" t="s">
        <v>5885</v>
      </c>
      <c r="C1509" s="9" t="s">
        <v>2938</v>
      </c>
      <c r="D1509" s="9" t="s">
        <v>139</v>
      </c>
      <c r="E1509" s="9" t="s">
        <v>2939</v>
      </c>
      <c r="F1509" s="9" t="s">
        <v>2940</v>
      </c>
      <c r="G1509" s="9" t="s">
        <v>142</v>
      </c>
      <c r="H1509" s="9" t="s">
        <v>139</v>
      </c>
      <c r="I1509" s="9" t="s">
        <v>411</v>
      </c>
      <c r="J1509" s="9" t="s">
        <v>2941</v>
      </c>
      <c r="K1509" s="10">
        <v>38904.471863425926</v>
      </c>
    </row>
    <row r="1510" spans="1:11" x14ac:dyDescent="0.25">
      <c r="A1510" s="8">
        <v>2537</v>
      </c>
      <c r="B1510" s="9" t="s">
        <v>5886</v>
      </c>
      <c r="C1510" s="9" t="s">
        <v>2942</v>
      </c>
      <c r="D1510" s="9" t="s">
        <v>139</v>
      </c>
      <c r="E1510" s="9" t="s">
        <v>2943</v>
      </c>
      <c r="F1510" s="9" t="s">
        <v>2944</v>
      </c>
      <c r="G1510" s="9" t="s">
        <v>142</v>
      </c>
      <c r="H1510" s="9" t="s">
        <v>166</v>
      </c>
      <c r="I1510" s="9" t="s">
        <v>411</v>
      </c>
      <c r="J1510" s="9" t="s">
        <v>139</v>
      </c>
      <c r="K1510" s="10">
        <v>38917.635937500003</v>
      </c>
    </row>
    <row r="1511" spans="1:11" x14ac:dyDescent="0.25">
      <c r="A1511" s="8">
        <v>2538</v>
      </c>
      <c r="B1511" s="9" t="s">
        <v>5887</v>
      </c>
      <c r="C1511" s="9" t="s">
        <v>2945</v>
      </c>
      <c r="D1511" s="9" t="s">
        <v>139</v>
      </c>
      <c r="E1511" s="9" t="s">
        <v>2497</v>
      </c>
      <c r="F1511" s="9" t="s">
        <v>2498</v>
      </c>
      <c r="G1511" s="9" t="s">
        <v>142</v>
      </c>
      <c r="H1511" s="9" t="s">
        <v>139</v>
      </c>
      <c r="I1511" s="9" t="s">
        <v>411</v>
      </c>
      <c r="J1511" s="9" t="s">
        <v>2946</v>
      </c>
      <c r="K1511" s="10">
        <v>38917.638009259259</v>
      </c>
    </row>
    <row r="1512" spans="1:11" x14ac:dyDescent="0.25">
      <c r="A1512" s="8">
        <v>2539</v>
      </c>
      <c r="B1512" s="9" t="s">
        <v>5888</v>
      </c>
      <c r="C1512" s="9" t="s">
        <v>2947</v>
      </c>
      <c r="D1512" s="9" t="s">
        <v>139</v>
      </c>
      <c r="E1512" s="9" t="s">
        <v>2948</v>
      </c>
      <c r="F1512" s="9" t="s">
        <v>2949</v>
      </c>
      <c r="G1512" s="9" t="s">
        <v>142</v>
      </c>
      <c r="H1512" s="9" t="s">
        <v>166</v>
      </c>
      <c r="I1512" s="9" t="s">
        <v>411</v>
      </c>
      <c r="J1512" s="9" t="s">
        <v>2950</v>
      </c>
      <c r="K1512" s="10">
        <v>38917.63921296296</v>
      </c>
    </row>
    <row r="1513" spans="1:11" x14ac:dyDescent="0.25">
      <c r="A1513" s="8">
        <v>2540</v>
      </c>
      <c r="B1513" s="9" t="s">
        <v>5889</v>
      </c>
      <c r="C1513" s="9" t="s">
        <v>2951</v>
      </c>
      <c r="D1513" s="9" t="s">
        <v>139</v>
      </c>
      <c r="E1513" s="9" t="s">
        <v>2952</v>
      </c>
      <c r="F1513" s="9" t="s">
        <v>2953</v>
      </c>
      <c r="G1513" s="9" t="s">
        <v>142</v>
      </c>
      <c r="H1513" s="9" t="s">
        <v>258</v>
      </c>
      <c r="I1513" s="9" t="s">
        <v>411</v>
      </c>
      <c r="J1513" s="9" t="s">
        <v>2954</v>
      </c>
      <c r="K1513" s="10">
        <v>38917.640509259261</v>
      </c>
    </row>
    <row r="1514" spans="1:11" x14ac:dyDescent="0.25">
      <c r="A1514" s="8">
        <v>2541</v>
      </c>
      <c r="B1514" s="9" t="s">
        <v>5890</v>
      </c>
      <c r="C1514" s="9" t="s">
        <v>2955</v>
      </c>
      <c r="D1514" s="9" t="s">
        <v>139</v>
      </c>
      <c r="E1514" s="9" t="s">
        <v>1793</v>
      </c>
      <c r="F1514" s="9" t="s">
        <v>2956</v>
      </c>
      <c r="G1514" s="9" t="s">
        <v>142</v>
      </c>
      <c r="H1514" s="9" t="s">
        <v>139</v>
      </c>
      <c r="I1514" s="9" t="s">
        <v>411</v>
      </c>
      <c r="J1514" s="9" t="s">
        <v>139</v>
      </c>
      <c r="K1514" s="10">
        <v>38917.650335648148</v>
      </c>
    </row>
    <row r="1515" spans="1:11" x14ac:dyDescent="0.25">
      <c r="A1515" s="8">
        <v>2542</v>
      </c>
      <c r="B1515" s="9" t="s">
        <v>5891</v>
      </c>
      <c r="C1515" s="9" t="s">
        <v>2957</v>
      </c>
      <c r="D1515" s="9" t="s">
        <v>139</v>
      </c>
      <c r="E1515" s="9" t="s">
        <v>2958</v>
      </c>
      <c r="F1515" s="9" t="s">
        <v>2959</v>
      </c>
      <c r="G1515" s="9" t="s">
        <v>142</v>
      </c>
      <c r="H1515" s="9" t="s">
        <v>139</v>
      </c>
      <c r="I1515" s="9" t="s">
        <v>411</v>
      </c>
      <c r="J1515" s="9" t="s">
        <v>139</v>
      </c>
      <c r="K1515" s="10">
        <v>38917.651423611111</v>
      </c>
    </row>
    <row r="1516" spans="1:11" x14ac:dyDescent="0.25">
      <c r="A1516" s="8">
        <v>2543</v>
      </c>
      <c r="B1516" s="9" t="s">
        <v>5892</v>
      </c>
      <c r="C1516" s="9" t="s">
        <v>2960</v>
      </c>
      <c r="D1516" s="9" t="s">
        <v>139</v>
      </c>
      <c r="E1516" s="9" t="s">
        <v>2961</v>
      </c>
      <c r="F1516" s="9" t="s">
        <v>2962</v>
      </c>
      <c r="G1516" s="9" t="s">
        <v>142</v>
      </c>
      <c r="H1516" s="9" t="s">
        <v>139</v>
      </c>
      <c r="I1516" s="9" t="s">
        <v>411</v>
      </c>
      <c r="J1516" s="9" t="s">
        <v>139</v>
      </c>
      <c r="K1516" s="10">
        <v>38917.652245370373</v>
      </c>
    </row>
    <row r="1517" spans="1:11" x14ac:dyDescent="0.25">
      <c r="A1517" s="8">
        <v>2544</v>
      </c>
      <c r="B1517" s="9" t="s">
        <v>5893</v>
      </c>
      <c r="C1517" s="9" t="s">
        <v>2963</v>
      </c>
      <c r="D1517" s="9" t="s">
        <v>139</v>
      </c>
      <c r="E1517" s="9" t="s">
        <v>2964</v>
      </c>
      <c r="F1517" s="9" t="s">
        <v>2965</v>
      </c>
      <c r="G1517" s="9" t="s">
        <v>142</v>
      </c>
      <c r="H1517" s="9" t="s">
        <v>139</v>
      </c>
      <c r="I1517" s="9" t="s">
        <v>411</v>
      </c>
      <c r="J1517" s="9" t="s">
        <v>139</v>
      </c>
      <c r="K1517" s="10">
        <v>38917.653043981481</v>
      </c>
    </row>
    <row r="1518" spans="1:11" x14ac:dyDescent="0.25">
      <c r="A1518" s="8">
        <v>2545</v>
      </c>
      <c r="B1518" s="9" t="s">
        <v>5894</v>
      </c>
      <c r="C1518" s="9" t="s">
        <v>2966</v>
      </c>
      <c r="D1518" s="9" t="s">
        <v>139</v>
      </c>
      <c r="E1518" s="9" t="s">
        <v>2967</v>
      </c>
      <c r="F1518" s="9" t="s">
        <v>2968</v>
      </c>
      <c r="G1518" s="9" t="s">
        <v>142</v>
      </c>
      <c r="H1518" s="9" t="s">
        <v>139</v>
      </c>
      <c r="I1518" s="9" t="s">
        <v>411</v>
      </c>
      <c r="J1518" s="9" t="s">
        <v>139</v>
      </c>
      <c r="K1518" s="10">
        <v>38917.653854166667</v>
      </c>
    </row>
    <row r="1519" spans="1:11" x14ac:dyDescent="0.25">
      <c r="A1519" s="8">
        <v>2547</v>
      </c>
      <c r="B1519" s="9" t="s">
        <v>5895</v>
      </c>
      <c r="C1519" s="9" t="s">
        <v>2969</v>
      </c>
      <c r="D1519" s="9" t="s">
        <v>139</v>
      </c>
      <c r="E1519" s="9" t="s">
        <v>2970</v>
      </c>
      <c r="F1519" s="9" t="s">
        <v>2971</v>
      </c>
      <c r="G1519" s="9" t="s">
        <v>142</v>
      </c>
      <c r="H1519" s="9" t="s">
        <v>139</v>
      </c>
      <c r="I1519" s="9" t="s">
        <v>411</v>
      </c>
      <c r="J1519" s="9" t="s">
        <v>139</v>
      </c>
      <c r="K1519" s="10">
        <v>38917.655543981484</v>
      </c>
    </row>
    <row r="1520" spans="1:11" x14ac:dyDescent="0.25">
      <c r="A1520" s="8">
        <v>2548</v>
      </c>
      <c r="B1520" s="9" t="s">
        <v>5896</v>
      </c>
      <c r="C1520" s="9" t="s">
        <v>2972</v>
      </c>
      <c r="D1520" s="9" t="s">
        <v>139</v>
      </c>
      <c r="E1520" s="9" t="s">
        <v>2973</v>
      </c>
      <c r="F1520" s="9" t="s">
        <v>2974</v>
      </c>
      <c r="G1520" s="9" t="s">
        <v>142</v>
      </c>
      <c r="H1520" s="9" t="s">
        <v>139</v>
      </c>
      <c r="I1520" s="9" t="s">
        <v>411</v>
      </c>
      <c r="J1520" s="9" t="s">
        <v>139</v>
      </c>
      <c r="K1520" s="10">
        <v>38917.656608796293</v>
      </c>
    </row>
    <row r="1521" spans="1:11" x14ac:dyDescent="0.25">
      <c r="A1521" s="8">
        <v>2550</v>
      </c>
      <c r="B1521" s="9" t="s">
        <v>5897</v>
      </c>
      <c r="C1521" s="9" t="s">
        <v>2975</v>
      </c>
      <c r="D1521" s="9" t="s">
        <v>139</v>
      </c>
      <c r="E1521" s="9" t="s">
        <v>2737</v>
      </c>
      <c r="F1521" s="9" t="s">
        <v>914</v>
      </c>
      <c r="G1521" s="9" t="s">
        <v>142</v>
      </c>
      <c r="H1521" s="9" t="s">
        <v>139</v>
      </c>
      <c r="I1521" s="9" t="s">
        <v>411</v>
      </c>
      <c r="J1521" s="9" t="s">
        <v>139</v>
      </c>
      <c r="K1521" s="10">
        <v>38917.659074074072</v>
      </c>
    </row>
    <row r="1522" spans="1:11" x14ac:dyDescent="0.25">
      <c r="A1522" s="8">
        <v>2551</v>
      </c>
      <c r="B1522" s="9" t="s">
        <v>5898</v>
      </c>
      <c r="C1522" s="9" t="s">
        <v>2976</v>
      </c>
      <c r="D1522" s="9" t="s">
        <v>139</v>
      </c>
      <c r="E1522" s="9" t="s">
        <v>2977</v>
      </c>
      <c r="F1522" s="9" t="s">
        <v>2978</v>
      </c>
      <c r="G1522" s="9" t="s">
        <v>142</v>
      </c>
      <c r="H1522" s="9" t="s">
        <v>139</v>
      </c>
      <c r="I1522" s="9" t="s">
        <v>411</v>
      </c>
      <c r="J1522" s="9" t="s">
        <v>139</v>
      </c>
      <c r="K1522" s="10">
        <v>38917.659756944442</v>
      </c>
    </row>
    <row r="1523" spans="1:11" x14ac:dyDescent="0.25">
      <c r="A1523" s="8">
        <v>2552</v>
      </c>
      <c r="B1523" s="9" t="s">
        <v>5899</v>
      </c>
      <c r="C1523" s="9" t="s">
        <v>2979</v>
      </c>
      <c r="D1523" s="9" t="s">
        <v>139</v>
      </c>
      <c r="E1523" s="9" t="s">
        <v>2980</v>
      </c>
      <c r="F1523" s="9" t="s">
        <v>2981</v>
      </c>
      <c r="G1523" s="9" t="s">
        <v>142</v>
      </c>
      <c r="H1523" s="9" t="s">
        <v>139</v>
      </c>
      <c r="I1523" s="9" t="s">
        <v>411</v>
      </c>
      <c r="J1523" s="9" t="s">
        <v>139</v>
      </c>
      <c r="K1523" s="10">
        <v>38917.660462962966</v>
      </c>
    </row>
    <row r="1524" spans="1:11" x14ac:dyDescent="0.25">
      <c r="A1524" s="8">
        <v>2553</v>
      </c>
      <c r="B1524" s="9" t="s">
        <v>5900</v>
      </c>
      <c r="C1524" s="9" t="s">
        <v>2982</v>
      </c>
      <c r="D1524" s="9" t="s">
        <v>139</v>
      </c>
      <c r="E1524" s="9" t="s">
        <v>2983</v>
      </c>
      <c r="F1524" s="9" t="s">
        <v>2984</v>
      </c>
      <c r="G1524" s="9" t="s">
        <v>142</v>
      </c>
      <c r="H1524" s="9" t="s">
        <v>241</v>
      </c>
      <c r="I1524" s="9" t="s">
        <v>411</v>
      </c>
      <c r="J1524" s="9" t="s">
        <v>139</v>
      </c>
      <c r="K1524" s="10">
        <v>38917.661215277774</v>
      </c>
    </row>
    <row r="1525" spans="1:11" x14ac:dyDescent="0.25">
      <c r="A1525" s="8">
        <v>2555</v>
      </c>
      <c r="B1525" s="9" t="s">
        <v>5901</v>
      </c>
      <c r="C1525" s="9" t="s">
        <v>1708</v>
      </c>
      <c r="D1525" s="9" t="s">
        <v>139</v>
      </c>
      <c r="E1525" s="9" t="s">
        <v>2985</v>
      </c>
      <c r="F1525" s="9" t="s">
        <v>2986</v>
      </c>
      <c r="G1525" s="9" t="s">
        <v>142</v>
      </c>
      <c r="H1525" s="9" t="s">
        <v>139</v>
      </c>
      <c r="I1525" s="9" t="s">
        <v>411</v>
      </c>
      <c r="J1525" s="9" t="s">
        <v>139</v>
      </c>
      <c r="K1525" s="10">
        <v>38917.662986111114</v>
      </c>
    </row>
    <row r="1526" spans="1:11" x14ac:dyDescent="0.25">
      <c r="A1526" s="8">
        <v>2556</v>
      </c>
      <c r="B1526" s="9" t="s">
        <v>5902</v>
      </c>
      <c r="C1526" s="9" t="s">
        <v>2987</v>
      </c>
      <c r="D1526" s="9" t="s">
        <v>139</v>
      </c>
      <c r="E1526" s="9" t="s">
        <v>2988</v>
      </c>
      <c r="F1526" s="9" t="s">
        <v>2989</v>
      </c>
      <c r="G1526" s="9" t="s">
        <v>142</v>
      </c>
      <c r="H1526" s="9" t="s">
        <v>139</v>
      </c>
      <c r="I1526" s="9" t="s">
        <v>411</v>
      </c>
      <c r="J1526" s="9" t="s">
        <v>139</v>
      </c>
      <c r="K1526" s="10">
        <v>38917.663773148146</v>
      </c>
    </row>
    <row r="1527" spans="1:11" x14ac:dyDescent="0.25">
      <c r="A1527" s="8">
        <v>2557</v>
      </c>
      <c r="B1527" s="9" t="s">
        <v>5903</v>
      </c>
      <c r="C1527" s="9" t="s">
        <v>2990</v>
      </c>
      <c r="D1527" s="9" t="s">
        <v>139</v>
      </c>
      <c r="E1527" s="9" t="s">
        <v>2991</v>
      </c>
      <c r="F1527" s="9" t="s">
        <v>2992</v>
      </c>
      <c r="G1527" s="9" t="s">
        <v>142</v>
      </c>
      <c r="H1527" s="9" t="s">
        <v>139</v>
      </c>
      <c r="I1527" s="9" t="s">
        <v>411</v>
      </c>
      <c r="J1527" s="9" t="s">
        <v>139</v>
      </c>
      <c r="K1527" s="10">
        <v>38917.664618055554</v>
      </c>
    </row>
    <row r="1528" spans="1:11" x14ac:dyDescent="0.25">
      <c r="A1528" s="8">
        <v>2558</v>
      </c>
      <c r="B1528" s="9" t="s">
        <v>5904</v>
      </c>
      <c r="C1528" s="9" t="s">
        <v>2993</v>
      </c>
      <c r="D1528" s="9" t="s">
        <v>139</v>
      </c>
      <c r="E1528" s="9" t="s">
        <v>2994</v>
      </c>
      <c r="F1528" s="9" t="s">
        <v>2995</v>
      </c>
      <c r="G1528" s="9" t="s">
        <v>142</v>
      </c>
      <c r="H1528" s="9" t="s">
        <v>139</v>
      </c>
      <c r="I1528" s="9" t="s">
        <v>411</v>
      </c>
      <c r="J1528" s="9" t="s">
        <v>139</v>
      </c>
      <c r="K1528" s="10">
        <v>38917.665312500001</v>
      </c>
    </row>
    <row r="1529" spans="1:11" x14ac:dyDescent="0.25">
      <c r="A1529" s="8">
        <v>2559</v>
      </c>
      <c r="B1529" s="9" t="s">
        <v>5905</v>
      </c>
      <c r="C1529" s="9" t="s">
        <v>2996</v>
      </c>
      <c r="D1529" s="9" t="s">
        <v>2997</v>
      </c>
      <c r="E1529" s="9" t="s">
        <v>2423</v>
      </c>
      <c r="F1529" s="9" t="s">
        <v>2424</v>
      </c>
      <c r="G1529" s="9" t="s">
        <v>142</v>
      </c>
      <c r="H1529" s="9" t="s">
        <v>139</v>
      </c>
      <c r="I1529" s="9" t="s">
        <v>411</v>
      </c>
      <c r="J1529" s="9" t="s">
        <v>139</v>
      </c>
      <c r="K1529" s="10">
        <v>38917.666388888887</v>
      </c>
    </row>
    <row r="1530" spans="1:11" x14ac:dyDescent="0.25">
      <c r="A1530" s="8">
        <v>2560</v>
      </c>
      <c r="B1530" s="9" t="s">
        <v>5906</v>
      </c>
      <c r="C1530" s="9" t="s">
        <v>2998</v>
      </c>
      <c r="D1530" s="9" t="s">
        <v>139</v>
      </c>
      <c r="E1530" s="9" t="s">
        <v>2438</v>
      </c>
      <c r="F1530" s="9" t="s">
        <v>2999</v>
      </c>
      <c r="G1530" s="9" t="s">
        <v>142</v>
      </c>
      <c r="H1530" s="9" t="s">
        <v>139</v>
      </c>
      <c r="I1530" s="9" t="s">
        <v>411</v>
      </c>
      <c r="J1530" s="9" t="s">
        <v>139</v>
      </c>
      <c r="K1530" s="10">
        <v>38917.667928240742</v>
      </c>
    </row>
    <row r="1531" spans="1:11" x14ac:dyDescent="0.25">
      <c r="A1531" s="8">
        <v>2561</v>
      </c>
      <c r="B1531" s="9" t="s">
        <v>5907</v>
      </c>
      <c r="C1531" s="9" t="s">
        <v>3000</v>
      </c>
      <c r="D1531" s="9" t="s">
        <v>139</v>
      </c>
      <c r="E1531" s="9" t="s">
        <v>3001</v>
      </c>
      <c r="F1531" s="9" t="s">
        <v>3002</v>
      </c>
      <c r="G1531" s="9" t="s">
        <v>142</v>
      </c>
      <c r="H1531" s="9" t="s">
        <v>139</v>
      </c>
      <c r="I1531" s="9" t="s">
        <v>411</v>
      </c>
      <c r="J1531" s="9" t="s">
        <v>139</v>
      </c>
      <c r="K1531" s="10">
        <v>38917.66920138889</v>
      </c>
    </row>
    <row r="1532" spans="1:11" x14ac:dyDescent="0.25">
      <c r="A1532" s="8">
        <v>2562</v>
      </c>
      <c r="B1532" s="9" t="s">
        <v>5908</v>
      </c>
      <c r="C1532" s="9" t="s">
        <v>3003</v>
      </c>
      <c r="D1532" s="9" t="s">
        <v>139</v>
      </c>
      <c r="E1532" s="9" t="s">
        <v>876</v>
      </c>
      <c r="F1532" s="9" t="s">
        <v>1823</v>
      </c>
      <c r="G1532" s="9" t="s">
        <v>142</v>
      </c>
      <c r="H1532" s="9" t="s">
        <v>139</v>
      </c>
      <c r="I1532" s="9" t="s">
        <v>411</v>
      </c>
      <c r="J1532" s="9" t="s">
        <v>139</v>
      </c>
      <c r="K1532" s="10">
        <v>38917.670162037037</v>
      </c>
    </row>
    <row r="1533" spans="1:11" x14ac:dyDescent="0.25">
      <c r="A1533" s="8">
        <v>2563</v>
      </c>
      <c r="B1533" s="9" t="s">
        <v>5909</v>
      </c>
      <c r="C1533" s="9" t="s">
        <v>3004</v>
      </c>
      <c r="D1533" s="9" t="s">
        <v>139</v>
      </c>
      <c r="E1533" s="9" t="s">
        <v>3005</v>
      </c>
      <c r="F1533" s="9" t="s">
        <v>3006</v>
      </c>
      <c r="G1533" s="9" t="s">
        <v>142</v>
      </c>
      <c r="H1533" s="9" t="s">
        <v>139</v>
      </c>
      <c r="I1533" s="9" t="s">
        <v>411</v>
      </c>
      <c r="J1533" s="9" t="s">
        <v>139</v>
      </c>
      <c r="K1533" s="10">
        <v>38917.675023148149</v>
      </c>
    </row>
    <row r="1534" spans="1:11" x14ac:dyDescent="0.25">
      <c r="A1534" s="8">
        <v>2564</v>
      </c>
      <c r="B1534" s="9" t="s">
        <v>5910</v>
      </c>
      <c r="C1534" s="9" t="s">
        <v>3007</v>
      </c>
      <c r="D1534" s="9" t="s">
        <v>3008</v>
      </c>
      <c r="E1534" s="9" t="s">
        <v>3009</v>
      </c>
      <c r="F1534" s="9" t="s">
        <v>3010</v>
      </c>
      <c r="G1534" s="9" t="s">
        <v>142</v>
      </c>
      <c r="H1534" s="9" t="s">
        <v>139</v>
      </c>
      <c r="I1534" s="9" t="s">
        <v>411</v>
      </c>
      <c r="J1534" s="9" t="s">
        <v>139</v>
      </c>
      <c r="K1534" s="10">
        <v>38917.675983796296</v>
      </c>
    </row>
    <row r="1535" spans="1:11" x14ac:dyDescent="0.25">
      <c r="A1535" s="8">
        <v>2565</v>
      </c>
      <c r="B1535" s="9" t="s">
        <v>5911</v>
      </c>
      <c r="C1535" s="9" t="s">
        <v>3011</v>
      </c>
      <c r="D1535" s="9" t="s">
        <v>139</v>
      </c>
      <c r="E1535" s="9" t="s">
        <v>2265</v>
      </c>
      <c r="F1535" s="9" t="s">
        <v>3012</v>
      </c>
      <c r="G1535" s="9" t="s">
        <v>142</v>
      </c>
      <c r="H1535" s="9" t="s">
        <v>139</v>
      </c>
      <c r="I1535" s="9" t="s">
        <v>411</v>
      </c>
      <c r="J1535" s="9" t="s">
        <v>139</v>
      </c>
      <c r="K1535" s="10">
        <v>38917.681979166664</v>
      </c>
    </row>
    <row r="1536" spans="1:11" x14ac:dyDescent="0.25">
      <c r="A1536" s="8">
        <v>2566</v>
      </c>
      <c r="B1536" s="9" t="s">
        <v>5912</v>
      </c>
      <c r="C1536" s="9" t="s">
        <v>1764</v>
      </c>
      <c r="D1536" s="9" t="s">
        <v>139</v>
      </c>
      <c r="E1536" s="9" t="s">
        <v>3013</v>
      </c>
      <c r="F1536" s="9" t="s">
        <v>3014</v>
      </c>
      <c r="G1536" s="9" t="s">
        <v>142</v>
      </c>
      <c r="H1536" s="9" t="s">
        <v>139</v>
      </c>
      <c r="I1536" s="9" t="s">
        <v>411</v>
      </c>
      <c r="J1536" s="9" t="s">
        <v>139</v>
      </c>
      <c r="K1536" s="10">
        <v>38917.68472222222</v>
      </c>
    </row>
    <row r="1537" spans="1:11" x14ac:dyDescent="0.25">
      <c r="A1537" s="8">
        <v>2567</v>
      </c>
      <c r="B1537" s="9" t="s">
        <v>5913</v>
      </c>
      <c r="C1537" s="9" t="s">
        <v>3015</v>
      </c>
      <c r="D1537" s="9" t="s">
        <v>139</v>
      </c>
      <c r="E1537" s="9" t="s">
        <v>3016</v>
      </c>
      <c r="F1537" s="9" t="s">
        <v>3017</v>
      </c>
      <c r="G1537" s="9" t="s">
        <v>142</v>
      </c>
      <c r="H1537" s="9" t="s">
        <v>139</v>
      </c>
      <c r="I1537" s="9" t="s">
        <v>411</v>
      </c>
      <c r="J1537" s="9" t="s">
        <v>139</v>
      </c>
      <c r="K1537" s="10">
        <v>38917.685497685183</v>
      </c>
    </row>
    <row r="1538" spans="1:11" x14ac:dyDescent="0.25">
      <c r="A1538" s="8">
        <v>2568</v>
      </c>
      <c r="B1538" s="9" t="s">
        <v>5914</v>
      </c>
      <c r="C1538" s="9" t="s">
        <v>3018</v>
      </c>
      <c r="D1538" s="9" t="s">
        <v>139</v>
      </c>
      <c r="E1538" s="9" t="s">
        <v>3019</v>
      </c>
      <c r="F1538" s="9" t="s">
        <v>3020</v>
      </c>
      <c r="G1538" s="9" t="s">
        <v>142</v>
      </c>
      <c r="H1538" s="9" t="s">
        <v>139</v>
      </c>
      <c r="I1538" s="9" t="s">
        <v>411</v>
      </c>
      <c r="J1538" s="9" t="s">
        <v>139</v>
      </c>
      <c r="K1538" s="10">
        <v>38917.686909722222</v>
      </c>
    </row>
    <row r="1539" spans="1:11" x14ac:dyDescent="0.25">
      <c r="A1539" s="8">
        <v>2569</v>
      </c>
      <c r="B1539" s="9" t="s">
        <v>5915</v>
      </c>
      <c r="C1539" s="9" t="s">
        <v>3021</v>
      </c>
      <c r="D1539" s="9" t="s">
        <v>139</v>
      </c>
      <c r="E1539" s="9" t="s">
        <v>3022</v>
      </c>
      <c r="F1539" s="9" t="s">
        <v>3023</v>
      </c>
      <c r="G1539" s="9" t="s">
        <v>142</v>
      </c>
      <c r="H1539" s="9" t="s">
        <v>139</v>
      </c>
      <c r="I1539" s="9" t="s">
        <v>411</v>
      </c>
      <c r="J1539" s="9" t="s">
        <v>139</v>
      </c>
      <c r="K1539" s="10">
        <v>38917.687696759262</v>
      </c>
    </row>
    <row r="1540" spans="1:11" x14ac:dyDescent="0.25">
      <c r="A1540" s="8">
        <v>2570</v>
      </c>
      <c r="B1540" s="9" t="s">
        <v>5916</v>
      </c>
      <c r="C1540" s="9" t="s">
        <v>3024</v>
      </c>
      <c r="D1540" s="9" t="s">
        <v>139</v>
      </c>
      <c r="E1540" s="9" t="s">
        <v>1500</v>
      </c>
      <c r="F1540" s="9" t="s">
        <v>1501</v>
      </c>
      <c r="G1540" s="9" t="s">
        <v>142</v>
      </c>
      <c r="H1540" s="9" t="s">
        <v>139</v>
      </c>
      <c r="I1540" s="9" t="s">
        <v>411</v>
      </c>
      <c r="J1540" s="9" t="s">
        <v>139</v>
      </c>
      <c r="K1540" s="10">
        <v>38917.688634259262</v>
      </c>
    </row>
    <row r="1541" spans="1:11" x14ac:dyDescent="0.25">
      <c r="A1541" s="8">
        <v>2571</v>
      </c>
      <c r="B1541" s="9" t="s">
        <v>5917</v>
      </c>
      <c r="C1541" s="9" t="s">
        <v>3025</v>
      </c>
      <c r="D1541" s="9" t="s">
        <v>139</v>
      </c>
      <c r="E1541" s="9" t="s">
        <v>3022</v>
      </c>
      <c r="F1541" s="9" t="s">
        <v>3026</v>
      </c>
      <c r="G1541" s="9" t="s">
        <v>142</v>
      </c>
      <c r="H1541" s="9" t="s">
        <v>139</v>
      </c>
      <c r="I1541" s="9" t="s">
        <v>411</v>
      </c>
      <c r="J1541" s="9" t="s">
        <v>139</v>
      </c>
      <c r="K1541" s="10">
        <v>38917.689467592594</v>
      </c>
    </row>
    <row r="1542" spans="1:11" x14ac:dyDescent="0.25">
      <c r="A1542" s="8">
        <v>2572</v>
      </c>
      <c r="B1542" s="9" t="s">
        <v>5918</v>
      </c>
      <c r="C1542" s="9" t="s">
        <v>3027</v>
      </c>
      <c r="D1542" s="9" t="s">
        <v>139</v>
      </c>
      <c r="E1542" s="9" t="s">
        <v>3028</v>
      </c>
      <c r="F1542" s="9" t="s">
        <v>3029</v>
      </c>
      <c r="G1542" s="9" t="s">
        <v>142</v>
      </c>
      <c r="H1542" s="9" t="s">
        <v>139</v>
      </c>
      <c r="I1542" s="9" t="s">
        <v>411</v>
      </c>
      <c r="J1542" s="9" t="s">
        <v>139</v>
      </c>
      <c r="K1542" s="10">
        <v>38917.691435185188</v>
      </c>
    </row>
    <row r="1543" spans="1:11" x14ac:dyDescent="0.25">
      <c r="A1543" s="8">
        <v>2573</v>
      </c>
      <c r="B1543" s="9" t="s">
        <v>5919</v>
      </c>
      <c r="C1543" s="9" t="s">
        <v>3030</v>
      </c>
      <c r="D1543" s="9" t="s">
        <v>139</v>
      </c>
      <c r="E1543" s="9" t="s">
        <v>3031</v>
      </c>
      <c r="F1543" s="9" t="s">
        <v>4258</v>
      </c>
      <c r="G1543" s="9" t="s">
        <v>142</v>
      </c>
      <c r="H1543" s="9" t="s">
        <v>139</v>
      </c>
      <c r="I1543" s="9" t="s">
        <v>411</v>
      </c>
      <c r="J1543" s="9" t="s">
        <v>139</v>
      </c>
      <c r="K1543" s="10">
        <v>38917.693414351852</v>
      </c>
    </row>
    <row r="1544" spans="1:11" x14ac:dyDescent="0.25">
      <c r="A1544" s="8">
        <v>2574</v>
      </c>
      <c r="B1544" s="9" t="s">
        <v>5920</v>
      </c>
      <c r="C1544" s="9" t="s">
        <v>3032</v>
      </c>
      <c r="D1544" s="9" t="s">
        <v>139</v>
      </c>
      <c r="E1544" s="9" t="s">
        <v>3033</v>
      </c>
      <c r="F1544" s="9" t="s">
        <v>3034</v>
      </c>
      <c r="G1544" s="9" t="s">
        <v>142</v>
      </c>
      <c r="H1544" s="9" t="s">
        <v>139</v>
      </c>
      <c r="I1544" s="9" t="s">
        <v>411</v>
      </c>
      <c r="J1544" s="9" t="s">
        <v>139</v>
      </c>
      <c r="K1544" s="10">
        <v>38917.694236111114</v>
      </c>
    </row>
    <row r="1545" spans="1:11" x14ac:dyDescent="0.25">
      <c r="A1545" s="8">
        <v>2575</v>
      </c>
      <c r="B1545" s="9" t="s">
        <v>5921</v>
      </c>
      <c r="C1545" s="9" t="s">
        <v>3035</v>
      </c>
      <c r="D1545" s="9" t="s">
        <v>139</v>
      </c>
      <c r="E1545" s="9" t="s">
        <v>1893</v>
      </c>
      <c r="F1545" s="9" t="s">
        <v>1894</v>
      </c>
      <c r="G1545" s="9" t="s">
        <v>142</v>
      </c>
      <c r="H1545" s="9" t="s">
        <v>139</v>
      </c>
      <c r="I1545" s="9" t="s">
        <v>411</v>
      </c>
      <c r="J1545" s="9" t="s">
        <v>139</v>
      </c>
      <c r="K1545" s="10">
        <v>38917.695231481484</v>
      </c>
    </row>
    <row r="1546" spans="1:11" x14ac:dyDescent="0.25">
      <c r="A1546" s="8">
        <v>2576</v>
      </c>
      <c r="B1546" s="9" t="s">
        <v>5922</v>
      </c>
      <c r="C1546" s="9" t="s">
        <v>3036</v>
      </c>
      <c r="D1546" s="9" t="s">
        <v>139</v>
      </c>
      <c r="E1546" s="9" t="s">
        <v>2283</v>
      </c>
      <c r="F1546" s="9" t="s">
        <v>3037</v>
      </c>
      <c r="G1546" s="9" t="s">
        <v>142</v>
      </c>
      <c r="H1546" s="9" t="s">
        <v>139</v>
      </c>
      <c r="I1546" s="9" t="s">
        <v>411</v>
      </c>
      <c r="J1546" s="9" t="s">
        <v>139</v>
      </c>
      <c r="K1546" s="10">
        <v>38917.696157407408</v>
      </c>
    </row>
    <row r="1547" spans="1:11" x14ac:dyDescent="0.25">
      <c r="A1547" s="8">
        <v>2577</v>
      </c>
      <c r="B1547" s="9" t="s">
        <v>5923</v>
      </c>
      <c r="C1547" s="9" t="s">
        <v>139</v>
      </c>
      <c r="D1547" s="9" t="s">
        <v>3038</v>
      </c>
      <c r="E1547" s="9" t="s">
        <v>1198</v>
      </c>
      <c r="F1547" s="9" t="s">
        <v>1199</v>
      </c>
      <c r="G1547" s="9" t="s">
        <v>142</v>
      </c>
      <c r="H1547" s="9" t="s">
        <v>139</v>
      </c>
      <c r="I1547" s="9" t="s">
        <v>411</v>
      </c>
      <c r="J1547" s="9" t="s">
        <v>139</v>
      </c>
      <c r="K1547" s="10">
        <v>38917.696967592594</v>
      </c>
    </row>
    <row r="1548" spans="1:11" x14ac:dyDescent="0.25">
      <c r="A1548" s="8">
        <v>2578</v>
      </c>
      <c r="B1548" s="9" t="s">
        <v>5924</v>
      </c>
      <c r="C1548" s="9" t="s">
        <v>3039</v>
      </c>
      <c r="D1548" s="9" t="s">
        <v>139</v>
      </c>
      <c r="E1548" s="9" t="s">
        <v>3040</v>
      </c>
      <c r="F1548" s="9" t="s">
        <v>3041</v>
      </c>
      <c r="G1548" s="9" t="s">
        <v>142</v>
      </c>
      <c r="H1548" s="9" t="s">
        <v>139</v>
      </c>
      <c r="I1548" s="9" t="s">
        <v>411</v>
      </c>
      <c r="J1548" s="9" t="s">
        <v>139</v>
      </c>
      <c r="K1548" s="10">
        <v>38917.69803240741</v>
      </c>
    </row>
    <row r="1549" spans="1:11" x14ac:dyDescent="0.25">
      <c r="A1549" s="8">
        <v>2579</v>
      </c>
      <c r="B1549" s="9" t="s">
        <v>5925</v>
      </c>
      <c r="C1549" s="9" t="s">
        <v>3042</v>
      </c>
      <c r="D1549" s="9" t="s">
        <v>139</v>
      </c>
      <c r="E1549" s="9" t="s">
        <v>3043</v>
      </c>
      <c r="F1549" s="9" t="s">
        <v>3044</v>
      </c>
      <c r="G1549" s="9" t="s">
        <v>142</v>
      </c>
      <c r="H1549" s="9" t="s">
        <v>139</v>
      </c>
      <c r="I1549" s="9" t="s">
        <v>411</v>
      </c>
      <c r="J1549" s="9" t="s">
        <v>139</v>
      </c>
      <c r="K1549" s="10">
        <v>38917.69903935185</v>
      </c>
    </row>
    <row r="1550" spans="1:11" x14ac:dyDescent="0.25">
      <c r="A1550" s="8">
        <v>2580</v>
      </c>
      <c r="B1550" s="9" t="s">
        <v>5926</v>
      </c>
      <c r="C1550" s="9" t="s">
        <v>3045</v>
      </c>
      <c r="D1550" s="9" t="s">
        <v>139</v>
      </c>
      <c r="E1550" s="9" t="s">
        <v>3046</v>
      </c>
      <c r="F1550" s="9" t="s">
        <v>3047</v>
      </c>
      <c r="G1550" s="9" t="s">
        <v>142</v>
      </c>
      <c r="H1550" s="9" t="s">
        <v>139</v>
      </c>
      <c r="I1550" s="9" t="s">
        <v>411</v>
      </c>
      <c r="J1550" s="9" t="s">
        <v>139</v>
      </c>
      <c r="K1550" s="10">
        <v>38917.699803240743</v>
      </c>
    </row>
    <row r="1551" spans="1:11" x14ac:dyDescent="0.25">
      <c r="A1551" s="8">
        <v>2581</v>
      </c>
      <c r="B1551" s="9" t="s">
        <v>5927</v>
      </c>
      <c r="C1551" s="9" t="s">
        <v>3048</v>
      </c>
      <c r="D1551" s="9" t="s">
        <v>139</v>
      </c>
      <c r="E1551" s="9" t="s">
        <v>3049</v>
      </c>
      <c r="F1551" s="9" t="s">
        <v>3050</v>
      </c>
      <c r="G1551" s="9" t="s">
        <v>142</v>
      </c>
      <c r="H1551" s="9" t="s">
        <v>139</v>
      </c>
      <c r="I1551" s="9" t="s">
        <v>411</v>
      </c>
      <c r="J1551" s="9" t="s">
        <v>139</v>
      </c>
      <c r="K1551" s="10">
        <v>38917.701157407406</v>
      </c>
    </row>
    <row r="1552" spans="1:11" x14ac:dyDescent="0.25">
      <c r="A1552" s="8">
        <v>2582</v>
      </c>
      <c r="B1552" s="9" t="s">
        <v>5928</v>
      </c>
      <c r="C1552" s="9" t="s">
        <v>3051</v>
      </c>
      <c r="D1552" s="9" t="s">
        <v>139</v>
      </c>
      <c r="E1552" s="9" t="s">
        <v>3052</v>
      </c>
      <c r="F1552" s="9" t="s">
        <v>3053</v>
      </c>
      <c r="G1552" s="9" t="s">
        <v>142</v>
      </c>
      <c r="H1552" s="9" t="s">
        <v>139</v>
      </c>
      <c r="I1552" s="9" t="s">
        <v>411</v>
      </c>
      <c r="J1552" s="9" t="s">
        <v>139</v>
      </c>
      <c r="K1552" s="10">
        <v>38917.702731481484</v>
      </c>
    </row>
    <row r="1553" spans="1:11" x14ac:dyDescent="0.25">
      <c r="A1553" s="8">
        <v>2583</v>
      </c>
      <c r="B1553" s="9" t="s">
        <v>5929</v>
      </c>
      <c r="C1553" s="9" t="s">
        <v>3054</v>
      </c>
      <c r="D1553" s="9" t="s">
        <v>139</v>
      </c>
      <c r="E1553" s="9" t="s">
        <v>1523</v>
      </c>
      <c r="F1553" s="9" t="s">
        <v>3055</v>
      </c>
      <c r="G1553" s="9" t="s">
        <v>142</v>
      </c>
      <c r="H1553" s="9" t="s">
        <v>139</v>
      </c>
      <c r="I1553" s="9" t="s">
        <v>411</v>
      </c>
      <c r="J1553" s="9" t="s">
        <v>139</v>
      </c>
      <c r="K1553" s="10">
        <v>38917.703414351854</v>
      </c>
    </row>
    <row r="1554" spans="1:11" x14ac:dyDescent="0.25">
      <c r="A1554" s="8">
        <v>2584</v>
      </c>
      <c r="B1554" s="9" t="s">
        <v>5930</v>
      </c>
      <c r="C1554" s="9" t="s">
        <v>3056</v>
      </c>
      <c r="D1554" s="9" t="s">
        <v>139</v>
      </c>
      <c r="E1554" s="9" t="s">
        <v>1777</v>
      </c>
      <c r="F1554" s="9" t="s">
        <v>1778</v>
      </c>
      <c r="G1554" s="9" t="s">
        <v>142</v>
      </c>
      <c r="H1554" s="9" t="s">
        <v>139</v>
      </c>
      <c r="I1554" s="9" t="s">
        <v>411</v>
      </c>
      <c r="J1554" s="9" t="s">
        <v>139</v>
      </c>
      <c r="K1554" s="10">
        <v>38917.704456018517</v>
      </c>
    </row>
    <row r="1555" spans="1:11" x14ac:dyDescent="0.25">
      <c r="A1555" s="8">
        <v>2585</v>
      </c>
      <c r="B1555" s="9" t="s">
        <v>5931</v>
      </c>
      <c r="C1555" s="9" t="s">
        <v>3057</v>
      </c>
      <c r="D1555" s="9" t="s">
        <v>3058</v>
      </c>
      <c r="E1555" s="9" t="s">
        <v>3059</v>
      </c>
      <c r="F1555" s="9" t="s">
        <v>3060</v>
      </c>
      <c r="G1555" s="9" t="s">
        <v>142</v>
      </c>
      <c r="H1555" s="9" t="s">
        <v>139</v>
      </c>
      <c r="I1555" s="9" t="s">
        <v>411</v>
      </c>
      <c r="J1555" s="9" t="s">
        <v>139</v>
      </c>
      <c r="K1555" s="10">
        <v>38917.706145833334</v>
      </c>
    </row>
    <row r="1556" spans="1:11" x14ac:dyDescent="0.25">
      <c r="A1556" s="8">
        <v>2587</v>
      </c>
      <c r="B1556" s="9" t="s">
        <v>5932</v>
      </c>
      <c r="C1556" s="9" t="s">
        <v>3061</v>
      </c>
      <c r="D1556" s="9" t="s">
        <v>139</v>
      </c>
      <c r="E1556" s="9" t="s">
        <v>3062</v>
      </c>
      <c r="F1556" s="9" t="s">
        <v>3063</v>
      </c>
      <c r="G1556" s="9" t="s">
        <v>142</v>
      </c>
      <c r="H1556" s="9" t="s">
        <v>139</v>
      </c>
      <c r="I1556" s="9" t="s">
        <v>411</v>
      </c>
      <c r="J1556" s="9" t="s">
        <v>139</v>
      </c>
      <c r="K1556" s="10">
        <v>38917.711678240739</v>
      </c>
    </row>
    <row r="1557" spans="1:11" x14ac:dyDescent="0.25">
      <c r="A1557" s="8">
        <v>2591</v>
      </c>
      <c r="B1557" s="9" t="s">
        <v>5933</v>
      </c>
      <c r="C1557" s="9" t="s">
        <v>3064</v>
      </c>
      <c r="D1557" s="9" t="s">
        <v>139</v>
      </c>
      <c r="E1557" s="9" t="s">
        <v>1459</v>
      </c>
      <c r="F1557" s="9" t="s">
        <v>1460</v>
      </c>
      <c r="G1557" s="9" t="s">
        <v>142</v>
      </c>
      <c r="H1557" s="9" t="s">
        <v>139</v>
      </c>
      <c r="I1557" s="9" t="s">
        <v>411</v>
      </c>
      <c r="J1557" s="9" t="s">
        <v>139</v>
      </c>
      <c r="K1557" s="10">
        <v>38917.716087962966</v>
      </c>
    </row>
    <row r="1558" spans="1:11" x14ac:dyDescent="0.25">
      <c r="A1558" s="8">
        <v>2593</v>
      </c>
      <c r="B1558" s="9" t="s">
        <v>5934</v>
      </c>
      <c r="C1558" s="9" t="s">
        <v>3065</v>
      </c>
      <c r="D1558" s="9" t="s">
        <v>139</v>
      </c>
      <c r="E1558" s="9" t="s">
        <v>1670</v>
      </c>
      <c r="F1558" s="9" t="s">
        <v>3066</v>
      </c>
      <c r="G1558" s="9" t="s">
        <v>142</v>
      </c>
      <c r="H1558" s="9" t="s">
        <v>139</v>
      </c>
      <c r="I1558" s="9" t="s">
        <v>411</v>
      </c>
      <c r="J1558" s="9" t="s">
        <v>139</v>
      </c>
      <c r="K1558" s="10">
        <v>38917.718148148146</v>
      </c>
    </row>
    <row r="1559" spans="1:11" x14ac:dyDescent="0.25">
      <c r="A1559" s="8">
        <v>2594</v>
      </c>
      <c r="B1559" s="9" t="s">
        <v>5935</v>
      </c>
      <c r="C1559" s="9" t="s">
        <v>3067</v>
      </c>
      <c r="D1559" s="9" t="s">
        <v>139</v>
      </c>
      <c r="E1559" s="9" t="s">
        <v>3068</v>
      </c>
      <c r="F1559" s="9" t="s">
        <v>3069</v>
      </c>
      <c r="G1559" s="9" t="s">
        <v>142</v>
      </c>
      <c r="H1559" s="9" t="s">
        <v>139</v>
      </c>
      <c r="I1559" s="9" t="s">
        <v>411</v>
      </c>
      <c r="J1559" s="9" t="s">
        <v>139</v>
      </c>
      <c r="K1559" s="10">
        <v>38917.719259259262</v>
      </c>
    </row>
    <row r="1560" spans="1:11" x14ac:dyDescent="0.25">
      <c r="A1560" s="8">
        <v>2595</v>
      </c>
      <c r="B1560" s="9" t="s">
        <v>5936</v>
      </c>
      <c r="C1560" s="9" t="s">
        <v>3070</v>
      </c>
      <c r="D1560" s="9" t="s">
        <v>139</v>
      </c>
      <c r="E1560" s="9" t="s">
        <v>3071</v>
      </c>
      <c r="F1560" s="9" t="s">
        <v>3072</v>
      </c>
      <c r="G1560" s="9" t="s">
        <v>142</v>
      </c>
      <c r="H1560" s="9" t="s">
        <v>139</v>
      </c>
      <c r="I1560" s="9" t="s">
        <v>411</v>
      </c>
      <c r="J1560" s="9" t="s">
        <v>139</v>
      </c>
      <c r="K1560" s="10">
        <v>38917.720219907409</v>
      </c>
    </row>
    <row r="1561" spans="1:11" x14ac:dyDescent="0.25">
      <c r="A1561" s="8">
        <v>2596</v>
      </c>
      <c r="B1561" s="9" t="s">
        <v>5937</v>
      </c>
      <c r="C1561" s="9" t="s">
        <v>1664</v>
      </c>
      <c r="D1561" s="9" t="s">
        <v>139</v>
      </c>
      <c r="E1561" s="9" t="s">
        <v>1649</v>
      </c>
      <c r="F1561" s="9" t="s">
        <v>1650</v>
      </c>
      <c r="G1561" s="9" t="s">
        <v>142</v>
      </c>
      <c r="H1561" s="9" t="s">
        <v>139</v>
      </c>
      <c r="I1561" s="9" t="s">
        <v>411</v>
      </c>
      <c r="J1561" s="9" t="s">
        <v>139</v>
      </c>
      <c r="K1561" s="10">
        <v>38917.721006944441</v>
      </c>
    </row>
    <row r="1562" spans="1:11" x14ac:dyDescent="0.25">
      <c r="A1562" s="8">
        <v>2597</v>
      </c>
      <c r="B1562" s="9" t="s">
        <v>5938</v>
      </c>
      <c r="C1562" s="9" t="s">
        <v>3073</v>
      </c>
      <c r="D1562" s="9" t="s">
        <v>139</v>
      </c>
      <c r="E1562" s="9" t="s">
        <v>1133</v>
      </c>
      <c r="F1562" s="9" t="s">
        <v>1134</v>
      </c>
      <c r="G1562" s="9" t="s">
        <v>142</v>
      </c>
      <c r="H1562" s="9" t="s">
        <v>139</v>
      </c>
      <c r="I1562" s="9" t="s">
        <v>411</v>
      </c>
      <c r="J1562" s="9" t="s">
        <v>139</v>
      </c>
      <c r="K1562" s="10">
        <v>38917.721909722219</v>
      </c>
    </row>
    <row r="1563" spans="1:11" x14ac:dyDescent="0.25">
      <c r="A1563" s="8">
        <v>2598</v>
      </c>
      <c r="B1563" s="9" t="s">
        <v>5939</v>
      </c>
      <c r="C1563" s="9" t="s">
        <v>3074</v>
      </c>
      <c r="D1563" s="9" t="s">
        <v>139</v>
      </c>
      <c r="E1563" s="9" t="s">
        <v>3075</v>
      </c>
      <c r="F1563" s="9" t="s">
        <v>3076</v>
      </c>
      <c r="G1563" s="9" t="s">
        <v>142</v>
      </c>
      <c r="H1563" s="9" t="s">
        <v>139</v>
      </c>
      <c r="I1563" s="9" t="s">
        <v>411</v>
      </c>
      <c r="J1563" s="9" t="s">
        <v>139</v>
      </c>
      <c r="K1563" s="10">
        <v>38917.722916666666</v>
      </c>
    </row>
    <row r="1564" spans="1:11" x14ac:dyDescent="0.25">
      <c r="A1564" s="8">
        <v>2599</v>
      </c>
      <c r="B1564" s="9" t="s">
        <v>5940</v>
      </c>
      <c r="C1564" s="9" t="s">
        <v>3077</v>
      </c>
      <c r="D1564" s="9" t="s">
        <v>139</v>
      </c>
      <c r="E1564" s="9" t="s">
        <v>3078</v>
      </c>
      <c r="F1564" s="9" t="s">
        <v>3079</v>
      </c>
      <c r="G1564" s="9" t="s">
        <v>142</v>
      </c>
      <c r="H1564" s="9" t="s">
        <v>139</v>
      </c>
      <c r="I1564" s="9" t="s">
        <v>411</v>
      </c>
      <c r="J1564" s="9" t="s">
        <v>139</v>
      </c>
      <c r="K1564" s="10">
        <v>38917.724641203706</v>
      </c>
    </row>
    <row r="1565" spans="1:11" x14ac:dyDescent="0.25">
      <c r="A1565" s="8">
        <v>2600</v>
      </c>
      <c r="B1565" s="9" t="s">
        <v>5941</v>
      </c>
      <c r="C1565" s="9" t="s">
        <v>3080</v>
      </c>
      <c r="D1565" s="9" t="s">
        <v>139</v>
      </c>
      <c r="E1565" s="9" t="s">
        <v>1643</v>
      </c>
      <c r="F1565" s="9" t="s">
        <v>1644</v>
      </c>
      <c r="G1565" s="9" t="s">
        <v>142</v>
      </c>
      <c r="H1565" s="9" t="s">
        <v>166</v>
      </c>
      <c r="I1565" s="9" t="s">
        <v>411</v>
      </c>
      <c r="J1565" s="9" t="s">
        <v>3081</v>
      </c>
      <c r="K1565" s="10">
        <v>38917.725393518522</v>
      </c>
    </row>
    <row r="1566" spans="1:11" x14ac:dyDescent="0.25">
      <c r="A1566" s="8">
        <v>2601</v>
      </c>
      <c r="B1566" s="9" t="s">
        <v>5942</v>
      </c>
      <c r="C1566" s="9" t="s">
        <v>3082</v>
      </c>
      <c r="D1566" s="9" t="s">
        <v>139</v>
      </c>
      <c r="E1566" s="9" t="s">
        <v>286</v>
      </c>
      <c r="F1566" s="9" t="s">
        <v>141</v>
      </c>
      <c r="G1566" s="9" t="s">
        <v>142</v>
      </c>
      <c r="H1566" s="9" t="s">
        <v>139</v>
      </c>
      <c r="I1566" s="9" t="s">
        <v>411</v>
      </c>
      <c r="J1566" s="9" t="s">
        <v>139</v>
      </c>
      <c r="K1566" s="10">
        <v>38917.725972222222</v>
      </c>
    </row>
    <row r="1567" spans="1:11" x14ac:dyDescent="0.25">
      <c r="A1567" s="8">
        <v>2602</v>
      </c>
      <c r="B1567" s="9" t="s">
        <v>5943</v>
      </c>
      <c r="C1567" s="9" t="s">
        <v>3083</v>
      </c>
      <c r="D1567" s="9" t="s">
        <v>139</v>
      </c>
      <c r="E1567" s="9" t="s">
        <v>147</v>
      </c>
      <c r="F1567" s="9" t="s">
        <v>141</v>
      </c>
      <c r="G1567" s="9" t="s">
        <v>142</v>
      </c>
      <c r="H1567" s="9" t="s">
        <v>139</v>
      </c>
      <c r="I1567" s="9" t="s">
        <v>411</v>
      </c>
      <c r="J1567" s="9" t="s">
        <v>139</v>
      </c>
      <c r="K1567" s="10">
        <v>38917.726747685185</v>
      </c>
    </row>
    <row r="1568" spans="1:11" x14ac:dyDescent="0.25">
      <c r="A1568" s="8">
        <v>2604</v>
      </c>
      <c r="B1568" s="9" t="s">
        <v>5944</v>
      </c>
      <c r="C1568" s="9" t="s">
        <v>3084</v>
      </c>
      <c r="D1568" s="9" t="s">
        <v>139</v>
      </c>
      <c r="E1568" s="9" t="s">
        <v>306</v>
      </c>
      <c r="F1568" s="9" t="s">
        <v>141</v>
      </c>
      <c r="G1568" s="9" t="s">
        <v>142</v>
      </c>
      <c r="H1568" s="9" t="s">
        <v>139</v>
      </c>
      <c r="I1568" s="9" t="s">
        <v>411</v>
      </c>
      <c r="J1568" s="9" t="s">
        <v>3085</v>
      </c>
      <c r="K1568" s="10">
        <v>38917.729212962964</v>
      </c>
    </row>
    <row r="1569" spans="1:11" x14ac:dyDescent="0.25">
      <c r="A1569" s="8">
        <v>2605</v>
      </c>
      <c r="B1569" s="9" t="s">
        <v>5945</v>
      </c>
      <c r="C1569" s="9" t="s">
        <v>3086</v>
      </c>
      <c r="D1569" s="9" t="s">
        <v>139</v>
      </c>
      <c r="E1569" s="9" t="s">
        <v>1634</v>
      </c>
      <c r="F1569" s="9" t="s">
        <v>1635</v>
      </c>
      <c r="G1569" s="9" t="s">
        <v>142</v>
      </c>
      <c r="H1569" s="9" t="s">
        <v>139</v>
      </c>
      <c r="I1569" s="9" t="s">
        <v>411</v>
      </c>
      <c r="J1569" s="9" t="s">
        <v>139</v>
      </c>
      <c r="K1569" s="10">
        <v>38917.728194444448</v>
      </c>
    </row>
    <row r="1570" spans="1:11" x14ac:dyDescent="0.25">
      <c r="A1570" s="8">
        <v>2606</v>
      </c>
      <c r="B1570" s="9" t="s">
        <v>5946</v>
      </c>
      <c r="C1570" s="9" t="s">
        <v>3087</v>
      </c>
      <c r="D1570" s="9" t="s">
        <v>139</v>
      </c>
      <c r="E1570" s="9" t="s">
        <v>3088</v>
      </c>
      <c r="F1570" s="9" t="s">
        <v>3089</v>
      </c>
      <c r="G1570" s="9" t="s">
        <v>142</v>
      </c>
      <c r="H1570" s="9" t="s">
        <v>139</v>
      </c>
      <c r="I1570" s="9" t="s">
        <v>411</v>
      </c>
      <c r="J1570" s="9" t="s">
        <v>139</v>
      </c>
      <c r="K1570" s="10">
        <v>38917.728888888887</v>
      </c>
    </row>
    <row r="1571" spans="1:11" x14ac:dyDescent="0.25">
      <c r="A1571" s="8">
        <v>2607</v>
      </c>
      <c r="B1571" s="9" t="s">
        <v>5947</v>
      </c>
      <c r="C1571" s="9" t="s">
        <v>3090</v>
      </c>
      <c r="D1571" s="9" t="s">
        <v>139</v>
      </c>
      <c r="E1571" s="9" t="s">
        <v>3091</v>
      </c>
      <c r="F1571" s="9" t="s">
        <v>3092</v>
      </c>
      <c r="G1571" s="9" t="s">
        <v>142</v>
      </c>
      <c r="H1571" s="9" t="s">
        <v>139</v>
      </c>
      <c r="I1571" s="9" t="s">
        <v>411</v>
      </c>
      <c r="J1571" s="9" t="s">
        <v>139</v>
      </c>
      <c r="K1571" s="10">
        <v>38917.729849537034</v>
      </c>
    </row>
    <row r="1572" spans="1:11" x14ac:dyDescent="0.25">
      <c r="A1572" s="8">
        <v>2609</v>
      </c>
      <c r="B1572" s="9" t="s">
        <v>5948</v>
      </c>
      <c r="C1572" s="9" t="s">
        <v>3093</v>
      </c>
      <c r="D1572" s="9" t="s">
        <v>139</v>
      </c>
      <c r="E1572" s="9" t="s">
        <v>756</v>
      </c>
      <c r="F1572" s="9" t="s">
        <v>757</v>
      </c>
      <c r="G1572" s="9" t="s">
        <v>142</v>
      </c>
      <c r="H1572" s="9" t="s">
        <v>139</v>
      </c>
      <c r="I1572" s="9" t="s">
        <v>411</v>
      </c>
      <c r="J1572" s="9" t="s">
        <v>139</v>
      </c>
      <c r="K1572" s="10">
        <v>38917.731365740743</v>
      </c>
    </row>
    <row r="1573" spans="1:11" x14ac:dyDescent="0.25">
      <c r="A1573" s="8">
        <v>2610</v>
      </c>
      <c r="B1573" s="9" t="s">
        <v>5949</v>
      </c>
      <c r="C1573" s="9" t="s">
        <v>3094</v>
      </c>
      <c r="D1573" s="9" t="s">
        <v>139</v>
      </c>
      <c r="E1573" s="9" t="s">
        <v>3095</v>
      </c>
      <c r="F1573" s="9" t="s">
        <v>3096</v>
      </c>
      <c r="G1573" s="9" t="s">
        <v>142</v>
      </c>
      <c r="H1573" s="9" t="s">
        <v>139</v>
      </c>
      <c r="I1573" s="9" t="s">
        <v>411</v>
      </c>
      <c r="J1573" s="9" t="s">
        <v>3097</v>
      </c>
      <c r="K1573" s="10">
        <v>38917.732164351852</v>
      </c>
    </row>
    <row r="1574" spans="1:11" x14ac:dyDescent="0.25">
      <c r="A1574" s="8">
        <v>2611</v>
      </c>
      <c r="B1574" s="9" t="s">
        <v>5950</v>
      </c>
      <c r="C1574" s="9" t="s">
        <v>3098</v>
      </c>
      <c r="D1574" s="9" t="s">
        <v>139</v>
      </c>
      <c r="E1574" s="9" t="s">
        <v>3099</v>
      </c>
      <c r="F1574" s="9" t="s">
        <v>3100</v>
      </c>
      <c r="G1574" s="9" t="s">
        <v>142</v>
      </c>
      <c r="H1574" s="9" t="s">
        <v>166</v>
      </c>
      <c r="I1574" s="9" t="s">
        <v>411</v>
      </c>
      <c r="J1574" s="9" t="s">
        <v>3101</v>
      </c>
      <c r="K1574" s="10">
        <v>38917.732870370368</v>
      </c>
    </row>
    <row r="1575" spans="1:11" x14ac:dyDescent="0.25">
      <c r="A1575" s="8">
        <v>2612</v>
      </c>
      <c r="B1575" s="9" t="s">
        <v>5951</v>
      </c>
      <c r="C1575" s="9" t="s">
        <v>3102</v>
      </c>
      <c r="D1575" s="9" t="s">
        <v>139</v>
      </c>
      <c r="E1575" s="9" t="s">
        <v>3103</v>
      </c>
      <c r="F1575" s="9" t="s">
        <v>3104</v>
      </c>
      <c r="G1575" s="9" t="s">
        <v>142</v>
      </c>
      <c r="H1575" s="9" t="s">
        <v>166</v>
      </c>
      <c r="I1575" s="9" t="s">
        <v>411</v>
      </c>
      <c r="J1575" s="9" t="s">
        <v>139</v>
      </c>
      <c r="K1575" s="10">
        <v>38917.733449074076</v>
      </c>
    </row>
    <row r="1576" spans="1:11" x14ac:dyDescent="0.25">
      <c r="A1576" s="8">
        <v>2613</v>
      </c>
      <c r="B1576" s="9" t="s">
        <v>5952</v>
      </c>
      <c r="C1576" s="9" t="s">
        <v>3105</v>
      </c>
      <c r="D1576" s="9" t="s">
        <v>139</v>
      </c>
      <c r="E1576" s="9" t="s">
        <v>1239</v>
      </c>
      <c r="F1576" s="9" t="s">
        <v>3106</v>
      </c>
      <c r="G1576" s="9" t="s">
        <v>142</v>
      </c>
      <c r="H1576" s="9" t="s">
        <v>139</v>
      </c>
      <c r="I1576" s="9" t="s">
        <v>411</v>
      </c>
      <c r="J1576" s="9" t="s">
        <v>3107</v>
      </c>
      <c r="K1576" s="10">
        <v>38917.734143518515</v>
      </c>
    </row>
    <row r="1577" spans="1:11" x14ac:dyDescent="0.25">
      <c r="A1577" s="8">
        <v>2616</v>
      </c>
      <c r="B1577" s="9" t="s">
        <v>5953</v>
      </c>
      <c r="C1577" s="9" t="s">
        <v>3108</v>
      </c>
      <c r="D1577" s="9" t="s">
        <v>139</v>
      </c>
      <c r="E1577" s="9" t="s">
        <v>3109</v>
      </c>
      <c r="F1577" s="9" t="s">
        <v>3110</v>
      </c>
      <c r="G1577" s="9" t="s">
        <v>142</v>
      </c>
      <c r="H1577" s="9" t="s">
        <v>139</v>
      </c>
      <c r="I1577" s="9" t="s">
        <v>411</v>
      </c>
      <c r="J1577" s="9" t="s">
        <v>139</v>
      </c>
      <c r="K1577" s="10">
        <v>38917.736273148148</v>
      </c>
    </row>
    <row r="1578" spans="1:11" x14ac:dyDescent="0.25">
      <c r="A1578" s="8">
        <v>2617</v>
      </c>
      <c r="B1578" s="9" t="s">
        <v>5954</v>
      </c>
      <c r="C1578" s="9" t="s">
        <v>3111</v>
      </c>
      <c r="D1578" s="9" t="s">
        <v>139</v>
      </c>
      <c r="E1578" s="9" t="s">
        <v>3112</v>
      </c>
      <c r="F1578" s="9" t="s">
        <v>3113</v>
      </c>
      <c r="G1578" s="9" t="s">
        <v>142</v>
      </c>
      <c r="H1578" s="9" t="s">
        <v>139</v>
      </c>
      <c r="I1578" s="9" t="s">
        <v>411</v>
      </c>
      <c r="J1578" s="9" t="s">
        <v>139</v>
      </c>
      <c r="K1578" s="10">
        <v>38917.736932870372</v>
      </c>
    </row>
    <row r="1579" spans="1:11" x14ac:dyDescent="0.25">
      <c r="A1579" s="8">
        <v>2620</v>
      </c>
      <c r="B1579" s="9" t="s">
        <v>5955</v>
      </c>
      <c r="C1579" s="9" t="s">
        <v>3114</v>
      </c>
      <c r="D1579" s="9" t="s">
        <v>3115</v>
      </c>
      <c r="E1579" s="9" t="s">
        <v>2059</v>
      </c>
      <c r="F1579" s="9" t="s">
        <v>3116</v>
      </c>
      <c r="G1579" s="9" t="s">
        <v>142</v>
      </c>
      <c r="H1579" s="9" t="s">
        <v>139</v>
      </c>
      <c r="I1579" s="9" t="s">
        <v>411</v>
      </c>
      <c r="J1579" s="9" t="s">
        <v>139</v>
      </c>
      <c r="K1579" s="10">
        <v>38917.742002314815</v>
      </c>
    </row>
    <row r="1580" spans="1:11" x14ac:dyDescent="0.25">
      <c r="A1580" s="8">
        <v>2621</v>
      </c>
      <c r="B1580" s="9" t="s">
        <v>5956</v>
      </c>
      <c r="C1580" s="9" t="s">
        <v>3117</v>
      </c>
      <c r="D1580" s="9" t="s">
        <v>139</v>
      </c>
      <c r="E1580" s="9" t="s">
        <v>3112</v>
      </c>
      <c r="F1580" s="9" t="s">
        <v>3118</v>
      </c>
      <c r="G1580" s="9" t="s">
        <v>142</v>
      </c>
      <c r="H1580" s="9" t="s">
        <v>139</v>
      </c>
      <c r="I1580" s="9" t="s">
        <v>411</v>
      </c>
      <c r="J1580" s="9" t="s">
        <v>139</v>
      </c>
      <c r="K1580" s="10">
        <v>38917.74291666667</v>
      </c>
    </row>
    <row r="1581" spans="1:11" x14ac:dyDescent="0.25">
      <c r="A1581" s="8">
        <v>2622</v>
      </c>
      <c r="B1581" s="9" t="s">
        <v>5957</v>
      </c>
      <c r="C1581" s="9" t="s">
        <v>3119</v>
      </c>
      <c r="D1581" s="9" t="s">
        <v>139</v>
      </c>
      <c r="E1581" s="9" t="s">
        <v>3120</v>
      </c>
      <c r="F1581" s="9" t="s">
        <v>3121</v>
      </c>
      <c r="G1581" s="9" t="s">
        <v>142</v>
      </c>
      <c r="H1581" s="9" t="s">
        <v>139</v>
      </c>
      <c r="I1581" s="9" t="s">
        <v>411</v>
      </c>
      <c r="J1581" s="9" t="s">
        <v>139</v>
      </c>
      <c r="K1581" s="10">
        <v>38917.745416666665</v>
      </c>
    </row>
    <row r="1582" spans="1:11" x14ac:dyDescent="0.25">
      <c r="A1582" s="8">
        <v>2623</v>
      </c>
      <c r="B1582" s="9" t="s">
        <v>5958</v>
      </c>
      <c r="C1582" s="9" t="s">
        <v>3122</v>
      </c>
      <c r="D1582" s="9" t="s">
        <v>3123</v>
      </c>
      <c r="E1582" s="9" t="s">
        <v>3124</v>
      </c>
      <c r="F1582" s="9" t="s">
        <v>3125</v>
      </c>
      <c r="G1582" s="9" t="s">
        <v>142</v>
      </c>
      <c r="H1582" s="9" t="s">
        <v>139</v>
      </c>
      <c r="I1582" s="9" t="s">
        <v>411</v>
      </c>
      <c r="J1582" s="9" t="s">
        <v>139</v>
      </c>
      <c r="K1582" s="10">
        <v>38917.746539351851</v>
      </c>
    </row>
    <row r="1583" spans="1:11" x14ac:dyDescent="0.25">
      <c r="A1583" s="8">
        <v>2624</v>
      </c>
      <c r="B1583" s="9" t="s">
        <v>5959</v>
      </c>
      <c r="C1583" s="9" t="s">
        <v>3126</v>
      </c>
      <c r="D1583" s="9" t="s">
        <v>139</v>
      </c>
      <c r="E1583" s="9" t="s">
        <v>3127</v>
      </c>
      <c r="F1583" s="9" t="s">
        <v>3128</v>
      </c>
      <c r="G1583" s="9" t="s">
        <v>142</v>
      </c>
      <c r="H1583" s="9" t="s">
        <v>139</v>
      </c>
      <c r="I1583" s="9" t="s">
        <v>411</v>
      </c>
      <c r="J1583" s="9" t="s">
        <v>139</v>
      </c>
      <c r="K1583" s="10">
        <v>38917.747499999998</v>
      </c>
    </row>
    <row r="1584" spans="1:11" x14ac:dyDescent="0.25">
      <c r="A1584" s="8">
        <v>2625</v>
      </c>
      <c r="B1584" s="9" t="s">
        <v>5960</v>
      </c>
      <c r="C1584" s="9" t="s">
        <v>3129</v>
      </c>
      <c r="D1584" s="9" t="s">
        <v>139</v>
      </c>
      <c r="E1584" s="9" t="s">
        <v>1825</v>
      </c>
      <c r="F1584" s="9" t="s">
        <v>1826</v>
      </c>
      <c r="G1584" s="9" t="s">
        <v>142</v>
      </c>
      <c r="H1584" s="9" t="s">
        <v>139</v>
      </c>
      <c r="I1584" s="9" t="s">
        <v>411</v>
      </c>
      <c r="J1584" s="9" t="s">
        <v>139</v>
      </c>
      <c r="K1584" s="10">
        <v>38917.748240740744</v>
      </c>
    </row>
    <row r="1585" spans="1:11" x14ac:dyDescent="0.25">
      <c r="A1585" s="8">
        <v>2626</v>
      </c>
      <c r="B1585" s="9" t="s">
        <v>5961</v>
      </c>
      <c r="C1585" s="9" t="s">
        <v>3130</v>
      </c>
      <c r="D1585" s="9" t="s">
        <v>139</v>
      </c>
      <c r="E1585" s="9" t="s">
        <v>2071</v>
      </c>
      <c r="F1585" s="9" t="s">
        <v>2072</v>
      </c>
      <c r="G1585" s="9" t="s">
        <v>142</v>
      </c>
      <c r="H1585" s="9" t="s">
        <v>139</v>
      </c>
      <c r="I1585" s="9" t="s">
        <v>411</v>
      </c>
      <c r="J1585" s="9" t="s">
        <v>139</v>
      </c>
      <c r="K1585" s="10">
        <v>38917.748993055553</v>
      </c>
    </row>
    <row r="1586" spans="1:11" x14ac:dyDescent="0.25">
      <c r="A1586" s="8">
        <v>2627</v>
      </c>
      <c r="B1586" s="9" t="s">
        <v>5962</v>
      </c>
      <c r="C1586" s="9" t="s">
        <v>3131</v>
      </c>
      <c r="D1586" s="9" t="s">
        <v>139</v>
      </c>
      <c r="E1586" s="9" t="s">
        <v>1303</v>
      </c>
      <c r="F1586" s="9" t="s">
        <v>3132</v>
      </c>
      <c r="G1586" s="9" t="s">
        <v>142</v>
      </c>
      <c r="H1586" s="9" t="s">
        <v>139</v>
      </c>
      <c r="I1586" s="9" t="s">
        <v>411</v>
      </c>
      <c r="J1586" s="9" t="s">
        <v>139</v>
      </c>
      <c r="K1586" s="10">
        <v>38917.749791666669</v>
      </c>
    </row>
    <row r="1587" spans="1:11" x14ac:dyDescent="0.25">
      <c r="A1587" s="8">
        <v>2628</v>
      </c>
      <c r="B1587" s="9" t="s">
        <v>5963</v>
      </c>
      <c r="C1587" s="9" t="s">
        <v>3133</v>
      </c>
      <c r="D1587" s="9" t="s">
        <v>139</v>
      </c>
      <c r="E1587" s="9" t="s">
        <v>3134</v>
      </c>
      <c r="F1587" s="9" t="s">
        <v>3135</v>
      </c>
      <c r="G1587" s="9" t="s">
        <v>142</v>
      </c>
      <c r="H1587" s="9" t="s">
        <v>139</v>
      </c>
      <c r="I1587" s="9" t="s">
        <v>411</v>
      </c>
      <c r="J1587" s="9" t="s">
        <v>139</v>
      </c>
      <c r="K1587" s="10">
        <v>38917.751446759263</v>
      </c>
    </row>
    <row r="1588" spans="1:11" x14ac:dyDescent="0.25">
      <c r="A1588" s="8">
        <v>2629</v>
      </c>
      <c r="B1588" s="9" t="s">
        <v>5964</v>
      </c>
      <c r="C1588" s="9" t="s">
        <v>3136</v>
      </c>
      <c r="D1588" s="9" t="s">
        <v>139</v>
      </c>
      <c r="E1588" s="9" t="s">
        <v>1532</v>
      </c>
      <c r="F1588" s="9" t="s">
        <v>1533</v>
      </c>
      <c r="G1588" s="9" t="s">
        <v>142</v>
      </c>
      <c r="H1588" s="9" t="s">
        <v>139</v>
      </c>
      <c r="I1588" s="9" t="s">
        <v>411</v>
      </c>
      <c r="J1588" s="9" t="s">
        <v>139</v>
      </c>
      <c r="K1588" s="10">
        <v>38917.752210648148</v>
      </c>
    </row>
    <row r="1589" spans="1:11" x14ac:dyDescent="0.25">
      <c r="A1589" s="8">
        <v>2630</v>
      </c>
      <c r="B1589" s="9" t="s">
        <v>5965</v>
      </c>
      <c r="C1589" s="9" t="s">
        <v>3137</v>
      </c>
      <c r="D1589" s="9" t="s">
        <v>139</v>
      </c>
      <c r="E1589" s="9" t="s">
        <v>3138</v>
      </c>
      <c r="F1589" s="9" t="s">
        <v>3139</v>
      </c>
      <c r="G1589" s="9" t="s">
        <v>142</v>
      </c>
      <c r="H1589" s="9" t="s">
        <v>139</v>
      </c>
      <c r="I1589" s="9" t="s">
        <v>411</v>
      </c>
      <c r="J1589" s="9" t="s">
        <v>139</v>
      </c>
      <c r="K1589" s="10">
        <v>38917.752870370372</v>
      </c>
    </row>
    <row r="1590" spans="1:11" x14ac:dyDescent="0.25">
      <c r="A1590" s="8">
        <v>2631</v>
      </c>
      <c r="B1590" s="9" t="s">
        <v>5966</v>
      </c>
      <c r="C1590" s="9" t="s">
        <v>3140</v>
      </c>
      <c r="D1590" s="9" t="s">
        <v>139</v>
      </c>
      <c r="E1590" s="9" t="s">
        <v>3141</v>
      </c>
      <c r="F1590" s="9" t="s">
        <v>3142</v>
      </c>
      <c r="G1590" s="9" t="s">
        <v>142</v>
      </c>
      <c r="H1590" s="9" t="s">
        <v>139</v>
      </c>
      <c r="I1590" s="9" t="s">
        <v>411</v>
      </c>
      <c r="J1590" s="9" t="s">
        <v>139</v>
      </c>
      <c r="K1590" s="10">
        <v>38917.753460648149</v>
      </c>
    </row>
    <row r="1591" spans="1:11" x14ac:dyDescent="0.25">
      <c r="A1591" s="8">
        <v>2632</v>
      </c>
      <c r="B1591" s="9" t="s">
        <v>5967</v>
      </c>
      <c r="C1591" s="9" t="s">
        <v>3143</v>
      </c>
      <c r="D1591" s="9" t="s">
        <v>139</v>
      </c>
      <c r="E1591" s="9" t="s">
        <v>3144</v>
      </c>
      <c r="F1591" s="9" t="s">
        <v>3145</v>
      </c>
      <c r="G1591" s="9" t="s">
        <v>142</v>
      </c>
      <c r="H1591" s="9" t="s">
        <v>139</v>
      </c>
      <c r="I1591" s="9" t="s">
        <v>411</v>
      </c>
      <c r="J1591" s="9" t="s">
        <v>139</v>
      </c>
      <c r="K1591" s="10">
        <v>38917.754155092596</v>
      </c>
    </row>
    <row r="1592" spans="1:11" x14ac:dyDescent="0.25">
      <c r="A1592" s="8">
        <v>2633</v>
      </c>
      <c r="B1592" s="9" t="s">
        <v>5968</v>
      </c>
      <c r="C1592" s="9" t="s">
        <v>3146</v>
      </c>
      <c r="D1592" s="9" t="s">
        <v>139</v>
      </c>
      <c r="E1592" s="9" t="s">
        <v>3147</v>
      </c>
      <c r="F1592" s="9" t="s">
        <v>3148</v>
      </c>
      <c r="G1592" s="9" t="s">
        <v>142</v>
      </c>
      <c r="H1592" s="9" t="s">
        <v>139</v>
      </c>
      <c r="I1592" s="9" t="s">
        <v>411</v>
      </c>
      <c r="J1592" s="9" t="s">
        <v>139</v>
      </c>
      <c r="K1592" s="10">
        <v>38917.754791666666</v>
      </c>
    </row>
    <row r="1593" spans="1:11" x14ac:dyDescent="0.25">
      <c r="A1593" s="8">
        <v>2634</v>
      </c>
      <c r="B1593" s="9" t="s">
        <v>5969</v>
      </c>
      <c r="C1593" s="9" t="s">
        <v>3149</v>
      </c>
      <c r="D1593" s="9" t="s">
        <v>139</v>
      </c>
      <c r="E1593" s="9" t="s">
        <v>303</v>
      </c>
      <c r="F1593" s="9" t="s">
        <v>3150</v>
      </c>
      <c r="G1593" s="9" t="s">
        <v>142</v>
      </c>
      <c r="H1593" s="9" t="s">
        <v>139</v>
      </c>
      <c r="I1593" s="9" t="s">
        <v>411</v>
      </c>
      <c r="J1593" s="9" t="s">
        <v>139</v>
      </c>
      <c r="K1593" s="10">
        <v>38917.755428240744</v>
      </c>
    </row>
    <row r="1594" spans="1:11" x14ac:dyDescent="0.25">
      <c r="A1594" s="8">
        <v>2635</v>
      </c>
      <c r="B1594" s="9" t="s">
        <v>5970</v>
      </c>
      <c r="C1594" s="9" t="s">
        <v>3151</v>
      </c>
      <c r="D1594" s="9" t="s">
        <v>139</v>
      </c>
      <c r="E1594" s="9" t="s">
        <v>3152</v>
      </c>
      <c r="F1594" s="9" t="s">
        <v>3153</v>
      </c>
      <c r="G1594" s="9" t="s">
        <v>142</v>
      </c>
      <c r="H1594" s="9" t="s">
        <v>166</v>
      </c>
      <c r="I1594" s="9" t="s">
        <v>411</v>
      </c>
      <c r="J1594" s="9" t="s">
        <v>139</v>
      </c>
      <c r="K1594" s="10">
        <v>38917.758379629631</v>
      </c>
    </row>
    <row r="1595" spans="1:11" x14ac:dyDescent="0.25">
      <c r="A1595" s="8">
        <v>2636</v>
      </c>
      <c r="B1595" s="9" t="s">
        <v>5971</v>
      </c>
      <c r="C1595" s="9" t="s">
        <v>3154</v>
      </c>
      <c r="D1595" s="9" t="s">
        <v>139</v>
      </c>
      <c r="E1595" s="9" t="s">
        <v>3155</v>
      </c>
      <c r="F1595" s="9" t="s">
        <v>3156</v>
      </c>
      <c r="G1595" s="9" t="s">
        <v>142</v>
      </c>
      <c r="H1595" s="9" t="s">
        <v>139</v>
      </c>
      <c r="I1595" s="9" t="s">
        <v>411</v>
      </c>
      <c r="J1595" s="9" t="s">
        <v>139</v>
      </c>
      <c r="K1595" s="10">
        <v>38917.759016203701</v>
      </c>
    </row>
    <row r="1596" spans="1:11" x14ac:dyDescent="0.25">
      <c r="A1596" s="8">
        <v>2637</v>
      </c>
      <c r="B1596" s="9" t="s">
        <v>5972</v>
      </c>
      <c r="C1596" s="9" t="s">
        <v>3157</v>
      </c>
      <c r="D1596" s="9" t="s">
        <v>139</v>
      </c>
      <c r="E1596" s="9" t="s">
        <v>3158</v>
      </c>
      <c r="F1596" s="9" t="s">
        <v>3159</v>
      </c>
      <c r="G1596" s="9" t="s">
        <v>142</v>
      </c>
      <c r="H1596" s="9" t="s">
        <v>139</v>
      </c>
      <c r="I1596" s="9" t="s">
        <v>411</v>
      </c>
      <c r="J1596" s="9" t="s">
        <v>139</v>
      </c>
      <c r="K1596" s="10">
        <v>38917.759641203702</v>
      </c>
    </row>
    <row r="1597" spans="1:11" x14ac:dyDescent="0.25">
      <c r="A1597" s="8">
        <v>2638</v>
      </c>
      <c r="B1597" s="9" t="s">
        <v>5973</v>
      </c>
      <c r="C1597" s="9" t="s">
        <v>3160</v>
      </c>
      <c r="D1597" s="9" t="s">
        <v>139</v>
      </c>
      <c r="E1597" s="9" t="s">
        <v>3161</v>
      </c>
      <c r="F1597" s="9" t="s">
        <v>3162</v>
      </c>
      <c r="G1597" s="9" t="s">
        <v>142</v>
      </c>
      <c r="H1597" s="9" t="s">
        <v>139</v>
      </c>
      <c r="I1597" s="9" t="s">
        <v>411</v>
      </c>
      <c r="J1597" s="9" t="s">
        <v>139</v>
      </c>
      <c r="K1597" s="10">
        <v>38917.760312500002</v>
      </c>
    </row>
    <row r="1598" spans="1:11" x14ac:dyDescent="0.25">
      <c r="A1598" s="8">
        <v>2639</v>
      </c>
      <c r="B1598" s="9" t="s">
        <v>5974</v>
      </c>
      <c r="C1598" s="9" t="s">
        <v>3163</v>
      </c>
      <c r="D1598" s="9" t="s">
        <v>139</v>
      </c>
      <c r="E1598" s="9" t="s">
        <v>292</v>
      </c>
      <c r="F1598" s="9" t="s">
        <v>3164</v>
      </c>
      <c r="G1598" s="9" t="s">
        <v>142</v>
      </c>
      <c r="H1598" s="9" t="s">
        <v>139</v>
      </c>
      <c r="I1598" s="9" t="s">
        <v>411</v>
      </c>
      <c r="J1598" s="9" t="s">
        <v>139</v>
      </c>
      <c r="K1598" s="10">
        <v>38917.762592592589</v>
      </c>
    </row>
    <row r="1599" spans="1:11" x14ac:dyDescent="0.25">
      <c r="A1599" s="8">
        <v>2640</v>
      </c>
      <c r="B1599" s="9" t="s">
        <v>5975</v>
      </c>
      <c r="C1599" s="9" t="s">
        <v>3165</v>
      </c>
      <c r="D1599" s="9" t="s">
        <v>139</v>
      </c>
      <c r="E1599" s="9" t="s">
        <v>527</v>
      </c>
      <c r="F1599" s="9" t="s">
        <v>528</v>
      </c>
      <c r="G1599" s="9" t="s">
        <v>142</v>
      </c>
      <c r="H1599" s="9" t="s">
        <v>166</v>
      </c>
      <c r="I1599" s="9" t="s">
        <v>411</v>
      </c>
      <c r="J1599" s="9" t="s">
        <v>3166</v>
      </c>
      <c r="K1599" s="10">
        <v>38918.507743055554</v>
      </c>
    </row>
    <row r="1600" spans="1:11" x14ac:dyDescent="0.25">
      <c r="A1600" s="8">
        <v>2642</v>
      </c>
      <c r="B1600" s="9" t="s">
        <v>5976</v>
      </c>
      <c r="C1600" s="9" t="s">
        <v>3167</v>
      </c>
      <c r="D1600" s="9" t="s">
        <v>139</v>
      </c>
      <c r="E1600" s="9" t="s">
        <v>3168</v>
      </c>
      <c r="F1600" s="9" t="s">
        <v>3169</v>
      </c>
      <c r="G1600" s="9" t="s">
        <v>142</v>
      </c>
      <c r="H1600" s="9" t="s">
        <v>139</v>
      </c>
      <c r="I1600" s="9" t="s">
        <v>411</v>
      </c>
      <c r="J1600" s="9" t="s">
        <v>139</v>
      </c>
      <c r="K1600" s="10">
        <v>38918.509814814817</v>
      </c>
    </row>
    <row r="1601" spans="1:11" x14ac:dyDescent="0.25">
      <c r="A1601" s="8">
        <v>2643</v>
      </c>
      <c r="B1601" s="9" t="s">
        <v>5977</v>
      </c>
      <c r="C1601" s="9" t="s">
        <v>3170</v>
      </c>
      <c r="D1601" s="9" t="s">
        <v>139</v>
      </c>
      <c r="E1601" s="9" t="s">
        <v>3171</v>
      </c>
      <c r="F1601" s="9" t="s">
        <v>3172</v>
      </c>
      <c r="G1601" s="9" t="s">
        <v>142</v>
      </c>
      <c r="H1601" s="9" t="s">
        <v>139</v>
      </c>
      <c r="I1601" s="9" t="s">
        <v>411</v>
      </c>
      <c r="J1601" s="9" t="s">
        <v>139</v>
      </c>
      <c r="K1601" s="10">
        <v>38918.510555555556</v>
      </c>
    </row>
    <row r="1602" spans="1:11" x14ac:dyDescent="0.25">
      <c r="A1602" s="8">
        <v>2644</v>
      </c>
      <c r="B1602" s="9" t="s">
        <v>5978</v>
      </c>
      <c r="C1602" s="9" t="s">
        <v>3173</v>
      </c>
      <c r="D1602" s="9" t="s">
        <v>139</v>
      </c>
      <c r="E1602" s="9" t="s">
        <v>3174</v>
      </c>
      <c r="F1602" s="9" t="s">
        <v>3175</v>
      </c>
      <c r="G1602" s="9" t="s">
        <v>142</v>
      </c>
      <c r="H1602" s="9" t="s">
        <v>139</v>
      </c>
      <c r="I1602" s="9" t="s">
        <v>411</v>
      </c>
      <c r="J1602" s="9" t="s">
        <v>139</v>
      </c>
      <c r="K1602" s="10">
        <v>38918.525266203702</v>
      </c>
    </row>
    <row r="1603" spans="1:11" x14ac:dyDescent="0.25">
      <c r="A1603" s="8">
        <v>2646</v>
      </c>
      <c r="B1603" s="9" t="s">
        <v>5979</v>
      </c>
      <c r="C1603" s="9" t="s">
        <v>3176</v>
      </c>
      <c r="D1603" s="9" t="s">
        <v>139</v>
      </c>
      <c r="E1603" s="9" t="s">
        <v>3177</v>
      </c>
      <c r="F1603" s="9" t="s">
        <v>3178</v>
      </c>
      <c r="G1603" s="9" t="s">
        <v>142</v>
      </c>
      <c r="H1603" s="9" t="s">
        <v>139</v>
      </c>
      <c r="I1603" s="9" t="s">
        <v>411</v>
      </c>
      <c r="J1603" s="9" t="s">
        <v>139</v>
      </c>
      <c r="K1603" s="10">
        <v>38918.527974537035</v>
      </c>
    </row>
    <row r="1604" spans="1:11" x14ac:dyDescent="0.25">
      <c r="A1604" s="8">
        <v>2647</v>
      </c>
      <c r="B1604" s="9" t="s">
        <v>5980</v>
      </c>
      <c r="C1604" s="9" t="s">
        <v>3179</v>
      </c>
      <c r="D1604" s="9" t="s">
        <v>139</v>
      </c>
      <c r="E1604" s="9" t="s">
        <v>3180</v>
      </c>
      <c r="F1604" s="9" t="s">
        <v>3181</v>
      </c>
      <c r="G1604" s="9" t="s">
        <v>142</v>
      </c>
      <c r="H1604" s="9" t="s">
        <v>139</v>
      </c>
      <c r="I1604" s="9" t="s">
        <v>411</v>
      </c>
      <c r="J1604" s="9" t="s">
        <v>139</v>
      </c>
      <c r="K1604" s="10">
        <v>38918.529699074075</v>
      </c>
    </row>
    <row r="1605" spans="1:11" x14ac:dyDescent="0.25">
      <c r="A1605" s="8">
        <v>2648</v>
      </c>
      <c r="B1605" s="9" t="s">
        <v>5981</v>
      </c>
      <c r="C1605" s="9" t="s">
        <v>3182</v>
      </c>
      <c r="D1605" s="9" t="s">
        <v>139</v>
      </c>
      <c r="E1605" s="9" t="s">
        <v>3183</v>
      </c>
      <c r="F1605" s="9" t="s">
        <v>3184</v>
      </c>
      <c r="G1605" s="9" t="s">
        <v>142</v>
      </c>
      <c r="H1605" s="9" t="s">
        <v>139</v>
      </c>
      <c r="I1605" s="9" t="s">
        <v>411</v>
      </c>
      <c r="J1605" s="9" t="s">
        <v>139</v>
      </c>
      <c r="K1605" s="10">
        <v>38918.536377314813</v>
      </c>
    </row>
    <row r="1606" spans="1:11" x14ac:dyDescent="0.25">
      <c r="A1606" s="8">
        <v>2650</v>
      </c>
      <c r="B1606" s="9" t="s">
        <v>5982</v>
      </c>
      <c r="C1606" s="9" t="s">
        <v>3185</v>
      </c>
      <c r="D1606" s="9" t="s">
        <v>139</v>
      </c>
      <c r="E1606" s="9" t="s">
        <v>3186</v>
      </c>
      <c r="F1606" s="9" t="s">
        <v>3187</v>
      </c>
      <c r="G1606" s="9" t="s">
        <v>142</v>
      </c>
      <c r="H1606" s="9" t="s">
        <v>139</v>
      </c>
      <c r="I1606" s="9" t="s">
        <v>411</v>
      </c>
      <c r="J1606" s="9" t="s">
        <v>139</v>
      </c>
      <c r="K1606" s="10">
        <v>38918.538090277776</v>
      </c>
    </row>
    <row r="1607" spans="1:11" x14ac:dyDescent="0.25">
      <c r="A1607" s="8">
        <v>2651</v>
      </c>
      <c r="B1607" s="9" t="s">
        <v>5983</v>
      </c>
      <c r="C1607" s="9" t="s">
        <v>3188</v>
      </c>
      <c r="D1607" s="9" t="s">
        <v>3189</v>
      </c>
      <c r="E1607" s="9" t="s">
        <v>3190</v>
      </c>
      <c r="F1607" s="9" t="s">
        <v>3191</v>
      </c>
      <c r="G1607" s="9" t="s">
        <v>142</v>
      </c>
      <c r="H1607" s="9" t="s">
        <v>139</v>
      </c>
      <c r="I1607" s="9" t="s">
        <v>411</v>
      </c>
      <c r="J1607" s="9" t="s">
        <v>139</v>
      </c>
      <c r="K1607" s="10">
        <v>38918.540358796294</v>
      </c>
    </row>
    <row r="1608" spans="1:11" x14ac:dyDescent="0.25">
      <c r="A1608" s="8">
        <v>2652</v>
      </c>
      <c r="B1608" s="9" t="s">
        <v>5984</v>
      </c>
      <c r="C1608" s="9" t="s">
        <v>3192</v>
      </c>
      <c r="D1608" s="9" t="s">
        <v>139</v>
      </c>
      <c r="E1608" s="9" t="s">
        <v>3193</v>
      </c>
      <c r="F1608" s="9" t="s">
        <v>3194</v>
      </c>
      <c r="G1608" s="9" t="s">
        <v>142</v>
      </c>
      <c r="H1608" s="9" t="s">
        <v>139</v>
      </c>
      <c r="I1608" s="9" t="s">
        <v>411</v>
      </c>
      <c r="J1608" s="9" t="s">
        <v>139</v>
      </c>
      <c r="K1608" s="10">
        <v>38918.541296296295</v>
      </c>
    </row>
    <row r="1609" spans="1:11" x14ac:dyDescent="0.25">
      <c r="A1609" s="8">
        <v>2653</v>
      </c>
      <c r="B1609" s="9" t="s">
        <v>5985</v>
      </c>
      <c r="C1609" s="9" t="s">
        <v>3195</v>
      </c>
      <c r="D1609" s="9" t="s">
        <v>139</v>
      </c>
      <c r="E1609" s="9" t="s">
        <v>3196</v>
      </c>
      <c r="F1609" s="9" t="s">
        <v>3197</v>
      </c>
      <c r="G1609" s="9" t="s">
        <v>142</v>
      </c>
      <c r="H1609" s="9" t="s">
        <v>139</v>
      </c>
      <c r="I1609" s="9" t="s">
        <v>411</v>
      </c>
      <c r="J1609" s="9" t="s">
        <v>139</v>
      </c>
      <c r="K1609" s="10">
        <v>38918.541990740741</v>
      </c>
    </row>
    <row r="1610" spans="1:11" x14ac:dyDescent="0.25">
      <c r="A1610" s="8">
        <v>2654</v>
      </c>
      <c r="B1610" s="9" t="s">
        <v>5986</v>
      </c>
      <c r="C1610" s="9" t="s">
        <v>3198</v>
      </c>
      <c r="D1610" s="9" t="s">
        <v>139</v>
      </c>
      <c r="E1610" s="9" t="s">
        <v>3199</v>
      </c>
      <c r="F1610" s="9" t="s">
        <v>3200</v>
      </c>
      <c r="G1610" s="9" t="s">
        <v>142</v>
      </c>
      <c r="H1610" s="9" t="s">
        <v>139</v>
      </c>
      <c r="I1610" s="9" t="s">
        <v>411</v>
      </c>
      <c r="J1610" s="9" t="s">
        <v>139</v>
      </c>
      <c r="K1610" s="10">
        <v>38918.543206018519</v>
      </c>
    </row>
    <row r="1611" spans="1:11" x14ac:dyDescent="0.25">
      <c r="A1611" s="8">
        <v>2656</v>
      </c>
      <c r="B1611" s="9" t="s">
        <v>5987</v>
      </c>
      <c r="C1611" s="9" t="s">
        <v>3201</v>
      </c>
      <c r="D1611" s="9" t="s">
        <v>139</v>
      </c>
      <c r="E1611" s="9" t="s">
        <v>3202</v>
      </c>
      <c r="F1611" s="9" t="s">
        <v>3203</v>
      </c>
      <c r="G1611" s="9" t="s">
        <v>142</v>
      </c>
      <c r="H1611" s="9" t="s">
        <v>139</v>
      </c>
      <c r="I1611" s="9" t="s">
        <v>411</v>
      </c>
      <c r="J1611" s="9" t="s">
        <v>139</v>
      </c>
      <c r="K1611" s="10">
        <v>38918.545428240737</v>
      </c>
    </row>
    <row r="1612" spans="1:11" x14ac:dyDescent="0.25">
      <c r="A1612" s="8">
        <v>2659</v>
      </c>
      <c r="B1612" s="9" t="s">
        <v>5988</v>
      </c>
      <c r="C1612" s="9" t="s">
        <v>3204</v>
      </c>
      <c r="D1612" s="9" t="s">
        <v>139</v>
      </c>
      <c r="E1612" s="9" t="s">
        <v>3205</v>
      </c>
      <c r="F1612" s="9" t="s">
        <v>3206</v>
      </c>
      <c r="G1612" s="9" t="s">
        <v>142</v>
      </c>
      <c r="H1612" s="9" t="s">
        <v>139</v>
      </c>
      <c r="I1612" s="9" t="s">
        <v>411</v>
      </c>
      <c r="J1612" s="9" t="s">
        <v>139</v>
      </c>
      <c r="K1612" s="10">
        <v>38918.550902777781</v>
      </c>
    </row>
    <row r="1613" spans="1:11" x14ac:dyDescent="0.25">
      <c r="A1613" s="8">
        <v>2661</v>
      </c>
      <c r="B1613" s="9" t="s">
        <v>5989</v>
      </c>
      <c r="C1613" s="9" t="s">
        <v>3207</v>
      </c>
      <c r="D1613" s="9" t="s">
        <v>139</v>
      </c>
      <c r="E1613" s="9" t="s">
        <v>3208</v>
      </c>
      <c r="F1613" s="9" t="s">
        <v>3209</v>
      </c>
      <c r="G1613" s="9" t="s">
        <v>142</v>
      </c>
      <c r="H1613" s="9" t="s">
        <v>139</v>
      </c>
      <c r="I1613" s="9" t="s">
        <v>411</v>
      </c>
      <c r="J1613" s="9" t="s">
        <v>139</v>
      </c>
      <c r="K1613" s="10">
        <v>38918.553483796299</v>
      </c>
    </row>
    <row r="1614" spans="1:11" x14ac:dyDescent="0.25">
      <c r="A1614" s="8">
        <v>2662</v>
      </c>
      <c r="B1614" s="9" t="s">
        <v>5990</v>
      </c>
      <c r="C1614" s="9" t="s">
        <v>3210</v>
      </c>
      <c r="D1614" s="9" t="s">
        <v>139</v>
      </c>
      <c r="E1614" s="9" t="s">
        <v>2681</v>
      </c>
      <c r="F1614" s="9" t="s">
        <v>2682</v>
      </c>
      <c r="G1614" s="9" t="s">
        <v>142</v>
      </c>
      <c r="H1614" s="9" t="s">
        <v>139</v>
      </c>
      <c r="I1614" s="9" t="s">
        <v>411</v>
      </c>
      <c r="J1614" s="9" t="s">
        <v>139</v>
      </c>
      <c r="K1614" s="10">
        <v>38918.554189814815</v>
      </c>
    </row>
    <row r="1615" spans="1:11" x14ac:dyDescent="0.25">
      <c r="A1615" s="8">
        <v>2663</v>
      </c>
      <c r="B1615" s="9" t="s">
        <v>5991</v>
      </c>
      <c r="C1615" s="9" t="s">
        <v>3211</v>
      </c>
      <c r="D1615" s="9" t="s">
        <v>139</v>
      </c>
      <c r="E1615" s="9" t="s">
        <v>3212</v>
      </c>
      <c r="F1615" s="9" t="s">
        <v>3213</v>
      </c>
      <c r="G1615" s="9" t="s">
        <v>142</v>
      </c>
      <c r="H1615" s="9" t="s">
        <v>139</v>
      </c>
      <c r="I1615" s="9" t="s">
        <v>411</v>
      </c>
      <c r="J1615" s="9" t="s">
        <v>139</v>
      </c>
      <c r="K1615" s="10">
        <v>38918.554814814815</v>
      </c>
    </row>
    <row r="1616" spans="1:11" x14ac:dyDescent="0.25">
      <c r="A1616" s="8">
        <v>2664</v>
      </c>
      <c r="B1616" s="9" t="s">
        <v>5992</v>
      </c>
      <c r="C1616" s="9" t="s">
        <v>3214</v>
      </c>
      <c r="D1616" s="9" t="s">
        <v>139</v>
      </c>
      <c r="E1616" s="9" t="s">
        <v>3215</v>
      </c>
      <c r="F1616" s="9" t="s">
        <v>3216</v>
      </c>
      <c r="G1616" s="9" t="s">
        <v>142</v>
      </c>
      <c r="H1616" s="9" t="s">
        <v>139</v>
      </c>
      <c r="I1616" s="9" t="s">
        <v>411</v>
      </c>
      <c r="J1616" s="9" t="s">
        <v>139</v>
      </c>
      <c r="K1616" s="10">
        <v>38918.555543981478</v>
      </c>
    </row>
    <row r="1617" spans="1:11" x14ac:dyDescent="0.25">
      <c r="A1617" s="8">
        <v>2666</v>
      </c>
      <c r="B1617" s="9" t="s">
        <v>5993</v>
      </c>
      <c r="C1617" s="9" t="s">
        <v>3217</v>
      </c>
      <c r="D1617" s="9" t="s">
        <v>139</v>
      </c>
      <c r="E1617" s="9" t="s">
        <v>3218</v>
      </c>
      <c r="F1617" s="9" t="s">
        <v>3219</v>
      </c>
      <c r="G1617" s="9" t="s">
        <v>142</v>
      </c>
      <c r="H1617" s="9" t="s">
        <v>139</v>
      </c>
      <c r="I1617" s="9" t="s">
        <v>411</v>
      </c>
      <c r="J1617" s="9" t="s">
        <v>139</v>
      </c>
      <c r="K1617" s="10">
        <v>38918.557534722226</v>
      </c>
    </row>
    <row r="1618" spans="1:11" x14ac:dyDescent="0.25">
      <c r="A1618" s="8">
        <v>2667</v>
      </c>
      <c r="B1618" s="9" t="s">
        <v>5994</v>
      </c>
      <c r="C1618" s="9" t="s">
        <v>3220</v>
      </c>
      <c r="D1618" s="9" t="s">
        <v>139</v>
      </c>
      <c r="E1618" s="9" t="s">
        <v>3221</v>
      </c>
      <c r="F1618" s="9" t="s">
        <v>3222</v>
      </c>
      <c r="G1618" s="9" t="s">
        <v>142</v>
      </c>
      <c r="H1618" s="9" t="s">
        <v>139</v>
      </c>
      <c r="I1618" s="9" t="s">
        <v>411</v>
      </c>
      <c r="J1618" s="9" t="s">
        <v>139</v>
      </c>
      <c r="K1618" s="10">
        <v>38918.558136574073</v>
      </c>
    </row>
    <row r="1619" spans="1:11" x14ac:dyDescent="0.25">
      <c r="A1619" s="8">
        <v>2668</v>
      </c>
      <c r="B1619" s="9" t="s">
        <v>5995</v>
      </c>
      <c r="C1619" s="9" t="s">
        <v>3223</v>
      </c>
      <c r="D1619" s="9" t="s">
        <v>139</v>
      </c>
      <c r="E1619" s="9" t="s">
        <v>3224</v>
      </c>
      <c r="F1619" s="9" t="s">
        <v>3225</v>
      </c>
      <c r="G1619" s="9" t="s">
        <v>142</v>
      </c>
      <c r="H1619" s="9" t="s">
        <v>139</v>
      </c>
      <c r="I1619" s="9" t="s">
        <v>411</v>
      </c>
      <c r="J1619" s="9" t="s">
        <v>139</v>
      </c>
      <c r="K1619" s="10">
        <v>38918.558854166666</v>
      </c>
    </row>
    <row r="1620" spans="1:11" x14ac:dyDescent="0.25">
      <c r="A1620" s="8">
        <v>2669</v>
      </c>
      <c r="B1620" s="9" t="s">
        <v>5996</v>
      </c>
      <c r="C1620" s="9" t="s">
        <v>3226</v>
      </c>
      <c r="D1620" s="9" t="s">
        <v>139</v>
      </c>
      <c r="E1620" s="9" t="s">
        <v>3227</v>
      </c>
      <c r="F1620" s="9" t="s">
        <v>3228</v>
      </c>
      <c r="G1620" s="9" t="s">
        <v>142</v>
      </c>
      <c r="H1620" s="9" t="s">
        <v>139</v>
      </c>
      <c r="I1620" s="9" t="s">
        <v>411</v>
      </c>
      <c r="J1620" s="9" t="s">
        <v>139</v>
      </c>
      <c r="K1620" s="10">
        <v>38918.559513888889</v>
      </c>
    </row>
    <row r="1621" spans="1:11" x14ac:dyDescent="0.25">
      <c r="A1621" s="8">
        <v>2670</v>
      </c>
      <c r="B1621" s="9" t="s">
        <v>5997</v>
      </c>
      <c r="C1621" s="9" t="s">
        <v>3229</v>
      </c>
      <c r="D1621" s="9" t="s">
        <v>3230</v>
      </c>
      <c r="E1621" s="9" t="s">
        <v>3231</v>
      </c>
      <c r="F1621" s="9" t="s">
        <v>3232</v>
      </c>
      <c r="G1621" s="9" t="s">
        <v>142</v>
      </c>
      <c r="H1621" s="9" t="s">
        <v>139</v>
      </c>
      <c r="I1621" s="9" t="s">
        <v>411</v>
      </c>
      <c r="J1621" s="9" t="s">
        <v>139</v>
      </c>
      <c r="K1621" s="10">
        <v>38918.56459490741</v>
      </c>
    </row>
    <row r="1622" spans="1:11" x14ac:dyDescent="0.25">
      <c r="A1622" s="8">
        <v>2671</v>
      </c>
      <c r="B1622" s="9" t="s">
        <v>5998</v>
      </c>
      <c r="C1622" s="9" t="s">
        <v>3233</v>
      </c>
      <c r="D1622" s="9" t="s">
        <v>139</v>
      </c>
      <c r="E1622" s="9" t="s">
        <v>3234</v>
      </c>
      <c r="F1622" s="9" t="s">
        <v>3235</v>
      </c>
      <c r="G1622" s="9" t="s">
        <v>142</v>
      </c>
      <c r="H1622" s="9" t="s">
        <v>139</v>
      </c>
      <c r="I1622" s="9" t="s">
        <v>411</v>
      </c>
      <c r="J1622" s="9" t="s">
        <v>139</v>
      </c>
      <c r="K1622" s="10">
        <v>38918.565578703703</v>
      </c>
    </row>
    <row r="1623" spans="1:11" x14ac:dyDescent="0.25">
      <c r="A1623" s="8">
        <v>2672</v>
      </c>
      <c r="B1623" s="9" t="s">
        <v>5999</v>
      </c>
      <c r="C1623" s="9" t="s">
        <v>3236</v>
      </c>
      <c r="D1623" s="9" t="s">
        <v>139</v>
      </c>
      <c r="E1623" s="9" t="s">
        <v>1120</v>
      </c>
      <c r="F1623" s="9" t="s">
        <v>1121</v>
      </c>
      <c r="G1623" s="9" t="s">
        <v>142</v>
      </c>
      <c r="H1623" s="9" t="s">
        <v>139</v>
      </c>
      <c r="I1623" s="9" t="s">
        <v>411</v>
      </c>
      <c r="J1623" s="9" t="s">
        <v>139</v>
      </c>
      <c r="K1623" s="10">
        <v>38918.56622685185</v>
      </c>
    </row>
    <row r="1624" spans="1:11" x14ac:dyDescent="0.25">
      <c r="A1624" s="8">
        <v>2674</v>
      </c>
      <c r="B1624" s="9" t="s">
        <v>6000</v>
      </c>
      <c r="C1624" s="9" t="s">
        <v>3237</v>
      </c>
      <c r="D1624" s="9" t="s">
        <v>139</v>
      </c>
      <c r="E1624" s="9" t="s">
        <v>3238</v>
      </c>
      <c r="F1624" s="9" t="s">
        <v>3239</v>
      </c>
      <c r="G1624" s="9" t="s">
        <v>142</v>
      </c>
      <c r="H1624" s="9" t="s">
        <v>139</v>
      </c>
      <c r="I1624" s="9" t="s">
        <v>411</v>
      </c>
      <c r="J1624" s="9" t="s">
        <v>139</v>
      </c>
      <c r="K1624" s="10">
        <v>38918.56759259259</v>
      </c>
    </row>
    <row r="1625" spans="1:11" x14ac:dyDescent="0.25">
      <c r="A1625" s="8">
        <v>2675</v>
      </c>
      <c r="B1625" s="9" t="s">
        <v>6001</v>
      </c>
      <c r="C1625" s="9" t="s">
        <v>3240</v>
      </c>
      <c r="D1625" s="9" t="s">
        <v>139</v>
      </c>
      <c r="E1625" s="9" t="s">
        <v>934</v>
      </c>
      <c r="F1625" s="9" t="s">
        <v>935</v>
      </c>
      <c r="G1625" s="9" t="s">
        <v>142</v>
      </c>
      <c r="H1625" s="9" t="s">
        <v>139</v>
      </c>
      <c r="I1625" s="9" t="s">
        <v>411</v>
      </c>
      <c r="J1625" s="9" t="s">
        <v>139</v>
      </c>
      <c r="K1625" s="10">
        <v>38918.568333333336</v>
      </c>
    </row>
    <row r="1626" spans="1:11" x14ac:dyDescent="0.25">
      <c r="A1626" s="8">
        <v>2676</v>
      </c>
      <c r="B1626" s="9" t="s">
        <v>6002</v>
      </c>
      <c r="C1626" s="9" t="s">
        <v>3241</v>
      </c>
      <c r="D1626" s="9" t="s">
        <v>139</v>
      </c>
      <c r="E1626" s="9" t="s">
        <v>3242</v>
      </c>
      <c r="F1626" s="9" t="s">
        <v>3243</v>
      </c>
      <c r="G1626" s="9" t="s">
        <v>142</v>
      </c>
      <c r="H1626" s="9" t="s">
        <v>241</v>
      </c>
      <c r="I1626" s="9" t="s">
        <v>411</v>
      </c>
      <c r="J1626" s="9" t="s">
        <v>139</v>
      </c>
      <c r="K1626" s="10">
        <v>38918.568981481483</v>
      </c>
    </row>
    <row r="1627" spans="1:11" x14ac:dyDescent="0.25">
      <c r="A1627" s="8">
        <v>2677</v>
      </c>
      <c r="B1627" s="9" t="s">
        <v>6003</v>
      </c>
      <c r="C1627" s="9" t="s">
        <v>3244</v>
      </c>
      <c r="D1627" s="9" t="s">
        <v>139</v>
      </c>
      <c r="E1627" s="9" t="s">
        <v>3245</v>
      </c>
      <c r="F1627" s="9" t="s">
        <v>3246</v>
      </c>
      <c r="G1627" s="9" t="s">
        <v>142</v>
      </c>
      <c r="H1627" s="9" t="s">
        <v>139</v>
      </c>
      <c r="I1627" s="9" t="s">
        <v>411</v>
      </c>
      <c r="J1627" s="9" t="s">
        <v>3247</v>
      </c>
      <c r="K1627" s="10">
        <v>38918.569594907407</v>
      </c>
    </row>
    <row r="1628" spans="1:11" x14ac:dyDescent="0.25">
      <c r="A1628" s="8">
        <v>2680</v>
      </c>
      <c r="B1628" s="9" t="s">
        <v>6004</v>
      </c>
      <c r="C1628" s="9" t="s">
        <v>3248</v>
      </c>
      <c r="D1628" s="9" t="s">
        <v>139</v>
      </c>
      <c r="E1628" s="9" t="s">
        <v>3249</v>
      </c>
      <c r="F1628" s="9" t="s">
        <v>3250</v>
      </c>
      <c r="G1628" s="9" t="s">
        <v>142</v>
      </c>
      <c r="H1628" s="9" t="s">
        <v>139</v>
      </c>
      <c r="I1628" s="9" t="s">
        <v>411</v>
      </c>
      <c r="J1628" s="9" t="s">
        <v>139</v>
      </c>
      <c r="K1628" s="10">
        <v>38918.572314814817</v>
      </c>
    </row>
    <row r="1629" spans="1:11" x14ac:dyDescent="0.25">
      <c r="A1629" s="8">
        <v>2681</v>
      </c>
      <c r="B1629" s="9" t="s">
        <v>6005</v>
      </c>
      <c r="C1629" s="9" t="s">
        <v>3251</v>
      </c>
      <c r="D1629" s="9" t="s">
        <v>139</v>
      </c>
      <c r="E1629" s="9" t="s">
        <v>3252</v>
      </c>
      <c r="F1629" s="9" t="s">
        <v>3253</v>
      </c>
      <c r="G1629" s="9" t="s">
        <v>142</v>
      </c>
      <c r="H1629" s="9" t="s">
        <v>139</v>
      </c>
      <c r="I1629" s="9" t="s">
        <v>411</v>
      </c>
      <c r="J1629" s="9" t="s">
        <v>139</v>
      </c>
      <c r="K1629" s="10">
        <v>38918.580555555556</v>
      </c>
    </row>
    <row r="1630" spans="1:11" x14ac:dyDescent="0.25">
      <c r="A1630" s="8">
        <v>2682</v>
      </c>
      <c r="B1630" s="9" t="s">
        <v>6006</v>
      </c>
      <c r="C1630" s="9" t="s">
        <v>3254</v>
      </c>
      <c r="D1630" s="9" t="s">
        <v>139</v>
      </c>
      <c r="E1630" s="9" t="s">
        <v>3255</v>
      </c>
      <c r="F1630" s="9" t="s">
        <v>3256</v>
      </c>
      <c r="G1630" s="9" t="s">
        <v>142</v>
      </c>
      <c r="H1630" s="9" t="s">
        <v>139</v>
      </c>
      <c r="I1630" s="9" t="s">
        <v>411</v>
      </c>
      <c r="J1630" s="9" t="s">
        <v>139</v>
      </c>
      <c r="K1630" s="10">
        <v>38918.582187499997</v>
      </c>
    </row>
    <row r="1631" spans="1:11" x14ac:dyDescent="0.25">
      <c r="A1631" s="8">
        <v>2683</v>
      </c>
      <c r="B1631" s="9" t="s">
        <v>6007</v>
      </c>
      <c r="C1631" s="9" t="s">
        <v>3257</v>
      </c>
      <c r="D1631" s="9" t="s">
        <v>3258</v>
      </c>
      <c r="E1631" s="9" t="s">
        <v>3259</v>
      </c>
      <c r="F1631" s="9" t="s">
        <v>3260</v>
      </c>
      <c r="G1631" s="9" t="s">
        <v>142</v>
      </c>
      <c r="H1631" s="9" t="s">
        <v>139</v>
      </c>
      <c r="I1631" s="9" t="s">
        <v>411</v>
      </c>
      <c r="J1631" s="9" t="s">
        <v>139</v>
      </c>
      <c r="K1631" s="10">
        <v>38918.584166666667</v>
      </c>
    </row>
    <row r="1632" spans="1:11" x14ac:dyDescent="0.25">
      <c r="A1632" s="8">
        <v>2686</v>
      </c>
      <c r="B1632" s="9" t="s">
        <v>6008</v>
      </c>
      <c r="C1632" s="9" t="s">
        <v>3261</v>
      </c>
      <c r="D1632" s="9" t="s">
        <v>139</v>
      </c>
      <c r="E1632" s="9" t="s">
        <v>1376</v>
      </c>
      <c r="F1632" s="9" t="s">
        <v>1377</v>
      </c>
      <c r="G1632" s="9" t="s">
        <v>142</v>
      </c>
      <c r="H1632" s="9" t="s">
        <v>139</v>
      </c>
      <c r="I1632" s="9" t="s">
        <v>411</v>
      </c>
      <c r="J1632" s="9" t="s">
        <v>139</v>
      </c>
      <c r="K1632" s="10">
        <v>38918.590775462966</v>
      </c>
    </row>
    <row r="1633" spans="1:11" x14ac:dyDescent="0.25">
      <c r="A1633" s="8">
        <v>2688</v>
      </c>
      <c r="B1633" s="9" t="s">
        <v>6009</v>
      </c>
      <c r="C1633" s="9" t="s">
        <v>3262</v>
      </c>
      <c r="D1633" s="9" t="s">
        <v>139</v>
      </c>
      <c r="E1633" s="9" t="s">
        <v>3263</v>
      </c>
      <c r="F1633" s="9" t="s">
        <v>3264</v>
      </c>
      <c r="G1633" s="9" t="s">
        <v>142</v>
      </c>
      <c r="H1633" s="9" t="s">
        <v>139</v>
      </c>
      <c r="I1633" s="9" t="s">
        <v>411</v>
      </c>
      <c r="J1633" s="9" t="s">
        <v>139</v>
      </c>
      <c r="K1633" s="10">
        <v>38918.592164351852</v>
      </c>
    </row>
    <row r="1634" spans="1:11" x14ac:dyDescent="0.25">
      <c r="A1634" s="8">
        <v>2689</v>
      </c>
      <c r="B1634" s="9" t="s">
        <v>6010</v>
      </c>
      <c r="C1634" s="9" t="s">
        <v>3265</v>
      </c>
      <c r="D1634" s="9" t="s">
        <v>139</v>
      </c>
      <c r="E1634" s="9" t="s">
        <v>3266</v>
      </c>
      <c r="F1634" s="9" t="s">
        <v>3267</v>
      </c>
      <c r="G1634" s="9" t="s">
        <v>142</v>
      </c>
      <c r="H1634" s="9" t="s">
        <v>139</v>
      </c>
      <c r="I1634" s="9" t="s">
        <v>411</v>
      </c>
      <c r="J1634" s="9" t="s">
        <v>139</v>
      </c>
      <c r="K1634" s="10">
        <v>38918.593298611115</v>
      </c>
    </row>
    <row r="1635" spans="1:11" x14ac:dyDescent="0.25">
      <c r="A1635" s="8">
        <v>2691</v>
      </c>
      <c r="B1635" s="9" t="s">
        <v>6011</v>
      </c>
      <c r="C1635" s="9" t="s">
        <v>3268</v>
      </c>
      <c r="D1635" s="9" t="s">
        <v>139</v>
      </c>
      <c r="E1635" s="9" t="s">
        <v>3269</v>
      </c>
      <c r="F1635" s="9" t="s">
        <v>3270</v>
      </c>
      <c r="G1635" s="9" t="s">
        <v>142</v>
      </c>
      <c r="H1635" s="9" t="s">
        <v>139</v>
      </c>
      <c r="I1635" s="9" t="s">
        <v>411</v>
      </c>
      <c r="J1635" s="9" t="s">
        <v>139</v>
      </c>
      <c r="K1635" s="10">
        <v>38918.595358796294</v>
      </c>
    </row>
    <row r="1636" spans="1:11" x14ac:dyDescent="0.25">
      <c r="A1636" s="8">
        <v>2693</v>
      </c>
      <c r="B1636" s="9" t="s">
        <v>6012</v>
      </c>
      <c r="C1636" s="9" t="s">
        <v>3271</v>
      </c>
      <c r="D1636" s="9" t="s">
        <v>139</v>
      </c>
      <c r="E1636" s="9" t="s">
        <v>3272</v>
      </c>
      <c r="F1636" s="9" t="s">
        <v>3273</v>
      </c>
      <c r="G1636" s="9" t="s">
        <v>142</v>
      </c>
      <c r="H1636" s="9" t="s">
        <v>139</v>
      </c>
      <c r="I1636" s="9" t="s">
        <v>411</v>
      </c>
      <c r="J1636" s="9" t="s">
        <v>139</v>
      </c>
      <c r="K1636" s="10">
        <v>38918.596724537034</v>
      </c>
    </row>
    <row r="1637" spans="1:11" x14ac:dyDescent="0.25">
      <c r="A1637" s="8">
        <v>2694</v>
      </c>
      <c r="B1637" s="9" t="s">
        <v>6013</v>
      </c>
      <c r="C1637" s="9" t="s">
        <v>3274</v>
      </c>
      <c r="D1637" s="9" t="s">
        <v>139</v>
      </c>
      <c r="E1637" s="9" t="s">
        <v>3275</v>
      </c>
      <c r="F1637" s="9" t="s">
        <v>3276</v>
      </c>
      <c r="G1637" s="9" t="s">
        <v>142</v>
      </c>
      <c r="H1637" s="9" t="s">
        <v>139</v>
      </c>
      <c r="I1637" s="9" t="s">
        <v>411</v>
      </c>
      <c r="J1637" s="9" t="s">
        <v>139</v>
      </c>
      <c r="K1637" s="10">
        <v>38918.597418981481</v>
      </c>
    </row>
    <row r="1638" spans="1:11" x14ac:dyDescent="0.25">
      <c r="A1638" s="8">
        <v>2695</v>
      </c>
      <c r="B1638" s="9" t="s">
        <v>6014</v>
      </c>
      <c r="C1638" s="9" t="s">
        <v>1708</v>
      </c>
      <c r="D1638" s="9" t="s">
        <v>139</v>
      </c>
      <c r="E1638" s="9" t="s">
        <v>3277</v>
      </c>
      <c r="F1638" s="9" t="s">
        <v>3278</v>
      </c>
      <c r="G1638" s="9" t="s">
        <v>142</v>
      </c>
      <c r="H1638" s="9" t="s">
        <v>139</v>
      </c>
      <c r="I1638" s="9" t="s">
        <v>411</v>
      </c>
      <c r="J1638" s="9" t="s">
        <v>139</v>
      </c>
      <c r="K1638" s="10">
        <v>38918.598217592589</v>
      </c>
    </row>
    <row r="1639" spans="1:11" x14ac:dyDescent="0.25">
      <c r="A1639" s="8">
        <v>2697</v>
      </c>
      <c r="B1639" s="9" t="s">
        <v>6015</v>
      </c>
      <c r="C1639" s="9" t="s">
        <v>3279</v>
      </c>
      <c r="D1639" s="9" t="s">
        <v>139</v>
      </c>
      <c r="E1639" s="9" t="s">
        <v>3280</v>
      </c>
      <c r="F1639" s="9" t="s">
        <v>3281</v>
      </c>
      <c r="G1639" s="9" t="s">
        <v>142</v>
      </c>
      <c r="H1639" s="9" t="s">
        <v>139</v>
      </c>
      <c r="I1639" s="9" t="s">
        <v>411</v>
      </c>
      <c r="J1639" s="9" t="s">
        <v>139</v>
      </c>
      <c r="K1639" s="10">
        <v>38918.599351851852</v>
      </c>
    </row>
    <row r="1640" spans="1:11" x14ac:dyDescent="0.25">
      <c r="A1640" s="8">
        <v>2699</v>
      </c>
      <c r="B1640" s="9" t="s">
        <v>6016</v>
      </c>
      <c r="C1640" s="9" t="s">
        <v>3282</v>
      </c>
      <c r="D1640" s="9" t="s">
        <v>139</v>
      </c>
      <c r="E1640" s="9" t="s">
        <v>3283</v>
      </c>
      <c r="F1640" s="9" t="s">
        <v>3284</v>
      </c>
      <c r="G1640" s="9" t="s">
        <v>142</v>
      </c>
      <c r="H1640" s="9" t="s">
        <v>139</v>
      </c>
      <c r="I1640" s="9" t="s">
        <v>411</v>
      </c>
      <c r="J1640" s="9" t="s">
        <v>139</v>
      </c>
      <c r="K1640" s="10">
        <v>38918.600694444445</v>
      </c>
    </row>
    <row r="1641" spans="1:11" x14ac:dyDescent="0.25">
      <c r="A1641" s="8">
        <v>2700</v>
      </c>
      <c r="B1641" s="9" t="s">
        <v>6017</v>
      </c>
      <c r="C1641" s="9" t="s">
        <v>3285</v>
      </c>
      <c r="D1641" s="9" t="s">
        <v>139</v>
      </c>
      <c r="E1641" s="9" t="s">
        <v>3286</v>
      </c>
      <c r="F1641" s="9" t="s">
        <v>3287</v>
      </c>
      <c r="G1641" s="9" t="s">
        <v>142</v>
      </c>
      <c r="H1641" s="9" t="s">
        <v>139</v>
      </c>
      <c r="I1641" s="9" t="s">
        <v>411</v>
      </c>
      <c r="J1641" s="9" t="s">
        <v>139</v>
      </c>
      <c r="K1641" s="10">
        <v>38918.6012962963</v>
      </c>
    </row>
    <row r="1642" spans="1:11" x14ac:dyDescent="0.25">
      <c r="A1642" s="8">
        <v>2701</v>
      </c>
      <c r="B1642" s="9" t="s">
        <v>6018</v>
      </c>
      <c r="C1642" s="9" t="s">
        <v>3288</v>
      </c>
      <c r="D1642" s="9" t="s">
        <v>139</v>
      </c>
      <c r="E1642" s="9" t="s">
        <v>3289</v>
      </c>
      <c r="F1642" s="9" t="s">
        <v>3290</v>
      </c>
      <c r="G1642" s="9" t="s">
        <v>142</v>
      </c>
      <c r="H1642" s="9" t="s">
        <v>166</v>
      </c>
      <c r="I1642" s="9" t="s">
        <v>411</v>
      </c>
      <c r="J1642" s="9" t="s">
        <v>139</v>
      </c>
      <c r="K1642" s="10">
        <v>38918.673958333333</v>
      </c>
    </row>
    <row r="1643" spans="1:11" x14ac:dyDescent="0.25">
      <c r="A1643" s="8">
        <v>2702</v>
      </c>
      <c r="B1643" s="9" t="s">
        <v>9264</v>
      </c>
      <c r="C1643" s="9" t="s">
        <v>139</v>
      </c>
      <c r="D1643" s="9" t="s">
        <v>139</v>
      </c>
      <c r="E1643" s="9">
        <v>75</v>
      </c>
      <c r="F1643" s="9" t="s">
        <v>413</v>
      </c>
      <c r="G1643" s="9" t="s">
        <v>142</v>
      </c>
      <c r="H1643" s="9" t="s">
        <v>321</v>
      </c>
      <c r="I1643" s="9" t="s">
        <v>143</v>
      </c>
      <c r="J1643" s="9" t="s">
        <v>139</v>
      </c>
      <c r="K1643" s="10">
        <v>38919.690081018518</v>
      </c>
    </row>
    <row r="1644" spans="1:11" x14ac:dyDescent="0.25">
      <c r="A1644" s="8">
        <v>2703</v>
      </c>
      <c r="B1644" s="9" t="s">
        <v>6019</v>
      </c>
      <c r="C1644" s="9" t="s">
        <v>3291</v>
      </c>
      <c r="D1644" s="9" t="s">
        <v>139</v>
      </c>
      <c r="E1644" s="9" t="s">
        <v>3245</v>
      </c>
      <c r="F1644" s="9" t="s">
        <v>3246</v>
      </c>
      <c r="G1644" s="9" t="s">
        <v>142</v>
      </c>
      <c r="H1644" s="9" t="s">
        <v>139</v>
      </c>
      <c r="I1644" s="9" t="s">
        <v>411</v>
      </c>
      <c r="J1644" s="9" t="s">
        <v>139</v>
      </c>
      <c r="K1644" s="10">
        <v>38925.48369212963</v>
      </c>
    </row>
    <row r="1645" spans="1:11" x14ac:dyDescent="0.25">
      <c r="A1645" s="8">
        <v>2705</v>
      </c>
      <c r="B1645" s="9" t="s">
        <v>6020</v>
      </c>
      <c r="C1645" s="9" t="s">
        <v>3292</v>
      </c>
      <c r="D1645" s="9" t="s">
        <v>3293</v>
      </c>
      <c r="E1645" s="9" t="s">
        <v>1067</v>
      </c>
      <c r="F1645" s="9" t="s">
        <v>1068</v>
      </c>
      <c r="G1645" s="9" t="s">
        <v>142</v>
      </c>
      <c r="H1645" s="9" t="s">
        <v>166</v>
      </c>
      <c r="I1645" s="9" t="s">
        <v>411</v>
      </c>
      <c r="J1645" s="9" t="s">
        <v>3294</v>
      </c>
      <c r="K1645" s="10">
        <v>38925.490868055553</v>
      </c>
    </row>
    <row r="1646" spans="1:11" x14ac:dyDescent="0.25">
      <c r="A1646" s="8">
        <v>2707</v>
      </c>
      <c r="B1646" s="9" t="s">
        <v>6021</v>
      </c>
      <c r="C1646" s="9" t="s">
        <v>3295</v>
      </c>
      <c r="D1646" s="9" t="s">
        <v>139</v>
      </c>
      <c r="E1646" s="9" t="s">
        <v>3296</v>
      </c>
      <c r="F1646" s="9" t="s">
        <v>3297</v>
      </c>
      <c r="G1646" s="9" t="s">
        <v>142</v>
      </c>
      <c r="H1646" s="9" t="s">
        <v>139</v>
      </c>
      <c r="I1646" s="9" t="s">
        <v>411</v>
      </c>
      <c r="J1646" s="9" t="s">
        <v>139</v>
      </c>
      <c r="K1646" s="10">
        <v>38926.635694444441</v>
      </c>
    </row>
    <row r="1647" spans="1:11" x14ac:dyDescent="0.25">
      <c r="A1647" s="8">
        <v>2708</v>
      </c>
      <c r="B1647" s="9" t="s">
        <v>6022</v>
      </c>
      <c r="C1647" s="9" t="s">
        <v>3298</v>
      </c>
      <c r="D1647" s="9" t="s">
        <v>139</v>
      </c>
      <c r="E1647" s="9" t="s">
        <v>3299</v>
      </c>
      <c r="F1647" s="9" t="s">
        <v>3300</v>
      </c>
      <c r="G1647" s="9" t="s">
        <v>142</v>
      </c>
      <c r="H1647" s="9" t="s">
        <v>258</v>
      </c>
      <c r="I1647" s="9" t="s">
        <v>411</v>
      </c>
      <c r="J1647" s="9" t="s">
        <v>139</v>
      </c>
      <c r="K1647" s="10">
        <v>38926.645173611112</v>
      </c>
    </row>
    <row r="1648" spans="1:11" x14ac:dyDescent="0.25">
      <c r="A1648" s="8">
        <v>2710</v>
      </c>
      <c r="B1648" s="9" t="s">
        <v>6023</v>
      </c>
      <c r="C1648" s="9" t="s">
        <v>3301</v>
      </c>
      <c r="D1648" s="9" t="s">
        <v>139</v>
      </c>
      <c r="E1648" s="9" t="s">
        <v>3299</v>
      </c>
      <c r="F1648" s="9" t="s">
        <v>3300</v>
      </c>
      <c r="G1648" s="9" t="s">
        <v>142</v>
      </c>
      <c r="H1648" s="9" t="s">
        <v>166</v>
      </c>
      <c r="I1648" s="9" t="s">
        <v>411</v>
      </c>
      <c r="J1648" s="9" t="s">
        <v>139</v>
      </c>
      <c r="K1648" s="10">
        <v>38926.690509259257</v>
      </c>
    </row>
    <row r="1649" spans="1:11" x14ac:dyDescent="0.25">
      <c r="A1649" s="8">
        <v>2711</v>
      </c>
      <c r="B1649" s="9" t="s">
        <v>6024</v>
      </c>
      <c r="C1649" s="9" t="s">
        <v>3302</v>
      </c>
      <c r="D1649" s="9" t="s">
        <v>139</v>
      </c>
      <c r="E1649" s="9" t="s">
        <v>3303</v>
      </c>
      <c r="F1649" s="9" t="s">
        <v>3304</v>
      </c>
      <c r="G1649" s="9" t="s">
        <v>142</v>
      </c>
      <c r="H1649" s="9" t="s">
        <v>166</v>
      </c>
      <c r="I1649" s="9" t="s">
        <v>411</v>
      </c>
      <c r="J1649" s="9" t="s">
        <v>3305</v>
      </c>
      <c r="K1649" s="10">
        <v>38926.693969907406</v>
      </c>
    </row>
    <row r="1650" spans="1:11" x14ac:dyDescent="0.25">
      <c r="A1650" s="8">
        <v>2712</v>
      </c>
      <c r="B1650" s="9" t="s">
        <v>6025</v>
      </c>
      <c r="C1650" s="9" t="s">
        <v>3306</v>
      </c>
      <c r="D1650" s="9" t="s">
        <v>139</v>
      </c>
      <c r="E1650" s="9" t="s">
        <v>2843</v>
      </c>
      <c r="F1650" s="9" t="s">
        <v>2844</v>
      </c>
      <c r="G1650" s="9" t="s">
        <v>142</v>
      </c>
      <c r="H1650" s="9" t="s">
        <v>166</v>
      </c>
      <c r="I1650" s="9" t="s">
        <v>411</v>
      </c>
      <c r="J1650" s="9" t="s">
        <v>139</v>
      </c>
      <c r="K1650" s="10">
        <v>38926.698993055557</v>
      </c>
    </row>
    <row r="1651" spans="1:11" x14ac:dyDescent="0.25">
      <c r="A1651" s="8">
        <v>2713</v>
      </c>
      <c r="B1651" s="9" t="s">
        <v>6026</v>
      </c>
      <c r="C1651" s="9" t="s">
        <v>3307</v>
      </c>
      <c r="D1651" s="9" t="s">
        <v>139</v>
      </c>
      <c r="E1651" s="9" t="s">
        <v>771</v>
      </c>
      <c r="F1651" s="9" t="s">
        <v>3308</v>
      </c>
      <c r="G1651" s="9" t="s">
        <v>142</v>
      </c>
      <c r="H1651" s="9" t="s">
        <v>139</v>
      </c>
      <c r="I1651" s="9" t="s">
        <v>411</v>
      </c>
      <c r="J1651" s="9" t="s">
        <v>139</v>
      </c>
      <c r="K1651" s="10">
        <v>38926.701562499999</v>
      </c>
    </row>
    <row r="1652" spans="1:11" x14ac:dyDescent="0.25">
      <c r="A1652" s="8">
        <v>2714</v>
      </c>
      <c r="B1652" s="9" t="s">
        <v>6027</v>
      </c>
      <c r="C1652" s="9" t="s">
        <v>3309</v>
      </c>
      <c r="D1652" s="9" t="s">
        <v>139</v>
      </c>
      <c r="E1652" s="9" t="s">
        <v>3043</v>
      </c>
      <c r="F1652" s="9" t="s">
        <v>3310</v>
      </c>
      <c r="G1652" s="9" t="s">
        <v>142</v>
      </c>
      <c r="H1652" s="9" t="s">
        <v>139</v>
      </c>
      <c r="I1652" s="9" t="s">
        <v>411</v>
      </c>
      <c r="J1652" s="9" t="s">
        <v>3311</v>
      </c>
      <c r="K1652" s="10">
        <v>38926.703645833331</v>
      </c>
    </row>
    <row r="1653" spans="1:11" x14ac:dyDescent="0.25">
      <c r="A1653" s="8">
        <v>2715</v>
      </c>
      <c r="B1653" s="9" t="s">
        <v>6028</v>
      </c>
      <c r="C1653" s="9" t="s">
        <v>3312</v>
      </c>
      <c r="D1653" s="9" t="s">
        <v>139</v>
      </c>
      <c r="E1653" s="9" t="s">
        <v>3313</v>
      </c>
      <c r="F1653" s="9" t="s">
        <v>8407</v>
      </c>
      <c r="G1653" s="9" t="s">
        <v>142</v>
      </c>
      <c r="H1653" s="9" t="s">
        <v>166</v>
      </c>
      <c r="I1653" s="9" t="s">
        <v>411</v>
      </c>
      <c r="J1653" s="9" t="s">
        <v>3314</v>
      </c>
      <c r="K1653" s="10">
        <v>38926.705451388887</v>
      </c>
    </row>
    <row r="1654" spans="1:11" x14ac:dyDescent="0.25">
      <c r="A1654" s="8">
        <v>2716</v>
      </c>
      <c r="B1654" s="9" t="s">
        <v>6029</v>
      </c>
      <c r="C1654" s="9" t="s">
        <v>3315</v>
      </c>
      <c r="D1654" s="9" t="s">
        <v>139</v>
      </c>
      <c r="E1654" s="9" t="s">
        <v>3316</v>
      </c>
      <c r="F1654" s="9" t="s">
        <v>3317</v>
      </c>
      <c r="G1654" s="9" t="s">
        <v>142</v>
      </c>
      <c r="H1654" s="9" t="s">
        <v>139</v>
      </c>
      <c r="I1654" s="9" t="s">
        <v>411</v>
      </c>
      <c r="J1654" s="9" t="s">
        <v>139</v>
      </c>
      <c r="K1654" s="10">
        <v>38927.691261574073</v>
      </c>
    </row>
    <row r="1655" spans="1:11" x14ac:dyDescent="0.25">
      <c r="A1655" s="8">
        <v>2717</v>
      </c>
      <c r="B1655" s="9" t="s">
        <v>6030</v>
      </c>
      <c r="C1655" s="9" t="s">
        <v>3318</v>
      </c>
      <c r="D1655" s="9" t="s">
        <v>139</v>
      </c>
      <c r="E1655" s="9" t="s">
        <v>3319</v>
      </c>
      <c r="F1655" s="9" t="s">
        <v>3320</v>
      </c>
      <c r="G1655" s="9" t="s">
        <v>142</v>
      </c>
      <c r="H1655" s="9" t="s">
        <v>566</v>
      </c>
      <c r="I1655" s="9" t="s">
        <v>411</v>
      </c>
      <c r="J1655" s="9" t="s">
        <v>3321</v>
      </c>
      <c r="K1655" s="10">
        <v>38927.698738425926</v>
      </c>
    </row>
    <row r="1656" spans="1:11" x14ac:dyDescent="0.25">
      <c r="A1656" s="8">
        <v>2718</v>
      </c>
      <c r="B1656" s="9" t="s">
        <v>6031</v>
      </c>
      <c r="C1656" s="9" t="s">
        <v>3322</v>
      </c>
      <c r="D1656" s="9" t="s">
        <v>139</v>
      </c>
      <c r="E1656" s="9" t="s">
        <v>1232</v>
      </c>
      <c r="F1656" s="9" t="s">
        <v>1233</v>
      </c>
      <c r="G1656" s="9" t="s">
        <v>142</v>
      </c>
      <c r="H1656" s="9" t="s">
        <v>139</v>
      </c>
      <c r="I1656" s="9" t="s">
        <v>411</v>
      </c>
      <c r="J1656" s="9" t="s">
        <v>139</v>
      </c>
      <c r="K1656" s="10">
        <v>38927.729398148149</v>
      </c>
    </row>
    <row r="1657" spans="1:11" x14ac:dyDescent="0.25">
      <c r="A1657" s="8">
        <v>2720</v>
      </c>
      <c r="B1657" s="9" t="s">
        <v>6032</v>
      </c>
      <c r="C1657" s="9" t="s">
        <v>3323</v>
      </c>
      <c r="D1657" s="9" t="s">
        <v>139</v>
      </c>
      <c r="E1657" s="9" t="s">
        <v>3324</v>
      </c>
      <c r="F1657" s="9" t="s">
        <v>3325</v>
      </c>
      <c r="G1657" s="9" t="s">
        <v>142</v>
      </c>
      <c r="H1657" s="9" t="s">
        <v>166</v>
      </c>
      <c r="I1657" s="9" t="s">
        <v>411</v>
      </c>
      <c r="J1657" s="9" t="s">
        <v>3326</v>
      </c>
      <c r="K1657" s="10">
        <v>38927.732453703706</v>
      </c>
    </row>
    <row r="1658" spans="1:11" x14ac:dyDescent="0.25">
      <c r="A1658" s="8">
        <v>2723</v>
      </c>
      <c r="B1658" s="9" t="s">
        <v>8425</v>
      </c>
      <c r="C1658" s="9" t="s">
        <v>3327</v>
      </c>
      <c r="D1658" s="9" t="s">
        <v>139</v>
      </c>
      <c r="E1658" s="9" t="s">
        <v>3328</v>
      </c>
      <c r="F1658" s="9" t="s">
        <v>3329</v>
      </c>
      <c r="G1658" s="9" t="s">
        <v>873</v>
      </c>
      <c r="H1658" s="9" t="s">
        <v>139</v>
      </c>
      <c r="I1658" s="9" t="s">
        <v>617</v>
      </c>
      <c r="J1658" s="9" t="s">
        <v>139</v>
      </c>
      <c r="K1658" s="10">
        <v>38932.469317129631</v>
      </c>
    </row>
    <row r="1659" spans="1:11" x14ac:dyDescent="0.25">
      <c r="A1659" s="8">
        <v>2724</v>
      </c>
      <c r="B1659" s="9" t="s">
        <v>6033</v>
      </c>
      <c r="C1659" s="9" t="s">
        <v>3330</v>
      </c>
      <c r="D1659" s="9" t="s">
        <v>139</v>
      </c>
      <c r="E1659" s="9" t="s">
        <v>3331</v>
      </c>
      <c r="F1659" s="9" t="s">
        <v>3332</v>
      </c>
      <c r="G1659" s="9" t="s">
        <v>873</v>
      </c>
      <c r="H1659" s="9" t="s">
        <v>139</v>
      </c>
      <c r="I1659" s="9" t="s">
        <v>411</v>
      </c>
      <c r="J1659" s="9" t="s">
        <v>139</v>
      </c>
      <c r="K1659" s="10">
        <v>38932.47246527778</v>
      </c>
    </row>
    <row r="1660" spans="1:11" x14ac:dyDescent="0.25">
      <c r="A1660" s="8">
        <v>2726</v>
      </c>
      <c r="B1660" s="9" t="s">
        <v>6034</v>
      </c>
      <c r="C1660" s="9" t="s">
        <v>3333</v>
      </c>
      <c r="D1660" s="9" t="s">
        <v>3334</v>
      </c>
      <c r="E1660" s="9" t="s">
        <v>3335</v>
      </c>
      <c r="F1660" s="9" t="s">
        <v>3336</v>
      </c>
      <c r="G1660" s="9" t="s">
        <v>142</v>
      </c>
      <c r="H1660" s="9" t="s">
        <v>139</v>
      </c>
      <c r="I1660" s="9" t="s">
        <v>411</v>
      </c>
      <c r="J1660" s="9" t="s">
        <v>139</v>
      </c>
      <c r="K1660" s="10">
        <v>38932.478981481479</v>
      </c>
    </row>
    <row r="1661" spans="1:11" x14ac:dyDescent="0.25">
      <c r="A1661" s="8">
        <v>2731</v>
      </c>
      <c r="B1661" s="9" t="s">
        <v>6035</v>
      </c>
      <c r="C1661" s="9" t="s">
        <v>3337</v>
      </c>
      <c r="D1661" s="9" t="s">
        <v>139</v>
      </c>
      <c r="E1661" s="9" t="s">
        <v>500</v>
      </c>
      <c r="F1661" s="9" t="s">
        <v>3338</v>
      </c>
      <c r="G1661" s="9" t="s">
        <v>142</v>
      </c>
      <c r="H1661" s="9" t="s">
        <v>139</v>
      </c>
      <c r="I1661" s="9" t="s">
        <v>411</v>
      </c>
      <c r="J1661" s="9" t="s">
        <v>139</v>
      </c>
      <c r="K1661" s="10">
        <v>38932.510717592595</v>
      </c>
    </row>
    <row r="1662" spans="1:11" x14ac:dyDescent="0.25">
      <c r="A1662" s="8">
        <v>2732</v>
      </c>
      <c r="B1662" s="9" t="s">
        <v>6036</v>
      </c>
      <c r="C1662" s="9" t="s">
        <v>3339</v>
      </c>
      <c r="D1662" s="9" t="s">
        <v>139</v>
      </c>
      <c r="E1662" s="9" t="s">
        <v>1886</v>
      </c>
      <c r="F1662" s="9" t="s">
        <v>1887</v>
      </c>
      <c r="G1662" s="9" t="s">
        <v>142</v>
      </c>
      <c r="H1662" s="9" t="s">
        <v>166</v>
      </c>
      <c r="I1662" s="9" t="s">
        <v>411</v>
      </c>
      <c r="J1662" s="9" t="s">
        <v>139</v>
      </c>
      <c r="K1662" s="10">
        <v>38932.515752314815</v>
      </c>
    </row>
    <row r="1663" spans="1:11" x14ac:dyDescent="0.25">
      <c r="A1663" s="8">
        <v>2733</v>
      </c>
      <c r="B1663" s="9" t="s">
        <v>6037</v>
      </c>
      <c r="C1663" s="9" t="s">
        <v>3340</v>
      </c>
      <c r="D1663" s="9" t="s">
        <v>139</v>
      </c>
      <c r="E1663" s="9" t="s">
        <v>1629</v>
      </c>
      <c r="F1663" s="9" t="s">
        <v>169</v>
      </c>
      <c r="G1663" s="9" t="s">
        <v>142</v>
      </c>
      <c r="H1663" s="9" t="s">
        <v>166</v>
      </c>
      <c r="I1663" s="9" t="s">
        <v>411</v>
      </c>
      <c r="J1663" s="9" t="s">
        <v>139</v>
      </c>
      <c r="K1663" s="10">
        <v>38932.517083333332</v>
      </c>
    </row>
    <row r="1664" spans="1:11" x14ac:dyDescent="0.25">
      <c r="A1664" s="8">
        <v>2736</v>
      </c>
      <c r="B1664" s="9" t="s">
        <v>6038</v>
      </c>
      <c r="C1664" s="9" t="s">
        <v>3341</v>
      </c>
      <c r="D1664" s="9" t="s">
        <v>139</v>
      </c>
      <c r="E1664" s="9" t="s">
        <v>286</v>
      </c>
      <c r="F1664" s="9" t="s">
        <v>141</v>
      </c>
      <c r="G1664" s="9" t="s">
        <v>142</v>
      </c>
      <c r="H1664" s="9" t="s">
        <v>139</v>
      </c>
      <c r="I1664" s="9" t="s">
        <v>411</v>
      </c>
      <c r="J1664" s="9" t="s">
        <v>139</v>
      </c>
      <c r="K1664" s="10">
        <v>38932.535902777781</v>
      </c>
    </row>
    <row r="1665" spans="1:11" x14ac:dyDescent="0.25">
      <c r="A1665" s="8">
        <v>2739</v>
      </c>
      <c r="B1665" s="9" t="s">
        <v>6039</v>
      </c>
      <c r="C1665" s="9" t="s">
        <v>3342</v>
      </c>
      <c r="D1665" s="9" t="s">
        <v>139</v>
      </c>
      <c r="E1665" s="9" t="s">
        <v>3343</v>
      </c>
      <c r="F1665" s="9" t="s">
        <v>3344</v>
      </c>
      <c r="G1665" s="9" t="s">
        <v>142</v>
      </c>
      <c r="H1665" s="9" t="s">
        <v>139</v>
      </c>
      <c r="I1665" s="9" t="s">
        <v>411</v>
      </c>
      <c r="J1665" s="9" t="s">
        <v>139</v>
      </c>
      <c r="K1665" s="10">
        <v>38932.539317129631</v>
      </c>
    </row>
    <row r="1666" spans="1:11" x14ac:dyDescent="0.25">
      <c r="A1666" s="8">
        <v>2743</v>
      </c>
      <c r="B1666" s="9" t="s">
        <v>6040</v>
      </c>
      <c r="C1666" s="9" t="s">
        <v>3345</v>
      </c>
      <c r="D1666" s="9" t="s">
        <v>139</v>
      </c>
      <c r="E1666" s="9" t="s">
        <v>2823</v>
      </c>
      <c r="F1666" s="9" t="s">
        <v>3346</v>
      </c>
      <c r="G1666" s="9" t="s">
        <v>142</v>
      </c>
      <c r="H1666" s="9" t="s">
        <v>139</v>
      </c>
      <c r="I1666" s="9" t="s">
        <v>411</v>
      </c>
      <c r="J1666" s="9" t="s">
        <v>139</v>
      </c>
      <c r="K1666" s="10">
        <v>38932.544444444444</v>
      </c>
    </row>
    <row r="1667" spans="1:11" x14ac:dyDescent="0.25">
      <c r="A1667" s="8">
        <v>2744</v>
      </c>
      <c r="B1667" s="9" t="s">
        <v>6041</v>
      </c>
      <c r="C1667" s="9" t="s">
        <v>3347</v>
      </c>
      <c r="D1667" s="9" t="s">
        <v>139</v>
      </c>
      <c r="E1667" s="9" t="s">
        <v>2823</v>
      </c>
      <c r="F1667" s="9" t="s">
        <v>3346</v>
      </c>
      <c r="G1667" s="9" t="s">
        <v>142</v>
      </c>
      <c r="H1667" s="9" t="s">
        <v>139</v>
      </c>
      <c r="I1667" s="9" t="s">
        <v>411</v>
      </c>
      <c r="J1667" s="9" t="s">
        <v>139</v>
      </c>
      <c r="K1667" s="10">
        <v>38932.545266203706</v>
      </c>
    </row>
    <row r="1668" spans="1:11" x14ac:dyDescent="0.25">
      <c r="A1668" s="8">
        <v>2746</v>
      </c>
      <c r="B1668" s="9" t="s">
        <v>6042</v>
      </c>
      <c r="C1668" s="9" t="s">
        <v>3348</v>
      </c>
      <c r="D1668" s="9" t="s">
        <v>139</v>
      </c>
      <c r="E1668" s="9" t="s">
        <v>3349</v>
      </c>
      <c r="F1668" s="9" t="s">
        <v>3350</v>
      </c>
      <c r="G1668" s="9" t="s">
        <v>142</v>
      </c>
      <c r="H1668" s="9" t="s">
        <v>139</v>
      </c>
      <c r="I1668" s="9" t="s">
        <v>411</v>
      </c>
      <c r="J1668" s="9" t="s">
        <v>139</v>
      </c>
      <c r="K1668" s="10">
        <v>38932.546932870369</v>
      </c>
    </row>
    <row r="1669" spans="1:11" x14ac:dyDescent="0.25">
      <c r="A1669" s="8">
        <v>2749</v>
      </c>
      <c r="B1669" s="9" t="s">
        <v>6043</v>
      </c>
      <c r="C1669" s="9" t="s">
        <v>3351</v>
      </c>
      <c r="D1669" s="9" t="s">
        <v>139</v>
      </c>
      <c r="E1669" s="9" t="s">
        <v>1612</v>
      </c>
      <c r="F1669" s="9" t="s">
        <v>3352</v>
      </c>
      <c r="G1669" s="9" t="s">
        <v>142</v>
      </c>
      <c r="H1669" s="9" t="s">
        <v>139</v>
      </c>
      <c r="I1669" s="9" t="s">
        <v>411</v>
      </c>
      <c r="J1669" s="9" t="s">
        <v>139</v>
      </c>
      <c r="K1669" s="10">
        <v>38932.551701388889</v>
      </c>
    </row>
    <row r="1670" spans="1:11" x14ac:dyDescent="0.25">
      <c r="A1670" s="8">
        <v>2753</v>
      </c>
      <c r="B1670" s="9" t="s">
        <v>6044</v>
      </c>
      <c r="C1670" s="9" t="s">
        <v>3353</v>
      </c>
      <c r="D1670" s="9" t="s">
        <v>139</v>
      </c>
      <c r="E1670" s="9" t="s">
        <v>2823</v>
      </c>
      <c r="F1670" s="9" t="s">
        <v>3346</v>
      </c>
      <c r="G1670" s="9" t="s">
        <v>142</v>
      </c>
      <c r="H1670" s="9" t="s">
        <v>139</v>
      </c>
      <c r="I1670" s="9" t="s">
        <v>411</v>
      </c>
      <c r="J1670" s="9" t="s">
        <v>139</v>
      </c>
      <c r="K1670" s="10">
        <v>38932.560243055559</v>
      </c>
    </row>
    <row r="1671" spans="1:11" x14ac:dyDescent="0.25">
      <c r="A1671" s="8">
        <v>2755</v>
      </c>
      <c r="B1671" s="9" t="s">
        <v>6045</v>
      </c>
      <c r="C1671" s="9" t="s">
        <v>3354</v>
      </c>
      <c r="D1671" s="9" t="s">
        <v>139</v>
      </c>
      <c r="E1671" s="9" t="s">
        <v>1500</v>
      </c>
      <c r="F1671" s="9" t="s">
        <v>1501</v>
      </c>
      <c r="G1671" s="9" t="s">
        <v>142</v>
      </c>
      <c r="H1671" s="9" t="s">
        <v>258</v>
      </c>
      <c r="I1671" s="9" t="s">
        <v>411</v>
      </c>
      <c r="J1671" s="9" t="s">
        <v>139</v>
      </c>
      <c r="K1671" s="10">
        <v>38932.562094907407</v>
      </c>
    </row>
    <row r="1672" spans="1:11" x14ac:dyDescent="0.25">
      <c r="A1672" s="8">
        <v>2756</v>
      </c>
      <c r="B1672" s="9" t="s">
        <v>6046</v>
      </c>
      <c r="C1672" s="9" t="s">
        <v>3355</v>
      </c>
      <c r="D1672" s="9" t="s">
        <v>139</v>
      </c>
      <c r="E1672" s="9" t="s">
        <v>3356</v>
      </c>
      <c r="F1672" s="9" t="s">
        <v>3034</v>
      </c>
      <c r="G1672" s="9" t="s">
        <v>142</v>
      </c>
      <c r="H1672" s="9" t="s">
        <v>139</v>
      </c>
      <c r="I1672" s="9" t="s">
        <v>411</v>
      </c>
      <c r="J1672" s="9" t="s">
        <v>139</v>
      </c>
      <c r="K1672" s="10">
        <v>38932.562662037039</v>
      </c>
    </row>
    <row r="1673" spans="1:11" x14ac:dyDescent="0.25">
      <c r="A1673" s="8">
        <v>2759</v>
      </c>
      <c r="B1673" s="9" t="s">
        <v>6047</v>
      </c>
      <c r="C1673" s="9" t="s">
        <v>3357</v>
      </c>
      <c r="D1673" s="9" t="s">
        <v>139</v>
      </c>
      <c r="E1673" s="9" t="s">
        <v>808</v>
      </c>
      <c r="F1673" s="9" t="s">
        <v>809</v>
      </c>
      <c r="G1673" s="9" t="s">
        <v>142</v>
      </c>
      <c r="H1673" s="9" t="s">
        <v>139</v>
      </c>
      <c r="I1673" s="9" t="s">
        <v>411</v>
      </c>
      <c r="J1673" s="9" t="s">
        <v>139</v>
      </c>
      <c r="K1673" s="10">
        <v>38932.56759259259</v>
      </c>
    </row>
    <row r="1674" spans="1:11" x14ac:dyDescent="0.25">
      <c r="A1674" s="8">
        <v>2760</v>
      </c>
      <c r="B1674" s="9" t="s">
        <v>6048</v>
      </c>
      <c r="C1674" s="9" t="s">
        <v>3358</v>
      </c>
      <c r="D1674" s="9" t="s">
        <v>139</v>
      </c>
      <c r="E1674" s="9" t="s">
        <v>1067</v>
      </c>
      <c r="F1674" s="9" t="s">
        <v>1068</v>
      </c>
      <c r="G1674" s="9" t="s">
        <v>142</v>
      </c>
      <c r="H1674" s="9" t="s">
        <v>139</v>
      </c>
      <c r="I1674" s="9" t="s">
        <v>411</v>
      </c>
      <c r="J1674" s="9" t="s">
        <v>139</v>
      </c>
      <c r="K1674" s="10">
        <v>38932.56827546296</v>
      </c>
    </row>
    <row r="1675" spans="1:11" x14ac:dyDescent="0.25">
      <c r="A1675" s="8">
        <v>2761</v>
      </c>
      <c r="B1675" s="9" t="s">
        <v>6049</v>
      </c>
      <c r="C1675" s="9" t="s">
        <v>3359</v>
      </c>
      <c r="D1675" s="9" t="s">
        <v>139</v>
      </c>
      <c r="E1675" s="9" t="s">
        <v>3360</v>
      </c>
      <c r="F1675" s="9" t="s">
        <v>3361</v>
      </c>
      <c r="G1675" s="9" t="s">
        <v>142</v>
      </c>
      <c r="H1675" s="9" t="s">
        <v>139</v>
      </c>
      <c r="I1675" s="9" t="s">
        <v>411</v>
      </c>
      <c r="J1675" s="9" t="s">
        <v>139</v>
      </c>
      <c r="K1675" s="10">
        <v>38932.569305555553</v>
      </c>
    </row>
    <row r="1676" spans="1:11" x14ac:dyDescent="0.25">
      <c r="A1676" s="8">
        <v>2762</v>
      </c>
      <c r="B1676" s="9" t="s">
        <v>6050</v>
      </c>
      <c r="C1676" s="9" t="s">
        <v>3362</v>
      </c>
      <c r="D1676" s="9" t="s">
        <v>139</v>
      </c>
      <c r="E1676" s="9" t="s">
        <v>3363</v>
      </c>
      <c r="F1676" s="9" t="s">
        <v>3364</v>
      </c>
      <c r="G1676" s="9" t="s">
        <v>142</v>
      </c>
      <c r="H1676" s="9" t="s">
        <v>139</v>
      </c>
      <c r="I1676" s="9" t="s">
        <v>411</v>
      </c>
      <c r="J1676" s="9" t="s">
        <v>139</v>
      </c>
      <c r="K1676" s="10">
        <v>38932.570115740738</v>
      </c>
    </row>
    <row r="1677" spans="1:11" x14ac:dyDescent="0.25">
      <c r="A1677" s="8">
        <v>2763</v>
      </c>
      <c r="B1677" s="9" t="s">
        <v>6051</v>
      </c>
      <c r="C1677" s="9" t="s">
        <v>3365</v>
      </c>
      <c r="D1677" s="9" t="s">
        <v>3366</v>
      </c>
      <c r="E1677" s="9" t="s">
        <v>1886</v>
      </c>
      <c r="F1677" s="9" t="s">
        <v>1887</v>
      </c>
      <c r="G1677" s="9" t="s">
        <v>142</v>
      </c>
      <c r="H1677" s="9" t="s">
        <v>166</v>
      </c>
      <c r="I1677" s="9" t="s">
        <v>411</v>
      </c>
      <c r="J1677" s="9" t="s">
        <v>139</v>
      </c>
      <c r="K1677" s="10">
        <v>38932.570891203701</v>
      </c>
    </row>
    <row r="1678" spans="1:11" x14ac:dyDescent="0.25">
      <c r="A1678" s="8">
        <v>2765</v>
      </c>
      <c r="B1678" s="9" t="s">
        <v>6052</v>
      </c>
      <c r="C1678" s="9" t="s">
        <v>3367</v>
      </c>
      <c r="D1678" s="9" t="s">
        <v>139</v>
      </c>
      <c r="E1678" s="9" t="s">
        <v>2097</v>
      </c>
      <c r="F1678" s="9" t="s">
        <v>2098</v>
      </c>
      <c r="G1678" s="9" t="s">
        <v>142</v>
      </c>
      <c r="H1678" s="9" t="s">
        <v>139</v>
      </c>
      <c r="I1678" s="9" t="s">
        <v>411</v>
      </c>
      <c r="J1678" s="9" t="s">
        <v>3368</v>
      </c>
      <c r="K1678" s="10">
        <v>38962.558993055558</v>
      </c>
    </row>
    <row r="1679" spans="1:11" x14ac:dyDescent="0.25">
      <c r="A1679" s="8">
        <v>2766</v>
      </c>
      <c r="B1679" s="9" t="s">
        <v>6053</v>
      </c>
      <c r="C1679" s="9" t="s">
        <v>3369</v>
      </c>
      <c r="D1679" s="9" t="s">
        <v>3370</v>
      </c>
      <c r="E1679" s="9" t="s">
        <v>3371</v>
      </c>
      <c r="F1679" s="9" t="s">
        <v>3372</v>
      </c>
      <c r="G1679" s="9" t="s">
        <v>142</v>
      </c>
      <c r="H1679" s="9" t="s">
        <v>139</v>
      </c>
      <c r="I1679" s="9" t="s">
        <v>411</v>
      </c>
      <c r="J1679" s="9" t="s">
        <v>3373</v>
      </c>
      <c r="K1679" s="10">
        <v>38962.57172453704</v>
      </c>
    </row>
    <row r="1680" spans="1:11" x14ac:dyDescent="0.25">
      <c r="A1680" s="8">
        <v>2767</v>
      </c>
      <c r="B1680" s="9" t="s">
        <v>6054</v>
      </c>
      <c r="C1680" s="9" t="s">
        <v>3374</v>
      </c>
      <c r="D1680" s="9" t="s">
        <v>139</v>
      </c>
      <c r="E1680" s="9" t="s">
        <v>815</v>
      </c>
      <c r="F1680" s="9" t="s">
        <v>816</v>
      </c>
      <c r="G1680" s="9" t="s">
        <v>142</v>
      </c>
      <c r="H1680" s="9" t="s">
        <v>241</v>
      </c>
      <c r="I1680" s="9" t="s">
        <v>411</v>
      </c>
      <c r="J1680" s="9" t="s">
        <v>3375</v>
      </c>
      <c r="K1680" s="10">
        <v>38962.590636574074</v>
      </c>
    </row>
    <row r="1681" spans="1:11" x14ac:dyDescent="0.25">
      <c r="A1681" s="8">
        <v>2768</v>
      </c>
      <c r="B1681" s="9" t="s">
        <v>6055</v>
      </c>
      <c r="C1681" s="9" t="s">
        <v>3376</v>
      </c>
      <c r="D1681" s="9" t="s">
        <v>3377</v>
      </c>
      <c r="E1681" s="9" t="s">
        <v>3378</v>
      </c>
      <c r="F1681" s="9" t="s">
        <v>3379</v>
      </c>
      <c r="G1681" s="9" t="s">
        <v>142</v>
      </c>
      <c r="H1681" s="9" t="s">
        <v>139</v>
      </c>
      <c r="I1681" s="9" t="s">
        <v>411</v>
      </c>
      <c r="J1681" s="9" t="s">
        <v>3380</v>
      </c>
      <c r="K1681" s="10">
        <v>38962.612615740742</v>
      </c>
    </row>
    <row r="1682" spans="1:11" x14ac:dyDescent="0.25">
      <c r="A1682" s="8">
        <v>2769</v>
      </c>
      <c r="B1682" s="9" t="s">
        <v>6056</v>
      </c>
      <c r="C1682" s="9" t="s">
        <v>3381</v>
      </c>
      <c r="D1682" s="9" t="s">
        <v>139</v>
      </c>
      <c r="E1682" s="9" t="s">
        <v>3382</v>
      </c>
      <c r="F1682" s="9" t="s">
        <v>3383</v>
      </c>
      <c r="G1682" s="9" t="s">
        <v>142</v>
      </c>
      <c r="H1682" s="9" t="s">
        <v>139</v>
      </c>
      <c r="I1682" s="9" t="s">
        <v>411</v>
      </c>
      <c r="J1682" s="9" t="s">
        <v>3384</v>
      </c>
      <c r="K1682" s="10">
        <v>38963.475497685184</v>
      </c>
    </row>
    <row r="1683" spans="1:11" x14ac:dyDescent="0.25">
      <c r="A1683" s="8">
        <v>2770</v>
      </c>
      <c r="B1683" s="9" t="s">
        <v>6057</v>
      </c>
      <c r="C1683" s="9" t="s">
        <v>3385</v>
      </c>
      <c r="D1683" s="9" t="s">
        <v>139</v>
      </c>
      <c r="E1683" s="9" t="s">
        <v>2843</v>
      </c>
      <c r="F1683" s="9" t="s">
        <v>2844</v>
      </c>
      <c r="G1683" s="9" t="s">
        <v>142</v>
      </c>
      <c r="H1683" s="9" t="s">
        <v>166</v>
      </c>
      <c r="I1683" s="9" t="s">
        <v>411</v>
      </c>
      <c r="J1683" s="9" t="s">
        <v>3386</v>
      </c>
      <c r="K1683" s="10">
        <v>38963.488194444442</v>
      </c>
    </row>
    <row r="1684" spans="1:11" x14ac:dyDescent="0.25">
      <c r="A1684" s="8">
        <v>2771</v>
      </c>
      <c r="B1684" s="9" t="s">
        <v>6058</v>
      </c>
      <c r="C1684" s="9" t="s">
        <v>3387</v>
      </c>
      <c r="D1684" s="9" t="s">
        <v>139</v>
      </c>
      <c r="E1684" s="9" t="s">
        <v>3388</v>
      </c>
      <c r="F1684" s="9" t="s">
        <v>3389</v>
      </c>
      <c r="G1684" s="9" t="s">
        <v>142</v>
      </c>
      <c r="H1684" s="9" t="s">
        <v>139</v>
      </c>
      <c r="I1684" s="9" t="s">
        <v>411</v>
      </c>
      <c r="J1684" s="9" t="s">
        <v>3390</v>
      </c>
      <c r="K1684" s="10">
        <v>38964.381898148145</v>
      </c>
    </row>
    <row r="1685" spans="1:11" x14ac:dyDescent="0.25">
      <c r="A1685" s="8">
        <v>2774</v>
      </c>
      <c r="B1685" s="9" t="s">
        <v>6059</v>
      </c>
      <c r="C1685" s="9" t="s">
        <v>3391</v>
      </c>
      <c r="D1685" s="9" t="s">
        <v>139</v>
      </c>
      <c r="E1685" s="9" t="s">
        <v>3033</v>
      </c>
      <c r="F1685" s="9" t="s">
        <v>3034</v>
      </c>
      <c r="G1685" s="9" t="s">
        <v>142</v>
      </c>
      <c r="H1685" s="9" t="s">
        <v>139</v>
      </c>
      <c r="I1685" s="9" t="s">
        <v>411</v>
      </c>
      <c r="J1685" s="9" t="s">
        <v>3392</v>
      </c>
      <c r="K1685" s="10">
        <v>38964.580312500002</v>
      </c>
    </row>
    <row r="1686" spans="1:11" x14ac:dyDescent="0.25">
      <c r="A1686" s="8">
        <v>2776</v>
      </c>
      <c r="B1686" s="9" t="s">
        <v>6060</v>
      </c>
      <c r="C1686" s="9" t="s">
        <v>3393</v>
      </c>
      <c r="D1686" s="9" t="s">
        <v>3394</v>
      </c>
      <c r="E1686" s="9" t="s">
        <v>3395</v>
      </c>
      <c r="F1686" s="9" t="s">
        <v>3396</v>
      </c>
      <c r="G1686" s="9" t="s">
        <v>1402</v>
      </c>
      <c r="H1686" s="9" t="s">
        <v>139</v>
      </c>
      <c r="I1686" s="9" t="s">
        <v>411</v>
      </c>
      <c r="J1686" s="9" t="s">
        <v>139</v>
      </c>
      <c r="K1686" s="10">
        <v>38964.591770833336</v>
      </c>
    </row>
    <row r="1687" spans="1:11" x14ac:dyDescent="0.25">
      <c r="A1687" s="8">
        <v>2779</v>
      </c>
      <c r="B1687" s="9" t="s">
        <v>6061</v>
      </c>
      <c r="C1687" s="9" t="s">
        <v>3397</v>
      </c>
      <c r="D1687" s="9" t="s">
        <v>3398</v>
      </c>
      <c r="E1687" s="9" t="s">
        <v>3399</v>
      </c>
      <c r="F1687" s="9" t="s">
        <v>1247</v>
      </c>
      <c r="G1687" s="9" t="s">
        <v>142</v>
      </c>
      <c r="H1687" s="9" t="s">
        <v>139</v>
      </c>
      <c r="I1687" s="9" t="s">
        <v>411</v>
      </c>
      <c r="J1687" s="9" t="s">
        <v>139</v>
      </c>
      <c r="K1687" s="10">
        <v>38965.548888888887</v>
      </c>
    </row>
    <row r="1688" spans="1:11" x14ac:dyDescent="0.25">
      <c r="A1688" s="8">
        <v>2780</v>
      </c>
      <c r="B1688" s="9" t="s">
        <v>6062</v>
      </c>
      <c r="C1688" s="9" t="s">
        <v>3400</v>
      </c>
      <c r="D1688" s="9" t="s">
        <v>139</v>
      </c>
      <c r="E1688" s="9" t="s">
        <v>3401</v>
      </c>
      <c r="F1688" s="9" t="s">
        <v>443</v>
      </c>
      <c r="G1688" s="9" t="s">
        <v>444</v>
      </c>
      <c r="H1688" s="9" t="s">
        <v>139</v>
      </c>
      <c r="I1688" s="9" t="s">
        <v>411</v>
      </c>
      <c r="J1688" s="9" t="s">
        <v>3402</v>
      </c>
      <c r="K1688" s="10">
        <v>38965.550486111111</v>
      </c>
    </row>
    <row r="1689" spans="1:11" x14ac:dyDescent="0.25">
      <c r="A1689" s="8">
        <v>2782</v>
      </c>
      <c r="B1689" s="9" t="s">
        <v>6063</v>
      </c>
      <c r="C1689" s="9" t="s">
        <v>3403</v>
      </c>
      <c r="D1689" s="9" t="s">
        <v>3404</v>
      </c>
      <c r="E1689" s="9" t="s">
        <v>3405</v>
      </c>
      <c r="F1689" s="9" t="s">
        <v>3406</v>
      </c>
      <c r="G1689" s="9" t="s">
        <v>621</v>
      </c>
      <c r="H1689" s="9" t="s">
        <v>139</v>
      </c>
      <c r="I1689" s="9" t="s">
        <v>411</v>
      </c>
      <c r="J1689" s="9" t="s">
        <v>3407</v>
      </c>
      <c r="K1689" s="10">
        <v>38965.5546412037</v>
      </c>
    </row>
    <row r="1690" spans="1:11" x14ac:dyDescent="0.25">
      <c r="A1690" s="8">
        <v>2783</v>
      </c>
      <c r="B1690" s="9" t="s">
        <v>6064</v>
      </c>
      <c r="C1690" s="9" t="s">
        <v>3408</v>
      </c>
      <c r="D1690" s="9" t="s">
        <v>139</v>
      </c>
      <c r="E1690" s="9" t="s">
        <v>3409</v>
      </c>
      <c r="F1690" s="9" t="s">
        <v>3410</v>
      </c>
      <c r="G1690" s="9" t="s">
        <v>882</v>
      </c>
      <c r="H1690" s="9" t="s">
        <v>139</v>
      </c>
      <c r="I1690" s="9" t="s">
        <v>411</v>
      </c>
      <c r="J1690" s="9" t="s">
        <v>139</v>
      </c>
      <c r="K1690" s="10">
        <v>38965.556319444448</v>
      </c>
    </row>
    <row r="1691" spans="1:11" x14ac:dyDescent="0.25">
      <c r="A1691" s="8">
        <v>2784</v>
      </c>
      <c r="B1691" s="9" t="s">
        <v>6065</v>
      </c>
      <c r="C1691" s="9" t="s">
        <v>3411</v>
      </c>
      <c r="D1691" s="9" t="s">
        <v>3412</v>
      </c>
      <c r="E1691" s="9" t="s">
        <v>3413</v>
      </c>
      <c r="F1691" s="9" t="s">
        <v>3414</v>
      </c>
      <c r="G1691" s="9" t="s">
        <v>142</v>
      </c>
      <c r="H1691" s="9" t="s">
        <v>139</v>
      </c>
      <c r="I1691" s="9" t="s">
        <v>411</v>
      </c>
      <c r="J1691" s="9" t="s">
        <v>139</v>
      </c>
      <c r="K1691" s="10">
        <v>38966.414513888885</v>
      </c>
    </row>
    <row r="1692" spans="1:11" x14ac:dyDescent="0.25">
      <c r="A1692" s="8">
        <v>2785</v>
      </c>
      <c r="B1692" s="9" t="s">
        <v>6066</v>
      </c>
      <c r="C1692" s="9" t="s">
        <v>3415</v>
      </c>
      <c r="D1692" s="9" t="s">
        <v>139</v>
      </c>
      <c r="E1692" s="9" t="s">
        <v>3416</v>
      </c>
      <c r="F1692" s="9" t="s">
        <v>3417</v>
      </c>
      <c r="G1692" s="9" t="s">
        <v>142</v>
      </c>
      <c r="H1692" s="9" t="s">
        <v>139</v>
      </c>
      <c r="I1692" s="9" t="s">
        <v>411</v>
      </c>
      <c r="J1692" s="9" t="s">
        <v>139</v>
      </c>
      <c r="K1692" s="10">
        <v>38967.803252314814</v>
      </c>
    </row>
    <row r="1693" spans="1:11" x14ac:dyDescent="0.25">
      <c r="A1693" s="8">
        <v>2786</v>
      </c>
      <c r="B1693" s="9" t="s">
        <v>6067</v>
      </c>
      <c r="C1693" s="9" t="s">
        <v>139</v>
      </c>
      <c r="D1693" s="9" t="s">
        <v>139</v>
      </c>
      <c r="E1693" s="9" t="s">
        <v>3418</v>
      </c>
      <c r="F1693" s="9" t="s">
        <v>3419</v>
      </c>
      <c r="G1693" s="9" t="s">
        <v>1042</v>
      </c>
      <c r="H1693" s="9" t="s">
        <v>139</v>
      </c>
      <c r="I1693" s="9" t="s">
        <v>411</v>
      </c>
      <c r="J1693" s="9" t="s">
        <v>139</v>
      </c>
      <c r="K1693" s="10">
        <v>38967.805405092593</v>
      </c>
    </row>
    <row r="1694" spans="1:11" x14ac:dyDescent="0.25">
      <c r="A1694" s="8">
        <v>2791</v>
      </c>
      <c r="B1694" s="9" t="s">
        <v>6068</v>
      </c>
      <c r="C1694" s="9" t="s">
        <v>3420</v>
      </c>
      <c r="D1694" s="9" t="s">
        <v>139</v>
      </c>
      <c r="E1694" s="9" t="s">
        <v>3421</v>
      </c>
      <c r="F1694" s="9" t="s">
        <v>3422</v>
      </c>
      <c r="G1694" s="9" t="s">
        <v>142</v>
      </c>
      <c r="H1694" s="9" t="s">
        <v>139</v>
      </c>
      <c r="I1694" s="9" t="s">
        <v>411</v>
      </c>
      <c r="J1694" s="9" t="s">
        <v>139</v>
      </c>
      <c r="K1694" s="10">
        <v>38968.746076388888</v>
      </c>
    </row>
    <row r="1695" spans="1:11" x14ac:dyDescent="0.25">
      <c r="A1695" s="8">
        <v>2792</v>
      </c>
      <c r="B1695" s="9" t="s">
        <v>6069</v>
      </c>
      <c r="C1695" s="9" t="s">
        <v>3423</v>
      </c>
      <c r="D1695" s="9" t="s">
        <v>139</v>
      </c>
      <c r="E1695" s="9" t="s">
        <v>3424</v>
      </c>
      <c r="F1695" s="9" t="s">
        <v>3425</v>
      </c>
      <c r="G1695" s="9" t="s">
        <v>142</v>
      </c>
      <c r="H1695" s="9" t="s">
        <v>166</v>
      </c>
      <c r="I1695" s="9" t="s">
        <v>411</v>
      </c>
      <c r="J1695" s="9" t="s">
        <v>139</v>
      </c>
      <c r="K1695" s="10">
        <v>38968.748182870368</v>
      </c>
    </row>
    <row r="1696" spans="1:11" x14ac:dyDescent="0.25">
      <c r="A1696" s="8">
        <v>2795</v>
      </c>
      <c r="B1696" s="9" t="s">
        <v>6070</v>
      </c>
      <c r="C1696" s="9" t="s">
        <v>3426</v>
      </c>
      <c r="D1696" s="9" t="s">
        <v>139</v>
      </c>
      <c r="E1696" s="9" t="s">
        <v>3427</v>
      </c>
      <c r="F1696" s="9" t="s">
        <v>3428</v>
      </c>
      <c r="G1696" s="9" t="s">
        <v>142</v>
      </c>
      <c r="H1696" s="9" t="s">
        <v>166</v>
      </c>
      <c r="I1696" s="9" t="s">
        <v>411</v>
      </c>
      <c r="J1696" s="9" t="s">
        <v>139</v>
      </c>
      <c r="K1696" s="10">
        <v>38968.755937499998</v>
      </c>
    </row>
    <row r="1697" spans="1:11" x14ac:dyDescent="0.25">
      <c r="A1697" s="8">
        <v>2796</v>
      </c>
      <c r="B1697" s="9" t="s">
        <v>6071</v>
      </c>
      <c r="C1697" s="9" t="s">
        <v>139</v>
      </c>
      <c r="D1697" s="9" t="s">
        <v>139</v>
      </c>
      <c r="E1697" s="9">
        <v>75</v>
      </c>
      <c r="F1697" s="9" t="s">
        <v>413</v>
      </c>
      <c r="G1697" s="9" t="s">
        <v>142</v>
      </c>
      <c r="H1697" s="9" t="s">
        <v>139</v>
      </c>
      <c r="I1697" s="9" t="s">
        <v>411</v>
      </c>
      <c r="J1697" s="9" t="s">
        <v>139</v>
      </c>
      <c r="K1697" s="10">
        <v>38968.774525462963</v>
      </c>
    </row>
    <row r="1698" spans="1:11" x14ac:dyDescent="0.25">
      <c r="A1698" s="8">
        <v>2799</v>
      </c>
      <c r="B1698" s="9" t="s">
        <v>6072</v>
      </c>
      <c r="C1698" s="9" t="s">
        <v>139</v>
      </c>
      <c r="D1698" s="9" t="s">
        <v>139</v>
      </c>
      <c r="E1698" s="9">
        <v>75</v>
      </c>
      <c r="F1698" s="9" t="s">
        <v>413</v>
      </c>
      <c r="G1698" s="9" t="s">
        <v>142</v>
      </c>
      <c r="H1698" s="9" t="s">
        <v>139</v>
      </c>
      <c r="I1698" s="9" t="s">
        <v>411</v>
      </c>
      <c r="J1698" s="9" t="s">
        <v>139</v>
      </c>
      <c r="K1698" s="10">
        <v>38968.789201388892</v>
      </c>
    </row>
    <row r="1699" spans="1:11" x14ac:dyDescent="0.25">
      <c r="A1699" s="8">
        <v>2800</v>
      </c>
      <c r="B1699" s="9" t="s">
        <v>6073</v>
      </c>
      <c r="C1699" s="9" t="s">
        <v>3429</v>
      </c>
      <c r="D1699" s="9" t="s">
        <v>3430</v>
      </c>
      <c r="E1699" s="9" t="s">
        <v>3431</v>
      </c>
      <c r="F1699" s="9" t="s">
        <v>1880</v>
      </c>
      <c r="G1699" s="9" t="s">
        <v>142</v>
      </c>
      <c r="H1699" s="9" t="s">
        <v>241</v>
      </c>
      <c r="I1699" s="9" t="s">
        <v>411</v>
      </c>
      <c r="J1699" s="9" t="s">
        <v>3432</v>
      </c>
      <c r="K1699" s="10">
        <v>38969.884247685186</v>
      </c>
    </row>
    <row r="1700" spans="1:11" x14ac:dyDescent="0.25">
      <c r="A1700" s="8">
        <v>2801</v>
      </c>
      <c r="B1700" s="9" t="s">
        <v>9265</v>
      </c>
      <c r="C1700" s="9" t="s">
        <v>3433</v>
      </c>
      <c r="D1700" s="9" t="s">
        <v>139</v>
      </c>
      <c r="E1700" s="9" t="s">
        <v>1164</v>
      </c>
      <c r="F1700" s="9" t="s">
        <v>3434</v>
      </c>
      <c r="G1700" s="9" t="s">
        <v>142</v>
      </c>
      <c r="H1700" s="9" t="s">
        <v>139</v>
      </c>
      <c r="I1700" s="9" t="s">
        <v>143</v>
      </c>
      <c r="J1700" s="9" t="s">
        <v>139</v>
      </c>
      <c r="K1700" s="10">
        <v>38973.469849537039</v>
      </c>
    </row>
    <row r="1701" spans="1:11" x14ac:dyDescent="0.25">
      <c r="A1701" s="8">
        <v>2805</v>
      </c>
      <c r="B1701" s="9" t="s">
        <v>6074</v>
      </c>
      <c r="C1701" s="9" t="s">
        <v>3435</v>
      </c>
      <c r="D1701" s="9" t="s">
        <v>139</v>
      </c>
      <c r="E1701" s="9" t="s">
        <v>865</v>
      </c>
      <c r="F1701" s="9" t="s">
        <v>866</v>
      </c>
      <c r="G1701" s="9" t="s">
        <v>142</v>
      </c>
      <c r="H1701" s="9" t="s">
        <v>241</v>
      </c>
      <c r="I1701" s="9" t="s">
        <v>411</v>
      </c>
      <c r="J1701" s="9" t="s">
        <v>3436</v>
      </c>
      <c r="K1701" s="10">
        <v>38981.49113425926</v>
      </c>
    </row>
    <row r="1702" spans="1:11" x14ac:dyDescent="0.25">
      <c r="A1702" s="8">
        <v>2806</v>
      </c>
      <c r="B1702" s="9" t="s">
        <v>6075</v>
      </c>
      <c r="C1702" s="9" t="s">
        <v>3437</v>
      </c>
      <c r="D1702" s="9" t="s">
        <v>139</v>
      </c>
      <c r="E1702" s="9" t="s">
        <v>3438</v>
      </c>
      <c r="F1702" s="9" t="s">
        <v>3439</v>
      </c>
      <c r="G1702" s="9" t="s">
        <v>142</v>
      </c>
      <c r="H1702" s="9" t="s">
        <v>139</v>
      </c>
      <c r="I1702" s="9" t="s">
        <v>411</v>
      </c>
      <c r="J1702" s="9" t="s">
        <v>3440</v>
      </c>
      <c r="K1702" s="10">
        <v>38981.495196759257</v>
      </c>
    </row>
    <row r="1703" spans="1:11" x14ac:dyDescent="0.25">
      <c r="A1703" s="8">
        <v>2810</v>
      </c>
      <c r="B1703" s="9" t="s">
        <v>6076</v>
      </c>
      <c r="C1703" s="9" t="s">
        <v>3441</v>
      </c>
      <c r="D1703" s="9" t="s">
        <v>139</v>
      </c>
      <c r="E1703" s="9" t="s">
        <v>3442</v>
      </c>
      <c r="F1703" s="9" t="s">
        <v>3443</v>
      </c>
      <c r="G1703" s="9" t="s">
        <v>142</v>
      </c>
      <c r="H1703" s="9" t="s">
        <v>139</v>
      </c>
      <c r="I1703" s="9" t="s">
        <v>411</v>
      </c>
      <c r="J1703" s="9" t="s">
        <v>139</v>
      </c>
      <c r="K1703" s="10">
        <v>38981.551550925928</v>
      </c>
    </row>
    <row r="1704" spans="1:11" x14ac:dyDescent="0.25">
      <c r="A1704" s="8">
        <v>2814</v>
      </c>
      <c r="B1704" s="9" t="s">
        <v>9266</v>
      </c>
      <c r="C1704" s="9" t="s">
        <v>139</v>
      </c>
      <c r="D1704" s="9" t="s">
        <v>139</v>
      </c>
      <c r="E1704" s="9">
        <v>75</v>
      </c>
      <c r="F1704" s="9" t="s">
        <v>413</v>
      </c>
      <c r="G1704" s="9" t="s">
        <v>142</v>
      </c>
      <c r="H1704" s="9" t="s">
        <v>139</v>
      </c>
      <c r="I1704" s="9" t="s">
        <v>143</v>
      </c>
      <c r="J1704" s="9" t="s">
        <v>139</v>
      </c>
      <c r="K1704" s="10">
        <v>38982.749178240738</v>
      </c>
    </row>
    <row r="1705" spans="1:11" x14ac:dyDescent="0.25">
      <c r="A1705" s="8">
        <v>2815</v>
      </c>
      <c r="B1705" s="9" t="s">
        <v>6077</v>
      </c>
      <c r="C1705" s="9" t="s">
        <v>3444</v>
      </c>
      <c r="D1705" s="9" t="s">
        <v>139</v>
      </c>
      <c r="E1705" s="9" t="s">
        <v>212</v>
      </c>
      <c r="F1705" s="9" t="s">
        <v>141</v>
      </c>
      <c r="G1705" s="9" t="s">
        <v>142</v>
      </c>
      <c r="H1705" s="9" t="s">
        <v>139</v>
      </c>
      <c r="I1705" s="9" t="s">
        <v>411</v>
      </c>
      <c r="J1705" s="9" t="s">
        <v>139</v>
      </c>
      <c r="K1705" s="10">
        <v>38985.938449074078</v>
      </c>
    </row>
    <row r="1706" spans="1:11" x14ac:dyDescent="0.25">
      <c r="A1706" s="8">
        <v>2816</v>
      </c>
      <c r="B1706" s="9" t="s">
        <v>8426</v>
      </c>
      <c r="C1706" s="9" t="s">
        <v>3445</v>
      </c>
      <c r="D1706" s="9" t="s">
        <v>139</v>
      </c>
      <c r="E1706" s="9" t="s">
        <v>718</v>
      </c>
      <c r="F1706" s="9" t="s">
        <v>3446</v>
      </c>
      <c r="G1706" s="9" t="s">
        <v>142</v>
      </c>
      <c r="H1706" s="9" t="s">
        <v>139</v>
      </c>
      <c r="I1706" s="9" t="s">
        <v>617</v>
      </c>
      <c r="J1706" s="9" t="s">
        <v>139</v>
      </c>
      <c r="K1706" s="10">
        <v>38987.872824074075</v>
      </c>
    </row>
    <row r="1707" spans="1:11" x14ac:dyDescent="0.25">
      <c r="A1707" s="8">
        <v>2818</v>
      </c>
      <c r="B1707" s="9" t="s">
        <v>6078</v>
      </c>
      <c r="C1707" s="9" t="s">
        <v>3447</v>
      </c>
      <c r="D1707" s="9" t="s">
        <v>139</v>
      </c>
      <c r="E1707" s="9" t="s">
        <v>756</v>
      </c>
      <c r="F1707" s="9" t="s">
        <v>757</v>
      </c>
      <c r="G1707" s="9" t="s">
        <v>142</v>
      </c>
      <c r="H1707" s="9" t="s">
        <v>139</v>
      </c>
      <c r="I1707" s="9" t="s">
        <v>411</v>
      </c>
      <c r="J1707" s="9" t="s">
        <v>3448</v>
      </c>
      <c r="K1707" s="10">
        <v>38988.771747685183</v>
      </c>
    </row>
    <row r="1708" spans="1:11" x14ac:dyDescent="0.25">
      <c r="A1708" s="8">
        <v>2819</v>
      </c>
      <c r="B1708" s="9" t="s">
        <v>6079</v>
      </c>
      <c r="C1708" s="9" t="s">
        <v>3449</v>
      </c>
      <c r="D1708" s="9" t="s">
        <v>139</v>
      </c>
      <c r="E1708" s="9" t="s">
        <v>260</v>
      </c>
      <c r="F1708" s="9" t="s">
        <v>1944</v>
      </c>
      <c r="G1708" s="9" t="s">
        <v>142</v>
      </c>
      <c r="H1708" s="9" t="s">
        <v>139</v>
      </c>
      <c r="I1708" s="9" t="s">
        <v>411</v>
      </c>
      <c r="J1708" s="9" t="s">
        <v>3450</v>
      </c>
      <c r="K1708" s="10">
        <v>38989.477534722224</v>
      </c>
    </row>
    <row r="1709" spans="1:11" x14ac:dyDescent="0.25">
      <c r="A1709" s="8">
        <v>2821</v>
      </c>
      <c r="B1709" s="9" t="s">
        <v>6080</v>
      </c>
      <c r="C1709" s="9" t="s">
        <v>3451</v>
      </c>
      <c r="D1709" s="9" t="s">
        <v>139</v>
      </c>
      <c r="E1709" s="9" t="s">
        <v>3452</v>
      </c>
      <c r="F1709" s="9" t="s">
        <v>3453</v>
      </c>
      <c r="G1709" s="9" t="s">
        <v>142</v>
      </c>
      <c r="H1709" s="9" t="s">
        <v>139</v>
      </c>
      <c r="I1709" s="9" t="s">
        <v>411</v>
      </c>
      <c r="J1709" s="9" t="s">
        <v>3454</v>
      </c>
      <c r="K1709" s="10">
        <v>38990.692129629628</v>
      </c>
    </row>
    <row r="1710" spans="1:11" x14ac:dyDescent="0.25">
      <c r="A1710" s="8">
        <v>2822</v>
      </c>
      <c r="B1710" s="9" t="s">
        <v>6081</v>
      </c>
      <c r="C1710" s="9" t="s">
        <v>3455</v>
      </c>
      <c r="D1710" s="9" t="s">
        <v>139</v>
      </c>
      <c r="E1710" s="9" t="s">
        <v>3456</v>
      </c>
      <c r="F1710" s="9" t="s">
        <v>3457</v>
      </c>
      <c r="G1710" s="9" t="s">
        <v>142</v>
      </c>
      <c r="H1710" s="9" t="s">
        <v>241</v>
      </c>
      <c r="I1710" s="9" t="s">
        <v>411</v>
      </c>
      <c r="J1710" s="9" t="s">
        <v>3458</v>
      </c>
      <c r="K1710" s="10">
        <v>38990.695162037038</v>
      </c>
    </row>
    <row r="1711" spans="1:11" x14ac:dyDescent="0.25">
      <c r="A1711" s="8">
        <v>2823</v>
      </c>
      <c r="B1711" s="9" t="s">
        <v>6082</v>
      </c>
      <c r="C1711" s="9" t="s">
        <v>3459</v>
      </c>
      <c r="D1711" s="9" t="s">
        <v>139</v>
      </c>
      <c r="E1711" s="9" t="s">
        <v>3202</v>
      </c>
      <c r="F1711" s="9" t="s">
        <v>3203</v>
      </c>
      <c r="G1711" s="9" t="s">
        <v>142</v>
      </c>
      <c r="H1711" s="9" t="s">
        <v>258</v>
      </c>
      <c r="I1711" s="9" t="s">
        <v>411</v>
      </c>
      <c r="J1711" s="9" t="s">
        <v>3460</v>
      </c>
      <c r="K1711" s="10">
        <v>38990.703750000001</v>
      </c>
    </row>
    <row r="1712" spans="1:11" x14ac:dyDescent="0.25">
      <c r="A1712" s="8">
        <v>2824</v>
      </c>
      <c r="B1712" s="9" t="s">
        <v>6083</v>
      </c>
      <c r="C1712" s="9" t="s">
        <v>3461</v>
      </c>
      <c r="D1712" s="9" t="s">
        <v>139</v>
      </c>
      <c r="E1712" s="9" t="s">
        <v>3462</v>
      </c>
      <c r="F1712" s="9" t="s">
        <v>3463</v>
      </c>
      <c r="G1712" s="9" t="s">
        <v>142</v>
      </c>
      <c r="H1712" s="9" t="s">
        <v>166</v>
      </c>
      <c r="I1712" s="9" t="s">
        <v>411</v>
      </c>
      <c r="J1712" s="9" t="s">
        <v>3464</v>
      </c>
      <c r="K1712" s="10">
        <v>38990.712430555555</v>
      </c>
    </row>
    <row r="1713" spans="1:11" x14ac:dyDescent="0.25">
      <c r="A1713" s="8">
        <v>2826</v>
      </c>
      <c r="B1713" s="9" t="s">
        <v>6084</v>
      </c>
      <c r="C1713" s="9" t="s">
        <v>3465</v>
      </c>
      <c r="D1713" s="9" t="s">
        <v>139</v>
      </c>
      <c r="E1713" s="9" t="s">
        <v>2656</v>
      </c>
      <c r="F1713" s="9" t="s">
        <v>2657</v>
      </c>
      <c r="G1713" s="9" t="s">
        <v>142</v>
      </c>
      <c r="H1713" s="9" t="s">
        <v>139</v>
      </c>
      <c r="I1713" s="9" t="s">
        <v>411</v>
      </c>
      <c r="J1713" s="9" t="s">
        <v>3466</v>
      </c>
      <c r="K1713" s="10">
        <v>38990.725844907407</v>
      </c>
    </row>
    <row r="1714" spans="1:11" x14ac:dyDescent="0.25">
      <c r="A1714" s="8">
        <v>2828</v>
      </c>
      <c r="B1714" s="9" t="s">
        <v>6085</v>
      </c>
      <c r="C1714" s="9" t="s">
        <v>3467</v>
      </c>
      <c r="D1714" s="9" t="s">
        <v>139</v>
      </c>
      <c r="E1714" s="9" t="s">
        <v>3468</v>
      </c>
      <c r="F1714" s="9" t="s">
        <v>3469</v>
      </c>
      <c r="G1714" s="9" t="s">
        <v>142</v>
      </c>
      <c r="H1714" s="9" t="s">
        <v>241</v>
      </c>
      <c r="I1714" s="9" t="s">
        <v>411</v>
      </c>
      <c r="J1714" s="9" t="s">
        <v>3470</v>
      </c>
      <c r="K1714" s="10">
        <v>38990.747870370367</v>
      </c>
    </row>
    <row r="1715" spans="1:11" x14ac:dyDescent="0.25">
      <c r="A1715" s="8">
        <v>2829</v>
      </c>
      <c r="B1715" s="9" t="s">
        <v>6086</v>
      </c>
      <c r="C1715" s="9" t="s">
        <v>139</v>
      </c>
      <c r="D1715" s="9" t="s">
        <v>139</v>
      </c>
      <c r="E1715" s="9" t="s">
        <v>3471</v>
      </c>
      <c r="F1715" s="9" t="s">
        <v>3472</v>
      </c>
      <c r="G1715" s="9" t="s">
        <v>142</v>
      </c>
      <c r="H1715" s="9" t="s">
        <v>139</v>
      </c>
      <c r="I1715" s="9" t="s">
        <v>411</v>
      </c>
      <c r="J1715" s="9" t="s">
        <v>139</v>
      </c>
      <c r="K1715" s="10">
        <v>38990.790891203702</v>
      </c>
    </row>
    <row r="1716" spans="1:11" x14ac:dyDescent="0.25">
      <c r="A1716" s="8">
        <v>2831</v>
      </c>
      <c r="B1716" s="9" t="s">
        <v>6087</v>
      </c>
      <c r="C1716" s="9" t="s">
        <v>3473</v>
      </c>
      <c r="D1716" s="9" t="s">
        <v>139</v>
      </c>
      <c r="E1716" s="9" t="s">
        <v>202</v>
      </c>
      <c r="F1716" s="9" t="s">
        <v>141</v>
      </c>
      <c r="G1716" s="9" t="s">
        <v>142</v>
      </c>
      <c r="H1716" s="9" t="s">
        <v>139</v>
      </c>
      <c r="I1716" s="9" t="s">
        <v>411</v>
      </c>
      <c r="J1716" s="9" t="s">
        <v>3474</v>
      </c>
      <c r="K1716" s="10">
        <v>38990.840127314812</v>
      </c>
    </row>
    <row r="1717" spans="1:11" x14ac:dyDescent="0.25">
      <c r="A1717" s="8">
        <v>2832</v>
      </c>
      <c r="B1717" s="9" t="s">
        <v>6088</v>
      </c>
      <c r="C1717" s="9" t="s">
        <v>3475</v>
      </c>
      <c r="D1717" s="9" t="s">
        <v>139</v>
      </c>
      <c r="E1717" s="9" t="s">
        <v>3476</v>
      </c>
      <c r="F1717" s="9" t="s">
        <v>420</v>
      </c>
      <c r="G1717" s="9" t="s">
        <v>142</v>
      </c>
      <c r="H1717" s="9" t="s">
        <v>139</v>
      </c>
      <c r="I1717" s="9" t="s">
        <v>411</v>
      </c>
      <c r="J1717" s="9" t="s">
        <v>3477</v>
      </c>
      <c r="K1717" s="10">
        <v>38992.577870370369</v>
      </c>
    </row>
    <row r="1718" spans="1:11" x14ac:dyDescent="0.25">
      <c r="A1718" s="8">
        <v>2833</v>
      </c>
      <c r="B1718" s="9" t="s">
        <v>6089</v>
      </c>
      <c r="C1718" s="9" t="s">
        <v>3478</v>
      </c>
      <c r="D1718" s="9" t="s">
        <v>139</v>
      </c>
      <c r="E1718" s="9" t="s">
        <v>3479</v>
      </c>
      <c r="F1718" s="9" t="s">
        <v>3480</v>
      </c>
      <c r="G1718" s="9" t="s">
        <v>142</v>
      </c>
      <c r="H1718" s="9" t="s">
        <v>321</v>
      </c>
      <c r="I1718" s="9" t="s">
        <v>411</v>
      </c>
      <c r="J1718" s="9" t="s">
        <v>3481</v>
      </c>
      <c r="K1718" s="10">
        <v>38993.540162037039</v>
      </c>
    </row>
    <row r="1719" spans="1:11" x14ac:dyDescent="0.25">
      <c r="A1719" s="8">
        <v>2834</v>
      </c>
      <c r="B1719" s="9" t="s">
        <v>6090</v>
      </c>
      <c r="C1719" s="9" t="s">
        <v>3482</v>
      </c>
      <c r="D1719" s="9" t="s">
        <v>139</v>
      </c>
      <c r="E1719" s="9" t="s">
        <v>3483</v>
      </c>
      <c r="F1719" s="9" t="s">
        <v>3484</v>
      </c>
      <c r="G1719" s="9" t="s">
        <v>142</v>
      </c>
      <c r="H1719" s="9" t="s">
        <v>241</v>
      </c>
      <c r="I1719" s="9" t="s">
        <v>411</v>
      </c>
      <c r="J1719" s="9" t="s">
        <v>139</v>
      </c>
      <c r="K1719" s="10">
        <v>38994.689606481479</v>
      </c>
    </row>
    <row r="1720" spans="1:11" x14ac:dyDescent="0.25">
      <c r="A1720" s="8">
        <v>2836</v>
      </c>
      <c r="B1720" s="9" t="s">
        <v>6091</v>
      </c>
      <c r="C1720" s="9" t="s">
        <v>3485</v>
      </c>
      <c r="D1720" s="9" t="s">
        <v>139</v>
      </c>
      <c r="E1720" s="9" t="s">
        <v>1232</v>
      </c>
      <c r="F1720" s="9" t="s">
        <v>1233</v>
      </c>
      <c r="G1720" s="9" t="s">
        <v>142</v>
      </c>
      <c r="H1720" s="9" t="s">
        <v>139</v>
      </c>
      <c r="I1720" s="9" t="s">
        <v>411</v>
      </c>
      <c r="J1720" s="9" t="s">
        <v>3486</v>
      </c>
      <c r="K1720" s="10">
        <v>38994.692824074074</v>
      </c>
    </row>
    <row r="1721" spans="1:11" x14ac:dyDescent="0.25">
      <c r="A1721" s="8">
        <v>2837</v>
      </c>
      <c r="B1721" s="9" t="s">
        <v>6092</v>
      </c>
      <c r="C1721" s="9" t="s">
        <v>3487</v>
      </c>
      <c r="D1721" s="9" t="s">
        <v>139</v>
      </c>
      <c r="E1721" s="9" t="s">
        <v>3488</v>
      </c>
      <c r="F1721" s="9" t="s">
        <v>3489</v>
      </c>
      <c r="G1721" s="9" t="s">
        <v>142</v>
      </c>
      <c r="H1721" s="9" t="s">
        <v>139</v>
      </c>
      <c r="I1721" s="9" t="s">
        <v>411</v>
      </c>
      <c r="J1721" s="9" t="s">
        <v>3490</v>
      </c>
      <c r="K1721" s="10">
        <v>38996.485995370371</v>
      </c>
    </row>
    <row r="1722" spans="1:11" x14ac:dyDescent="0.25">
      <c r="A1722" s="8">
        <v>2840</v>
      </c>
      <c r="B1722" s="9" t="s">
        <v>8427</v>
      </c>
      <c r="C1722" s="9" t="s">
        <v>3491</v>
      </c>
      <c r="D1722" s="9" t="s">
        <v>139</v>
      </c>
      <c r="E1722" s="9" t="s">
        <v>3492</v>
      </c>
      <c r="F1722" s="9" t="s">
        <v>872</v>
      </c>
      <c r="G1722" s="9" t="s">
        <v>873</v>
      </c>
      <c r="H1722" s="9" t="s">
        <v>139</v>
      </c>
      <c r="I1722" s="9" t="s">
        <v>617</v>
      </c>
      <c r="J1722" s="9" t="s">
        <v>139</v>
      </c>
      <c r="K1722" s="10">
        <v>38999.486041666663</v>
      </c>
    </row>
    <row r="1723" spans="1:11" x14ac:dyDescent="0.25">
      <c r="A1723" s="8">
        <v>2841</v>
      </c>
      <c r="B1723" s="9" t="s">
        <v>6093</v>
      </c>
      <c r="C1723" s="9" t="s">
        <v>3493</v>
      </c>
      <c r="D1723" s="9" t="s">
        <v>139</v>
      </c>
      <c r="E1723" s="9" t="s">
        <v>282</v>
      </c>
      <c r="F1723" s="9" t="s">
        <v>283</v>
      </c>
      <c r="G1723" s="9" t="s">
        <v>142</v>
      </c>
      <c r="H1723" s="9" t="s">
        <v>166</v>
      </c>
      <c r="I1723" s="9" t="s">
        <v>411</v>
      </c>
      <c r="J1723" s="9" t="s">
        <v>3494</v>
      </c>
      <c r="K1723" s="10">
        <v>39002.52648148148</v>
      </c>
    </row>
    <row r="1724" spans="1:11" x14ac:dyDescent="0.25">
      <c r="A1724" s="8">
        <v>2842</v>
      </c>
      <c r="B1724" s="9" t="s">
        <v>6094</v>
      </c>
      <c r="C1724" s="9" t="s">
        <v>3495</v>
      </c>
      <c r="D1724" s="9" t="s">
        <v>139</v>
      </c>
      <c r="E1724" s="9" t="s">
        <v>3496</v>
      </c>
      <c r="F1724" s="9" t="s">
        <v>3497</v>
      </c>
      <c r="G1724" s="9" t="s">
        <v>142</v>
      </c>
      <c r="H1724" s="9" t="s">
        <v>139</v>
      </c>
      <c r="I1724" s="9" t="s">
        <v>411</v>
      </c>
      <c r="J1724" s="9" t="s">
        <v>3498</v>
      </c>
      <c r="K1724" s="10">
        <v>39002.55704861111</v>
      </c>
    </row>
    <row r="1725" spans="1:11" x14ac:dyDescent="0.25">
      <c r="A1725" s="8">
        <v>2843</v>
      </c>
      <c r="B1725" s="9" t="s">
        <v>6095</v>
      </c>
      <c r="C1725" s="9" t="s">
        <v>3499</v>
      </c>
      <c r="D1725" s="9" t="s">
        <v>139</v>
      </c>
      <c r="E1725" s="9" t="s">
        <v>3500</v>
      </c>
      <c r="F1725" s="9" t="s">
        <v>3501</v>
      </c>
      <c r="G1725" s="9" t="s">
        <v>142</v>
      </c>
      <c r="H1725" s="9" t="s">
        <v>241</v>
      </c>
      <c r="I1725" s="9" t="s">
        <v>411</v>
      </c>
      <c r="J1725" s="9" t="s">
        <v>3502</v>
      </c>
      <c r="K1725" s="10">
        <v>39002.560590277775</v>
      </c>
    </row>
    <row r="1726" spans="1:11" x14ac:dyDescent="0.25">
      <c r="A1726" s="8">
        <v>2844</v>
      </c>
      <c r="B1726" s="9" t="s">
        <v>6096</v>
      </c>
      <c r="C1726" s="9" t="s">
        <v>3149</v>
      </c>
      <c r="D1726" s="9" t="s">
        <v>139</v>
      </c>
      <c r="E1726" s="9" t="s">
        <v>303</v>
      </c>
      <c r="F1726" s="9" t="s">
        <v>304</v>
      </c>
      <c r="G1726" s="9" t="s">
        <v>142</v>
      </c>
      <c r="H1726" s="9" t="s">
        <v>166</v>
      </c>
      <c r="I1726" s="9" t="s">
        <v>411</v>
      </c>
      <c r="J1726" s="9" t="s">
        <v>3503</v>
      </c>
      <c r="K1726" s="10">
        <v>39006.562048611115</v>
      </c>
    </row>
    <row r="1727" spans="1:11" x14ac:dyDescent="0.25">
      <c r="A1727" s="8">
        <v>2846</v>
      </c>
      <c r="B1727" s="9" t="s">
        <v>6097</v>
      </c>
      <c r="C1727" s="9" t="s">
        <v>3504</v>
      </c>
      <c r="D1727" s="9" t="s">
        <v>139</v>
      </c>
      <c r="E1727" s="9" t="s">
        <v>3505</v>
      </c>
      <c r="F1727" s="9" t="s">
        <v>3506</v>
      </c>
      <c r="G1727" s="9" t="s">
        <v>142</v>
      </c>
      <c r="H1727" s="9" t="s">
        <v>166</v>
      </c>
      <c r="I1727" s="9" t="s">
        <v>411</v>
      </c>
      <c r="J1727" s="9" t="s">
        <v>3507</v>
      </c>
      <c r="K1727" s="10">
        <v>39009.472928240742</v>
      </c>
    </row>
    <row r="1728" spans="1:11" x14ac:dyDescent="0.25">
      <c r="A1728" s="8">
        <v>2847</v>
      </c>
      <c r="B1728" s="9" t="s">
        <v>6098</v>
      </c>
      <c r="C1728" s="9" t="s">
        <v>3508</v>
      </c>
      <c r="D1728" s="9" t="s">
        <v>139</v>
      </c>
      <c r="E1728" s="9" t="s">
        <v>2785</v>
      </c>
      <c r="F1728" s="9" t="s">
        <v>2786</v>
      </c>
      <c r="G1728" s="9" t="s">
        <v>142</v>
      </c>
      <c r="H1728" s="9" t="s">
        <v>139</v>
      </c>
      <c r="I1728" s="9" t="s">
        <v>411</v>
      </c>
      <c r="J1728" s="9" t="s">
        <v>3509</v>
      </c>
      <c r="K1728" s="10">
        <v>39009.477199074077</v>
      </c>
    </row>
    <row r="1729" spans="1:11" x14ac:dyDescent="0.25">
      <c r="A1729" s="8">
        <v>2848</v>
      </c>
      <c r="B1729" s="9" t="s">
        <v>6099</v>
      </c>
      <c r="C1729" s="9" t="s">
        <v>1764</v>
      </c>
      <c r="D1729" s="9" t="s">
        <v>3510</v>
      </c>
      <c r="E1729" s="9" t="s">
        <v>277</v>
      </c>
      <c r="F1729" s="9" t="s">
        <v>278</v>
      </c>
      <c r="G1729" s="9" t="s">
        <v>142</v>
      </c>
      <c r="H1729" s="9" t="s">
        <v>166</v>
      </c>
      <c r="I1729" s="9" t="s">
        <v>411</v>
      </c>
      <c r="J1729" s="9" t="s">
        <v>3511</v>
      </c>
      <c r="K1729" s="10">
        <v>39009.480069444442</v>
      </c>
    </row>
    <row r="1730" spans="1:11" x14ac:dyDescent="0.25">
      <c r="A1730" s="8">
        <v>2849</v>
      </c>
      <c r="B1730" s="9" t="s">
        <v>6100</v>
      </c>
      <c r="C1730" s="9" t="s">
        <v>3512</v>
      </c>
      <c r="D1730" s="9" t="s">
        <v>139</v>
      </c>
      <c r="E1730" s="9" t="s">
        <v>3513</v>
      </c>
      <c r="F1730" s="9" t="s">
        <v>3514</v>
      </c>
      <c r="G1730" s="9" t="s">
        <v>142</v>
      </c>
      <c r="H1730" s="9" t="s">
        <v>166</v>
      </c>
      <c r="I1730" s="9" t="s">
        <v>411</v>
      </c>
      <c r="J1730" s="9" t="s">
        <v>139</v>
      </c>
      <c r="K1730" s="10">
        <v>39013.572118055556</v>
      </c>
    </row>
    <row r="1731" spans="1:11" x14ac:dyDescent="0.25">
      <c r="A1731" s="8">
        <v>2850</v>
      </c>
      <c r="B1731" s="9" t="s">
        <v>6101</v>
      </c>
      <c r="C1731" s="9" t="s">
        <v>3515</v>
      </c>
      <c r="D1731" s="9" t="s">
        <v>139</v>
      </c>
      <c r="E1731" s="9" t="s">
        <v>3516</v>
      </c>
      <c r="F1731" s="9" t="s">
        <v>3517</v>
      </c>
      <c r="G1731" s="9" t="s">
        <v>142</v>
      </c>
      <c r="H1731" s="9" t="s">
        <v>139</v>
      </c>
      <c r="I1731" s="9" t="s">
        <v>411</v>
      </c>
      <c r="J1731" s="9" t="s">
        <v>3518</v>
      </c>
      <c r="K1731" s="10">
        <v>39017.633923611109</v>
      </c>
    </row>
    <row r="1732" spans="1:11" x14ac:dyDescent="0.25">
      <c r="A1732" s="8">
        <v>2852</v>
      </c>
      <c r="B1732" s="9" t="s">
        <v>6102</v>
      </c>
      <c r="C1732" s="9" t="s">
        <v>3519</v>
      </c>
      <c r="D1732" s="9" t="s">
        <v>139</v>
      </c>
      <c r="E1732" s="9" t="s">
        <v>1320</v>
      </c>
      <c r="F1732" s="9" t="s">
        <v>3520</v>
      </c>
      <c r="G1732" s="9" t="s">
        <v>142</v>
      </c>
      <c r="H1732" s="9" t="s">
        <v>139</v>
      </c>
      <c r="I1732" s="9" t="s">
        <v>411</v>
      </c>
      <c r="J1732" s="9" t="s">
        <v>3521</v>
      </c>
      <c r="K1732" s="10">
        <v>39017.646747685183</v>
      </c>
    </row>
    <row r="1733" spans="1:11" x14ac:dyDescent="0.25">
      <c r="A1733" s="8">
        <v>2856</v>
      </c>
      <c r="B1733" s="9" t="s">
        <v>6103</v>
      </c>
      <c r="C1733" s="9" t="s">
        <v>3522</v>
      </c>
      <c r="D1733" s="9" t="s">
        <v>139</v>
      </c>
      <c r="E1733" s="9" t="s">
        <v>934</v>
      </c>
      <c r="F1733" s="9" t="s">
        <v>935</v>
      </c>
      <c r="G1733" s="9" t="s">
        <v>142</v>
      </c>
      <c r="H1733" s="9" t="s">
        <v>166</v>
      </c>
      <c r="I1733" s="9" t="s">
        <v>411</v>
      </c>
      <c r="J1733" s="9" t="s">
        <v>3523</v>
      </c>
      <c r="K1733" s="10">
        <v>39017.654826388891</v>
      </c>
    </row>
    <row r="1734" spans="1:11" x14ac:dyDescent="0.25">
      <c r="A1734" s="8">
        <v>2857</v>
      </c>
      <c r="B1734" s="9" t="s">
        <v>6104</v>
      </c>
      <c r="C1734" s="9" t="s">
        <v>3524</v>
      </c>
      <c r="D1734" s="9" t="s">
        <v>139</v>
      </c>
      <c r="E1734" s="9" t="s">
        <v>1323</v>
      </c>
      <c r="F1734" s="9" t="s">
        <v>1324</v>
      </c>
      <c r="G1734" s="9" t="s">
        <v>142</v>
      </c>
      <c r="H1734" s="9" t="s">
        <v>139</v>
      </c>
      <c r="I1734" s="9" t="s">
        <v>411</v>
      </c>
      <c r="J1734" s="9" t="s">
        <v>3525</v>
      </c>
      <c r="K1734" s="10">
        <v>39017.657187500001</v>
      </c>
    </row>
    <row r="1735" spans="1:11" x14ac:dyDescent="0.25">
      <c r="A1735" s="8">
        <v>2858</v>
      </c>
      <c r="B1735" s="9" t="s">
        <v>6105</v>
      </c>
      <c r="C1735" s="9" t="s">
        <v>3526</v>
      </c>
      <c r="D1735" s="9" t="s">
        <v>139</v>
      </c>
      <c r="E1735" s="9" t="s">
        <v>1246</v>
      </c>
      <c r="F1735" s="9" t="s">
        <v>1247</v>
      </c>
      <c r="G1735" s="9" t="s">
        <v>142</v>
      </c>
      <c r="H1735" s="9" t="s">
        <v>166</v>
      </c>
      <c r="I1735" s="9" t="s">
        <v>411</v>
      </c>
      <c r="J1735" s="9" t="s">
        <v>139</v>
      </c>
      <c r="K1735" s="10">
        <v>39017.658634259256</v>
      </c>
    </row>
    <row r="1736" spans="1:11" x14ac:dyDescent="0.25">
      <c r="A1736" s="8">
        <v>2860</v>
      </c>
      <c r="B1736" s="9" t="s">
        <v>6106</v>
      </c>
      <c r="C1736" s="9" t="s">
        <v>3527</v>
      </c>
      <c r="D1736" s="9" t="s">
        <v>139</v>
      </c>
      <c r="E1736" s="9" t="s">
        <v>2746</v>
      </c>
      <c r="F1736" s="9" t="s">
        <v>471</v>
      </c>
      <c r="G1736" s="9" t="s">
        <v>142</v>
      </c>
      <c r="H1736" s="9" t="s">
        <v>166</v>
      </c>
      <c r="I1736" s="9" t="s">
        <v>411</v>
      </c>
      <c r="J1736" s="9" t="s">
        <v>3528</v>
      </c>
      <c r="K1736" s="10">
        <v>39020.582928240743</v>
      </c>
    </row>
    <row r="1737" spans="1:11" x14ac:dyDescent="0.25">
      <c r="A1737" s="8">
        <v>2861</v>
      </c>
      <c r="B1737" s="9" t="s">
        <v>6107</v>
      </c>
      <c r="C1737" s="9" t="s">
        <v>3529</v>
      </c>
      <c r="D1737" s="9" t="s">
        <v>139</v>
      </c>
      <c r="E1737" s="9" t="s">
        <v>3516</v>
      </c>
      <c r="F1737" s="9" t="s">
        <v>3517</v>
      </c>
      <c r="G1737" s="9" t="s">
        <v>142</v>
      </c>
      <c r="H1737" s="9" t="s">
        <v>139</v>
      </c>
      <c r="I1737" s="9" t="s">
        <v>411</v>
      </c>
      <c r="J1737" s="9" t="s">
        <v>3530</v>
      </c>
      <c r="K1737" s="10">
        <v>39020.593935185185</v>
      </c>
    </row>
    <row r="1738" spans="1:11" x14ac:dyDescent="0.25">
      <c r="A1738" s="8">
        <v>2862</v>
      </c>
      <c r="B1738" s="9" t="s">
        <v>6108</v>
      </c>
      <c r="C1738" s="9" t="s">
        <v>3531</v>
      </c>
      <c r="D1738" s="9" t="s">
        <v>139</v>
      </c>
      <c r="E1738" s="9" t="s">
        <v>282</v>
      </c>
      <c r="F1738" s="9" t="s">
        <v>283</v>
      </c>
      <c r="G1738" s="9" t="s">
        <v>142</v>
      </c>
      <c r="H1738" s="9" t="s">
        <v>241</v>
      </c>
      <c r="I1738" s="9" t="s">
        <v>411</v>
      </c>
      <c r="J1738" s="9" t="s">
        <v>3532</v>
      </c>
      <c r="K1738" s="10">
        <v>39024.737893518519</v>
      </c>
    </row>
    <row r="1739" spans="1:11" x14ac:dyDescent="0.25">
      <c r="A1739" s="8">
        <v>2863</v>
      </c>
      <c r="B1739" s="9" t="s">
        <v>6109</v>
      </c>
      <c r="C1739" s="9" t="s">
        <v>3533</v>
      </c>
      <c r="D1739" s="9" t="s">
        <v>139</v>
      </c>
      <c r="E1739" s="9" t="s">
        <v>2843</v>
      </c>
      <c r="F1739" s="9" t="s">
        <v>2844</v>
      </c>
      <c r="G1739" s="9" t="s">
        <v>142</v>
      </c>
      <c r="H1739" s="9" t="s">
        <v>166</v>
      </c>
      <c r="I1739" s="9" t="s">
        <v>411</v>
      </c>
      <c r="J1739" s="9" t="s">
        <v>3534</v>
      </c>
      <c r="K1739" s="10">
        <v>39028.905358796299</v>
      </c>
    </row>
    <row r="1740" spans="1:11" x14ac:dyDescent="0.25">
      <c r="A1740" s="8">
        <v>2866</v>
      </c>
      <c r="B1740" s="9" t="s">
        <v>6110</v>
      </c>
      <c r="C1740" s="9" t="s">
        <v>3535</v>
      </c>
      <c r="D1740" s="9" t="s">
        <v>139</v>
      </c>
      <c r="E1740" s="9" t="s">
        <v>204</v>
      </c>
      <c r="F1740" s="9" t="s">
        <v>3536</v>
      </c>
      <c r="G1740" s="9" t="s">
        <v>142</v>
      </c>
      <c r="H1740" s="9" t="s">
        <v>166</v>
      </c>
      <c r="I1740" s="9" t="s">
        <v>411</v>
      </c>
      <c r="J1740" s="9" t="s">
        <v>3537</v>
      </c>
      <c r="K1740" s="10">
        <v>39036.547673611109</v>
      </c>
    </row>
    <row r="1741" spans="1:11" x14ac:dyDescent="0.25">
      <c r="A1741" s="8">
        <v>2867</v>
      </c>
      <c r="B1741" s="9" t="s">
        <v>6111</v>
      </c>
      <c r="C1741" s="9" t="s">
        <v>3538</v>
      </c>
      <c r="D1741" s="9" t="s">
        <v>139</v>
      </c>
      <c r="E1741" s="9" t="s">
        <v>3539</v>
      </c>
      <c r="F1741" s="9" t="s">
        <v>3540</v>
      </c>
      <c r="G1741" s="9" t="s">
        <v>142</v>
      </c>
      <c r="H1741" s="9" t="s">
        <v>166</v>
      </c>
      <c r="I1741" s="9" t="s">
        <v>411</v>
      </c>
      <c r="J1741" s="9" t="s">
        <v>139</v>
      </c>
      <c r="K1741" s="10">
        <v>39041.705023148148</v>
      </c>
    </row>
    <row r="1742" spans="1:11" x14ac:dyDescent="0.25">
      <c r="A1742" s="8">
        <v>2868</v>
      </c>
      <c r="B1742" s="9" t="s">
        <v>9267</v>
      </c>
      <c r="C1742" s="9" t="s">
        <v>3541</v>
      </c>
      <c r="D1742" s="9" t="s">
        <v>3542</v>
      </c>
      <c r="E1742" s="9" t="s">
        <v>3543</v>
      </c>
      <c r="F1742" s="9" t="s">
        <v>3544</v>
      </c>
      <c r="G1742" s="9" t="s">
        <v>142</v>
      </c>
      <c r="H1742" s="9" t="s">
        <v>241</v>
      </c>
      <c r="I1742" s="9" t="s">
        <v>143</v>
      </c>
      <c r="J1742" s="9" t="s">
        <v>139</v>
      </c>
      <c r="K1742" s="10">
        <v>39042.57675925926</v>
      </c>
    </row>
    <row r="1743" spans="1:11" x14ac:dyDescent="0.25">
      <c r="A1743" s="8">
        <v>2869</v>
      </c>
      <c r="B1743" s="9" t="s">
        <v>6112</v>
      </c>
      <c r="C1743" s="9" t="s">
        <v>3545</v>
      </c>
      <c r="D1743" s="9" t="s">
        <v>139</v>
      </c>
      <c r="E1743" s="9" t="s">
        <v>3546</v>
      </c>
      <c r="F1743" s="9" t="s">
        <v>3547</v>
      </c>
      <c r="G1743" s="9" t="s">
        <v>142</v>
      </c>
      <c r="H1743" s="9" t="s">
        <v>166</v>
      </c>
      <c r="I1743" s="9" t="s">
        <v>411</v>
      </c>
      <c r="J1743" s="9" t="s">
        <v>3548</v>
      </c>
      <c r="K1743" s="10">
        <v>39043.651631944442</v>
      </c>
    </row>
    <row r="1744" spans="1:11" x14ac:dyDescent="0.25">
      <c r="A1744" s="8">
        <v>2870</v>
      </c>
      <c r="B1744" s="9" t="s">
        <v>6113</v>
      </c>
      <c r="C1744" s="9" t="s">
        <v>3549</v>
      </c>
      <c r="D1744" s="9" t="s">
        <v>139</v>
      </c>
      <c r="E1744" s="9" t="s">
        <v>3550</v>
      </c>
      <c r="F1744" s="9" t="s">
        <v>3551</v>
      </c>
      <c r="G1744" s="9" t="s">
        <v>142</v>
      </c>
      <c r="H1744" s="9" t="s">
        <v>139</v>
      </c>
      <c r="I1744" s="9" t="s">
        <v>411</v>
      </c>
      <c r="J1744" s="9" t="s">
        <v>139</v>
      </c>
      <c r="K1744" s="10">
        <v>39051.531087962961</v>
      </c>
    </row>
    <row r="1745" spans="1:11" x14ac:dyDescent="0.25">
      <c r="A1745" s="8">
        <v>2871</v>
      </c>
      <c r="B1745" s="9" t="s">
        <v>6114</v>
      </c>
      <c r="C1745" s="9" t="s">
        <v>3552</v>
      </c>
      <c r="D1745" s="9" t="s">
        <v>139</v>
      </c>
      <c r="E1745" s="9" t="s">
        <v>174</v>
      </c>
      <c r="F1745" s="9" t="s">
        <v>175</v>
      </c>
      <c r="G1745" s="9" t="s">
        <v>142</v>
      </c>
      <c r="H1745" s="9" t="s">
        <v>139</v>
      </c>
      <c r="I1745" s="9" t="s">
        <v>411</v>
      </c>
      <c r="J1745" s="9" t="s">
        <v>139</v>
      </c>
      <c r="K1745" s="10">
        <v>39061.738321759258</v>
      </c>
    </row>
    <row r="1746" spans="1:11" x14ac:dyDescent="0.25">
      <c r="A1746" s="8">
        <v>2874</v>
      </c>
      <c r="B1746" s="9" t="s">
        <v>6115</v>
      </c>
      <c r="C1746" s="9" t="s">
        <v>3553</v>
      </c>
      <c r="D1746" s="9" t="s">
        <v>139</v>
      </c>
      <c r="E1746" s="9" t="s">
        <v>3554</v>
      </c>
      <c r="F1746" s="9" t="s">
        <v>3555</v>
      </c>
      <c r="G1746" s="9" t="s">
        <v>142</v>
      </c>
      <c r="H1746" s="9" t="s">
        <v>166</v>
      </c>
      <c r="I1746" s="9" t="s">
        <v>411</v>
      </c>
      <c r="J1746" s="9" t="s">
        <v>3556</v>
      </c>
      <c r="K1746" s="10">
        <v>39090.812245370369</v>
      </c>
    </row>
    <row r="1747" spans="1:11" x14ac:dyDescent="0.25">
      <c r="A1747" s="8">
        <v>2876</v>
      </c>
      <c r="B1747" s="9" t="s">
        <v>9268</v>
      </c>
      <c r="C1747" s="9" t="s">
        <v>3557</v>
      </c>
      <c r="D1747" s="9" t="s">
        <v>139</v>
      </c>
      <c r="E1747" s="9" t="s">
        <v>229</v>
      </c>
      <c r="F1747" s="9" t="s">
        <v>413</v>
      </c>
      <c r="G1747" s="9" t="s">
        <v>142</v>
      </c>
      <c r="H1747" s="9" t="s">
        <v>241</v>
      </c>
      <c r="I1747" s="9" t="s">
        <v>143</v>
      </c>
      <c r="J1747" s="9" t="s">
        <v>139</v>
      </c>
      <c r="K1747" s="10">
        <v>39101.89135416667</v>
      </c>
    </row>
    <row r="1748" spans="1:11" x14ac:dyDescent="0.25">
      <c r="A1748" s="8">
        <v>2877</v>
      </c>
      <c r="B1748" s="9" t="s">
        <v>6116</v>
      </c>
      <c r="C1748" s="9" t="s">
        <v>3558</v>
      </c>
      <c r="D1748" s="9" t="s">
        <v>139</v>
      </c>
      <c r="E1748" s="9" t="s">
        <v>3559</v>
      </c>
      <c r="F1748" s="9" t="s">
        <v>3560</v>
      </c>
      <c r="G1748" s="9" t="s">
        <v>1042</v>
      </c>
      <c r="H1748" s="9" t="s">
        <v>166</v>
      </c>
      <c r="I1748" s="9" t="s">
        <v>411</v>
      </c>
      <c r="J1748" s="9" t="s">
        <v>139</v>
      </c>
      <c r="K1748" s="10">
        <v>39111.601053240738</v>
      </c>
    </row>
    <row r="1749" spans="1:11" x14ac:dyDescent="0.25">
      <c r="A1749" s="8">
        <v>2878</v>
      </c>
      <c r="B1749" s="9" t="s">
        <v>6117</v>
      </c>
      <c r="C1749" s="9" t="s">
        <v>3561</v>
      </c>
      <c r="D1749" s="9" t="s">
        <v>139</v>
      </c>
      <c r="E1749" s="9" t="s">
        <v>3562</v>
      </c>
      <c r="F1749" s="9" t="s">
        <v>601</v>
      </c>
      <c r="G1749" s="9" t="s">
        <v>602</v>
      </c>
      <c r="H1749" s="9" t="s">
        <v>166</v>
      </c>
      <c r="I1749" s="9" t="s">
        <v>411</v>
      </c>
      <c r="J1749" s="9" t="s">
        <v>3563</v>
      </c>
      <c r="K1749" s="10">
        <v>39111.620625000003</v>
      </c>
    </row>
    <row r="1750" spans="1:11" x14ac:dyDescent="0.25">
      <c r="A1750" s="8">
        <v>2880</v>
      </c>
      <c r="B1750" s="9" t="s">
        <v>6118</v>
      </c>
      <c r="C1750" s="9" t="s">
        <v>3564</v>
      </c>
      <c r="D1750" s="9" t="s">
        <v>139</v>
      </c>
      <c r="E1750" s="9" t="s">
        <v>3565</v>
      </c>
      <c r="F1750" s="9" t="s">
        <v>3566</v>
      </c>
      <c r="G1750" s="9" t="s">
        <v>3567</v>
      </c>
      <c r="H1750" s="9" t="s">
        <v>166</v>
      </c>
      <c r="I1750" s="9" t="s">
        <v>411</v>
      </c>
      <c r="J1750" s="9" t="s">
        <v>139</v>
      </c>
      <c r="K1750" s="10">
        <v>39111.64167824074</v>
      </c>
    </row>
    <row r="1751" spans="1:11" x14ac:dyDescent="0.25">
      <c r="A1751" s="8">
        <v>2881</v>
      </c>
      <c r="B1751" s="9" t="s">
        <v>6119</v>
      </c>
      <c r="C1751" s="9" t="s">
        <v>3568</v>
      </c>
      <c r="D1751" s="9" t="s">
        <v>139</v>
      </c>
      <c r="E1751" s="9" t="s">
        <v>2952</v>
      </c>
      <c r="F1751" s="9" t="s">
        <v>3569</v>
      </c>
      <c r="G1751" s="9" t="s">
        <v>142</v>
      </c>
      <c r="H1751" s="9" t="s">
        <v>258</v>
      </c>
      <c r="I1751" s="9" t="s">
        <v>411</v>
      </c>
      <c r="J1751" s="9" t="s">
        <v>139</v>
      </c>
      <c r="K1751" s="10">
        <v>39111.650046296294</v>
      </c>
    </row>
    <row r="1752" spans="1:11" x14ac:dyDescent="0.25">
      <c r="A1752" s="8">
        <v>2882</v>
      </c>
      <c r="B1752" s="9" t="s">
        <v>6120</v>
      </c>
      <c r="C1752" s="9" t="s">
        <v>3570</v>
      </c>
      <c r="D1752" s="9" t="s">
        <v>3571</v>
      </c>
      <c r="E1752" s="9" t="s">
        <v>3572</v>
      </c>
      <c r="F1752" s="9" t="s">
        <v>3573</v>
      </c>
      <c r="G1752" s="9" t="s">
        <v>142</v>
      </c>
      <c r="H1752" s="9" t="s">
        <v>139</v>
      </c>
      <c r="I1752" s="9" t="s">
        <v>411</v>
      </c>
      <c r="J1752" s="9" t="s">
        <v>139</v>
      </c>
      <c r="K1752" s="10">
        <v>39111.795312499999</v>
      </c>
    </row>
    <row r="1753" spans="1:11" x14ac:dyDescent="0.25">
      <c r="A1753" s="8">
        <v>2883</v>
      </c>
      <c r="B1753" s="9" t="s">
        <v>6121</v>
      </c>
      <c r="C1753" s="9" t="s">
        <v>3574</v>
      </c>
      <c r="D1753" s="9" t="s">
        <v>139</v>
      </c>
      <c r="E1753" s="9" t="s">
        <v>3575</v>
      </c>
      <c r="F1753" s="9" t="s">
        <v>3576</v>
      </c>
      <c r="G1753" s="9" t="s">
        <v>897</v>
      </c>
      <c r="H1753" s="9" t="s">
        <v>166</v>
      </c>
      <c r="I1753" s="9" t="s">
        <v>411</v>
      </c>
      <c r="J1753" s="9" t="s">
        <v>139</v>
      </c>
      <c r="K1753" s="10">
        <v>39111.828368055554</v>
      </c>
    </row>
    <row r="1754" spans="1:11" x14ac:dyDescent="0.25">
      <c r="A1754" s="8">
        <v>2884</v>
      </c>
      <c r="B1754" s="9" t="s">
        <v>6122</v>
      </c>
      <c r="C1754" s="9" t="s">
        <v>3577</v>
      </c>
      <c r="D1754" s="9" t="s">
        <v>139</v>
      </c>
      <c r="E1754" s="9" t="s">
        <v>3075</v>
      </c>
      <c r="F1754" s="9" t="s">
        <v>3076</v>
      </c>
      <c r="G1754" s="9" t="s">
        <v>142</v>
      </c>
      <c r="H1754" s="9" t="s">
        <v>139</v>
      </c>
      <c r="I1754" s="9" t="s">
        <v>411</v>
      </c>
      <c r="J1754" s="9" t="s">
        <v>3578</v>
      </c>
      <c r="K1754" s="10">
        <v>39116.763136574074</v>
      </c>
    </row>
    <row r="1755" spans="1:11" x14ac:dyDescent="0.25">
      <c r="A1755" s="8">
        <v>2887</v>
      </c>
      <c r="B1755" s="9" t="s">
        <v>9269</v>
      </c>
      <c r="C1755" s="9" t="s">
        <v>3557</v>
      </c>
      <c r="D1755" s="9" t="s">
        <v>139</v>
      </c>
      <c r="E1755" s="9" t="s">
        <v>229</v>
      </c>
      <c r="F1755" s="9" t="s">
        <v>141</v>
      </c>
      <c r="G1755" s="9" t="s">
        <v>142</v>
      </c>
      <c r="H1755" s="9" t="s">
        <v>241</v>
      </c>
      <c r="I1755" s="9" t="s">
        <v>143</v>
      </c>
      <c r="J1755" s="9" t="s">
        <v>139</v>
      </c>
      <c r="K1755" s="10">
        <v>39116.825648148151</v>
      </c>
    </row>
    <row r="1756" spans="1:11" x14ac:dyDescent="0.25">
      <c r="A1756" s="8">
        <v>2888</v>
      </c>
      <c r="B1756" s="9" t="s">
        <v>6123</v>
      </c>
      <c r="C1756" s="9" t="s">
        <v>3579</v>
      </c>
      <c r="D1756" s="9" t="s">
        <v>3580</v>
      </c>
      <c r="E1756" s="9" t="s">
        <v>3068</v>
      </c>
      <c r="F1756" s="9" t="s">
        <v>3069</v>
      </c>
      <c r="G1756" s="9" t="s">
        <v>142</v>
      </c>
      <c r="H1756" s="9" t="s">
        <v>241</v>
      </c>
      <c r="I1756" s="9" t="s">
        <v>411</v>
      </c>
      <c r="J1756" s="9" t="s">
        <v>3581</v>
      </c>
      <c r="K1756" s="10">
        <v>39121.782673611109</v>
      </c>
    </row>
    <row r="1757" spans="1:11" x14ac:dyDescent="0.25">
      <c r="A1757" s="8">
        <v>2890</v>
      </c>
      <c r="B1757" s="9" t="s">
        <v>6124</v>
      </c>
      <c r="C1757" s="9" t="s">
        <v>3582</v>
      </c>
      <c r="D1757" s="9" t="s">
        <v>139</v>
      </c>
      <c r="E1757" s="9" t="s">
        <v>2977</v>
      </c>
      <c r="F1757" s="9" t="s">
        <v>2978</v>
      </c>
      <c r="G1757" s="9" t="s">
        <v>142</v>
      </c>
      <c r="H1757" s="9" t="s">
        <v>166</v>
      </c>
      <c r="I1757" s="9" t="s">
        <v>411</v>
      </c>
      <c r="J1757" s="9" t="s">
        <v>139</v>
      </c>
      <c r="K1757" s="10">
        <v>39123.603912037041</v>
      </c>
    </row>
    <row r="1758" spans="1:11" x14ac:dyDescent="0.25">
      <c r="A1758" s="8">
        <v>2893</v>
      </c>
      <c r="B1758" s="9" t="s">
        <v>6125</v>
      </c>
      <c r="C1758" s="9" t="s">
        <v>3583</v>
      </c>
      <c r="D1758" s="9" t="s">
        <v>139</v>
      </c>
      <c r="E1758" s="9" t="s">
        <v>2423</v>
      </c>
      <c r="F1758" s="9" t="s">
        <v>3584</v>
      </c>
      <c r="G1758" s="9" t="s">
        <v>142</v>
      </c>
      <c r="H1758" s="9" t="s">
        <v>241</v>
      </c>
      <c r="I1758" s="9" t="s">
        <v>411</v>
      </c>
      <c r="J1758" s="9" t="s">
        <v>139</v>
      </c>
      <c r="K1758" s="10">
        <v>39163.525381944448</v>
      </c>
    </row>
    <row r="1759" spans="1:11" x14ac:dyDescent="0.25">
      <c r="A1759" s="8">
        <v>2894</v>
      </c>
      <c r="B1759" s="9" t="s">
        <v>6126</v>
      </c>
      <c r="C1759" s="9" t="s">
        <v>3585</v>
      </c>
      <c r="D1759" s="9" t="s">
        <v>139</v>
      </c>
      <c r="E1759" s="9" t="s">
        <v>191</v>
      </c>
      <c r="F1759" s="9" t="s">
        <v>413</v>
      </c>
      <c r="G1759" s="9" t="s">
        <v>142</v>
      </c>
      <c r="H1759" s="9" t="s">
        <v>139</v>
      </c>
      <c r="I1759" s="9" t="s">
        <v>411</v>
      </c>
      <c r="J1759" s="9" t="s">
        <v>139</v>
      </c>
      <c r="K1759" s="10">
        <v>39176.601574074077</v>
      </c>
    </row>
    <row r="1760" spans="1:11" x14ac:dyDescent="0.25">
      <c r="A1760" s="8">
        <v>2895</v>
      </c>
      <c r="B1760" s="9" t="s">
        <v>6127</v>
      </c>
      <c r="C1760" s="9" t="s">
        <v>3586</v>
      </c>
      <c r="D1760" s="9" t="s">
        <v>139</v>
      </c>
      <c r="E1760" s="9" t="s">
        <v>3043</v>
      </c>
      <c r="F1760" s="9" t="s">
        <v>3044</v>
      </c>
      <c r="G1760" s="9" t="s">
        <v>142</v>
      </c>
      <c r="H1760" s="9" t="s">
        <v>166</v>
      </c>
      <c r="I1760" s="9" t="s">
        <v>411</v>
      </c>
      <c r="J1760" s="9" t="s">
        <v>3587</v>
      </c>
      <c r="K1760" s="10">
        <v>39202.853761574072</v>
      </c>
    </row>
    <row r="1761" spans="1:11" x14ac:dyDescent="0.25">
      <c r="A1761" s="8">
        <v>2896</v>
      </c>
      <c r="B1761" s="9" t="s">
        <v>6128</v>
      </c>
      <c r="C1761" s="9" t="s">
        <v>3588</v>
      </c>
      <c r="D1761" s="9" t="s">
        <v>139</v>
      </c>
      <c r="E1761" s="9" t="s">
        <v>3589</v>
      </c>
      <c r="F1761" s="9" t="s">
        <v>3590</v>
      </c>
      <c r="G1761" s="9" t="s">
        <v>142</v>
      </c>
      <c r="H1761" s="9" t="s">
        <v>139</v>
      </c>
      <c r="I1761" s="9" t="s">
        <v>411</v>
      </c>
      <c r="J1761" s="9" t="s">
        <v>139</v>
      </c>
      <c r="K1761" s="10">
        <v>39224.644814814812</v>
      </c>
    </row>
    <row r="1762" spans="1:11" x14ac:dyDescent="0.25">
      <c r="A1762" s="8">
        <v>2897</v>
      </c>
      <c r="B1762" s="9" t="s">
        <v>6129</v>
      </c>
      <c r="C1762" s="9" t="s">
        <v>3591</v>
      </c>
      <c r="D1762" s="9" t="s">
        <v>139</v>
      </c>
      <c r="E1762" s="9" t="s">
        <v>3592</v>
      </c>
      <c r="F1762" s="9" t="s">
        <v>8399</v>
      </c>
      <c r="G1762" s="9" t="s">
        <v>142</v>
      </c>
      <c r="H1762" s="9" t="s">
        <v>139</v>
      </c>
      <c r="I1762" s="9" t="s">
        <v>411</v>
      </c>
      <c r="J1762" s="9" t="s">
        <v>139</v>
      </c>
      <c r="K1762" s="10">
        <v>39278.690393518518</v>
      </c>
    </row>
    <row r="1763" spans="1:11" x14ac:dyDescent="0.25">
      <c r="A1763" s="8">
        <v>2898</v>
      </c>
      <c r="B1763" s="9" t="s">
        <v>6130</v>
      </c>
      <c r="C1763" s="9" t="s">
        <v>3593</v>
      </c>
      <c r="D1763" s="9" t="s">
        <v>139</v>
      </c>
      <c r="E1763" s="9" t="s">
        <v>3594</v>
      </c>
      <c r="F1763" s="9" t="s">
        <v>3595</v>
      </c>
      <c r="G1763" s="9" t="s">
        <v>142</v>
      </c>
      <c r="H1763" s="9" t="s">
        <v>139</v>
      </c>
      <c r="I1763" s="9" t="s">
        <v>411</v>
      </c>
      <c r="J1763" s="9" t="s">
        <v>3596</v>
      </c>
      <c r="K1763" s="10">
        <v>39278.698020833333</v>
      </c>
    </row>
    <row r="1764" spans="1:11" x14ac:dyDescent="0.25">
      <c r="A1764" s="8">
        <v>2899</v>
      </c>
      <c r="B1764" s="9" t="s">
        <v>6131</v>
      </c>
      <c r="C1764" s="9" t="s">
        <v>3597</v>
      </c>
      <c r="D1764" s="9" t="s">
        <v>139</v>
      </c>
      <c r="E1764" s="9" t="s">
        <v>3592</v>
      </c>
      <c r="F1764" s="9" t="s">
        <v>3598</v>
      </c>
      <c r="G1764" s="9" t="s">
        <v>142</v>
      </c>
      <c r="H1764" s="9" t="s">
        <v>139</v>
      </c>
      <c r="I1764" s="9" t="s">
        <v>411</v>
      </c>
      <c r="J1764" s="9" t="s">
        <v>139</v>
      </c>
      <c r="K1764" s="10">
        <v>39282.022777777776</v>
      </c>
    </row>
    <row r="1765" spans="1:11" x14ac:dyDescent="0.25">
      <c r="A1765" s="8">
        <v>2900</v>
      </c>
      <c r="B1765" s="9" t="s">
        <v>9270</v>
      </c>
      <c r="C1765" s="9" t="s">
        <v>3599</v>
      </c>
      <c r="D1765" s="9" t="s">
        <v>139</v>
      </c>
      <c r="E1765" s="9" t="s">
        <v>3600</v>
      </c>
      <c r="F1765" s="9" t="s">
        <v>3601</v>
      </c>
      <c r="G1765" s="9" t="s">
        <v>142</v>
      </c>
      <c r="H1765" s="9" t="s">
        <v>241</v>
      </c>
      <c r="I1765" s="9" t="s">
        <v>143</v>
      </c>
      <c r="J1765" s="9" t="s">
        <v>139</v>
      </c>
      <c r="K1765" s="10">
        <v>39282.02480324074</v>
      </c>
    </row>
    <row r="1766" spans="1:11" x14ac:dyDescent="0.25">
      <c r="A1766" s="8">
        <v>2901</v>
      </c>
      <c r="B1766" s="9" t="s">
        <v>6132</v>
      </c>
      <c r="C1766" s="9" t="s">
        <v>3602</v>
      </c>
      <c r="D1766" s="9" t="s">
        <v>139</v>
      </c>
      <c r="E1766" s="9" t="s">
        <v>2506</v>
      </c>
      <c r="F1766" s="9" t="s">
        <v>2507</v>
      </c>
      <c r="G1766" s="9" t="s">
        <v>142</v>
      </c>
      <c r="H1766" s="9" t="s">
        <v>139</v>
      </c>
      <c r="I1766" s="9" t="s">
        <v>411</v>
      </c>
      <c r="J1766" s="9" t="s">
        <v>3603</v>
      </c>
      <c r="K1766" s="10">
        <v>39308.679675925923</v>
      </c>
    </row>
    <row r="1767" spans="1:11" x14ac:dyDescent="0.25">
      <c r="A1767" s="8">
        <v>2902</v>
      </c>
      <c r="B1767" s="9" t="s">
        <v>6133</v>
      </c>
      <c r="C1767" s="9" t="s">
        <v>3604</v>
      </c>
      <c r="D1767" s="9" t="s">
        <v>139</v>
      </c>
      <c r="E1767" s="9" t="s">
        <v>3605</v>
      </c>
      <c r="F1767" s="9" t="s">
        <v>3606</v>
      </c>
      <c r="G1767" s="9" t="s">
        <v>142</v>
      </c>
      <c r="H1767" s="9" t="s">
        <v>258</v>
      </c>
      <c r="I1767" s="9" t="s">
        <v>411</v>
      </c>
      <c r="J1767" s="9" t="s">
        <v>3607</v>
      </c>
      <c r="K1767" s="10">
        <v>39308.68236111111</v>
      </c>
    </row>
    <row r="1768" spans="1:11" x14ac:dyDescent="0.25">
      <c r="A1768" s="8">
        <v>2903</v>
      </c>
      <c r="B1768" s="9" t="s">
        <v>6134</v>
      </c>
      <c r="C1768" s="9" t="s">
        <v>3608</v>
      </c>
      <c r="D1768" s="9" t="s">
        <v>139</v>
      </c>
      <c r="E1768" s="9" t="s">
        <v>1500</v>
      </c>
      <c r="F1768" s="9" t="s">
        <v>1501</v>
      </c>
      <c r="G1768" s="9" t="s">
        <v>142</v>
      </c>
      <c r="H1768" s="9" t="s">
        <v>139</v>
      </c>
      <c r="I1768" s="9" t="s">
        <v>411</v>
      </c>
      <c r="J1768" s="9" t="s">
        <v>139</v>
      </c>
      <c r="K1768" s="10">
        <v>39308.68482638889</v>
      </c>
    </row>
    <row r="1769" spans="1:11" x14ac:dyDescent="0.25">
      <c r="A1769" s="8">
        <v>2904</v>
      </c>
      <c r="B1769" s="9" t="s">
        <v>6135</v>
      </c>
      <c r="C1769" s="9" t="s">
        <v>3609</v>
      </c>
      <c r="D1769" s="9" t="s">
        <v>139</v>
      </c>
      <c r="E1769" s="9" t="s">
        <v>3610</v>
      </c>
      <c r="F1769" s="9" t="s">
        <v>2291</v>
      </c>
      <c r="G1769" s="9" t="s">
        <v>142</v>
      </c>
      <c r="H1769" s="9" t="s">
        <v>139</v>
      </c>
      <c r="I1769" s="9" t="s">
        <v>411</v>
      </c>
      <c r="J1769" s="9" t="s">
        <v>139</v>
      </c>
      <c r="K1769" s="10">
        <v>39308.687708333331</v>
      </c>
    </row>
    <row r="1770" spans="1:11" x14ac:dyDescent="0.25">
      <c r="A1770" s="8">
        <v>2905</v>
      </c>
      <c r="B1770" s="9" t="s">
        <v>6136</v>
      </c>
      <c r="C1770" s="9" t="s">
        <v>3612</v>
      </c>
      <c r="D1770" s="9" t="s">
        <v>139</v>
      </c>
      <c r="E1770" s="9" t="s">
        <v>3605</v>
      </c>
      <c r="F1770" s="9" t="s">
        <v>3606</v>
      </c>
      <c r="G1770" s="9" t="s">
        <v>142</v>
      </c>
      <c r="H1770" s="9" t="s">
        <v>241</v>
      </c>
      <c r="I1770" s="9" t="s">
        <v>411</v>
      </c>
      <c r="J1770" s="9" t="s">
        <v>3613</v>
      </c>
      <c r="K1770" s="10">
        <v>39308.688981481479</v>
      </c>
    </row>
    <row r="1771" spans="1:11" x14ac:dyDescent="0.25">
      <c r="A1771" s="8">
        <v>2906</v>
      </c>
      <c r="B1771" s="9" t="s">
        <v>6137</v>
      </c>
      <c r="C1771" s="9" t="s">
        <v>3614</v>
      </c>
      <c r="D1771" s="9" t="s">
        <v>139</v>
      </c>
      <c r="E1771" s="9" t="s">
        <v>2919</v>
      </c>
      <c r="F1771" s="9" t="s">
        <v>2102</v>
      </c>
      <c r="G1771" s="9" t="s">
        <v>142</v>
      </c>
      <c r="H1771" s="9" t="s">
        <v>139</v>
      </c>
      <c r="I1771" s="9" t="s">
        <v>411</v>
      </c>
      <c r="J1771" s="9" t="s">
        <v>139</v>
      </c>
      <c r="K1771" s="10">
        <v>39308.691562499997</v>
      </c>
    </row>
    <row r="1772" spans="1:11" x14ac:dyDescent="0.25">
      <c r="A1772" s="8">
        <v>2907</v>
      </c>
      <c r="B1772" s="9" t="s">
        <v>6138</v>
      </c>
      <c r="C1772" s="9" t="s">
        <v>3615</v>
      </c>
      <c r="D1772" s="9" t="s">
        <v>139</v>
      </c>
      <c r="E1772" s="9" t="s">
        <v>2506</v>
      </c>
      <c r="F1772" s="9" t="s">
        <v>2507</v>
      </c>
      <c r="G1772" s="9" t="s">
        <v>142</v>
      </c>
      <c r="H1772" s="9" t="s">
        <v>139</v>
      </c>
      <c r="I1772" s="9" t="s">
        <v>411</v>
      </c>
      <c r="J1772" s="9" t="s">
        <v>139</v>
      </c>
      <c r="K1772" s="10">
        <v>39308.693113425928</v>
      </c>
    </row>
    <row r="1773" spans="1:11" x14ac:dyDescent="0.25">
      <c r="A1773" s="8">
        <v>2908</v>
      </c>
      <c r="B1773" s="9" t="s">
        <v>6139</v>
      </c>
      <c r="C1773" s="9" t="s">
        <v>3616</v>
      </c>
      <c r="D1773" s="9" t="s">
        <v>139</v>
      </c>
      <c r="E1773" s="9" t="s">
        <v>2506</v>
      </c>
      <c r="F1773" s="9" t="s">
        <v>2507</v>
      </c>
      <c r="G1773" s="9" t="s">
        <v>142</v>
      </c>
      <c r="H1773" s="9" t="s">
        <v>139</v>
      </c>
      <c r="I1773" s="9" t="s">
        <v>411</v>
      </c>
      <c r="J1773" s="9" t="s">
        <v>139</v>
      </c>
      <c r="K1773" s="10">
        <v>39308.695127314815</v>
      </c>
    </row>
    <row r="1774" spans="1:11" x14ac:dyDescent="0.25">
      <c r="A1774" s="8">
        <v>2910</v>
      </c>
      <c r="B1774" s="9" t="s">
        <v>6140</v>
      </c>
      <c r="C1774" s="9" t="s">
        <v>3617</v>
      </c>
      <c r="D1774" s="9" t="s">
        <v>139</v>
      </c>
      <c r="E1774" s="9" t="s">
        <v>2506</v>
      </c>
      <c r="F1774" s="9" t="s">
        <v>2507</v>
      </c>
      <c r="G1774" s="9" t="s">
        <v>142</v>
      </c>
      <c r="H1774" s="9" t="s">
        <v>139</v>
      </c>
      <c r="I1774" s="9" t="s">
        <v>411</v>
      </c>
      <c r="J1774" s="9" t="s">
        <v>3618</v>
      </c>
      <c r="K1774" s="10">
        <v>39308.698541666665</v>
      </c>
    </row>
    <row r="1775" spans="1:11" x14ac:dyDescent="0.25">
      <c r="A1775" s="8">
        <v>2911</v>
      </c>
      <c r="B1775" s="9" t="s">
        <v>6141</v>
      </c>
      <c r="C1775" s="9" t="s">
        <v>3619</v>
      </c>
      <c r="D1775" s="9" t="s">
        <v>139</v>
      </c>
      <c r="E1775" s="9" t="s">
        <v>3620</v>
      </c>
      <c r="F1775" s="9" t="s">
        <v>3621</v>
      </c>
      <c r="G1775" s="9" t="s">
        <v>142</v>
      </c>
      <c r="H1775" s="9" t="s">
        <v>166</v>
      </c>
      <c r="I1775" s="9" t="s">
        <v>411</v>
      </c>
      <c r="J1775" s="9" t="s">
        <v>3622</v>
      </c>
      <c r="K1775" s="10">
        <v>39338.591817129629</v>
      </c>
    </row>
    <row r="1776" spans="1:11" x14ac:dyDescent="0.25">
      <c r="A1776" s="8">
        <v>2912</v>
      </c>
      <c r="B1776" s="9" t="s">
        <v>6142</v>
      </c>
      <c r="C1776" s="9" t="s">
        <v>3623</v>
      </c>
      <c r="D1776" s="9" t="s">
        <v>139</v>
      </c>
      <c r="E1776" s="9" t="s">
        <v>3624</v>
      </c>
      <c r="F1776" s="9" t="s">
        <v>3625</v>
      </c>
      <c r="G1776" s="9" t="s">
        <v>1915</v>
      </c>
      <c r="H1776" s="9" t="s">
        <v>139</v>
      </c>
      <c r="I1776" s="9" t="s">
        <v>411</v>
      </c>
      <c r="J1776" s="9" t="s">
        <v>3626</v>
      </c>
      <c r="K1776" s="10">
        <v>39338.768530092595</v>
      </c>
    </row>
    <row r="1777" spans="1:11" x14ac:dyDescent="0.25">
      <c r="A1777" s="8">
        <v>2913</v>
      </c>
      <c r="B1777" s="9" t="s">
        <v>6143</v>
      </c>
      <c r="C1777" s="9" t="s">
        <v>3627</v>
      </c>
      <c r="D1777" s="9" t="s">
        <v>139</v>
      </c>
      <c r="E1777" s="9" t="s">
        <v>3589</v>
      </c>
      <c r="F1777" s="9" t="s">
        <v>3628</v>
      </c>
      <c r="G1777" s="9" t="s">
        <v>142</v>
      </c>
      <c r="H1777" s="9" t="s">
        <v>166</v>
      </c>
      <c r="I1777" s="9" t="s">
        <v>411</v>
      </c>
      <c r="J1777" s="9" t="s">
        <v>3629</v>
      </c>
      <c r="K1777" s="10">
        <v>39338.773946759262</v>
      </c>
    </row>
    <row r="1778" spans="1:11" x14ac:dyDescent="0.25">
      <c r="A1778" s="8">
        <v>2914</v>
      </c>
      <c r="B1778" s="9" t="s">
        <v>6144</v>
      </c>
      <c r="C1778" s="9" t="s">
        <v>3630</v>
      </c>
      <c r="D1778" s="9" t="s">
        <v>139</v>
      </c>
      <c r="E1778" s="9" t="s">
        <v>2165</v>
      </c>
      <c r="F1778" s="9" t="s">
        <v>3631</v>
      </c>
      <c r="G1778" s="9" t="s">
        <v>142</v>
      </c>
      <c r="H1778" s="9" t="s">
        <v>241</v>
      </c>
      <c r="I1778" s="9" t="s">
        <v>411</v>
      </c>
      <c r="J1778" s="9" t="s">
        <v>3632</v>
      </c>
      <c r="K1778" s="10">
        <v>39338.779062499998</v>
      </c>
    </row>
    <row r="1779" spans="1:11" x14ac:dyDescent="0.25">
      <c r="A1779" s="8">
        <v>2915</v>
      </c>
      <c r="B1779" s="9" t="s">
        <v>6145</v>
      </c>
      <c r="C1779" s="9" t="s">
        <v>3633</v>
      </c>
      <c r="D1779" s="9" t="s">
        <v>139</v>
      </c>
      <c r="E1779" s="9" t="s">
        <v>3634</v>
      </c>
      <c r="F1779" s="9" t="s">
        <v>3635</v>
      </c>
      <c r="G1779" s="9" t="s">
        <v>142</v>
      </c>
      <c r="H1779" s="9" t="s">
        <v>241</v>
      </c>
      <c r="I1779" s="9" t="s">
        <v>411</v>
      </c>
      <c r="J1779" s="9" t="s">
        <v>3636</v>
      </c>
      <c r="K1779" s="10">
        <v>39338.781828703701</v>
      </c>
    </row>
    <row r="1780" spans="1:11" x14ac:dyDescent="0.25">
      <c r="A1780" s="8">
        <v>2916</v>
      </c>
      <c r="B1780" s="9" t="s">
        <v>6146</v>
      </c>
      <c r="C1780" s="9" t="s">
        <v>3637</v>
      </c>
      <c r="D1780" s="9" t="s">
        <v>3638</v>
      </c>
      <c r="E1780" s="9" t="s">
        <v>3639</v>
      </c>
      <c r="F1780" s="9" t="s">
        <v>3640</v>
      </c>
      <c r="G1780" s="9" t="s">
        <v>444</v>
      </c>
      <c r="H1780" s="9" t="s">
        <v>139</v>
      </c>
      <c r="I1780" s="9" t="s">
        <v>411</v>
      </c>
      <c r="J1780" s="9" t="s">
        <v>3641</v>
      </c>
      <c r="K1780" s="10">
        <v>39338.797650462962</v>
      </c>
    </row>
    <row r="1781" spans="1:11" x14ac:dyDescent="0.25">
      <c r="A1781" s="8">
        <v>2918</v>
      </c>
      <c r="B1781" s="9" t="s">
        <v>6147</v>
      </c>
      <c r="C1781" s="9" t="s">
        <v>3642</v>
      </c>
      <c r="D1781" s="9" t="s">
        <v>3643</v>
      </c>
      <c r="E1781" s="9" t="s">
        <v>3644</v>
      </c>
      <c r="F1781" s="9" t="s">
        <v>3645</v>
      </c>
      <c r="G1781" s="9" t="s">
        <v>142</v>
      </c>
      <c r="H1781" s="9" t="s">
        <v>241</v>
      </c>
      <c r="I1781" s="9" t="s">
        <v>411</v>
      </c>
      <c r="J1781" s="9" t="s">
        <v>3646</v>
      </c>
      <c r="K1781" s="10">
        <v>39338.995925925927</v>
      </c>
    </row>
    <row r="1782" spans="1:11" x14ac:dyDescent="0.25">
      <c r="A1782" s="8">
        <v>2919</v>
      </c>
      <c r="B1782" s="9" t="s">
        <v>6148</v>
      </c>
      <c r="C1782" s="9" t="s">
        <v>3647</v>
      </c>
      <c r="D1782" s="9" t="s">
        <v>139</v>
      </c>
      <c r="E1782" s="9" t="s">
        <v>3648</v>
      </c>
      <c r="F1782" s="9" t="s">
        <v>3649</v>
      </c>
      <c r="G1782" s="9" t="s">
        <v>8395</v>
      </c>
      <c r="H1782" s="9" t="s">
        <v>166</v>
      </c>
      <c r="I1782" s="9" t="s">
        <v>411</v>
      </c>
      <c r="J1782" s="9" t="s">
        <v>139</v>
      </c>
      <c r="K1782" s="10">
        <v>39338.997615740744</v>
      </c>
    </row>
    <row r="1783" spans="1:11" x14ac:dyDescent="0.25">
      <c r="A1783" s="8">
        <v>2921</v>
      </c>
      <c r="B1783" s="9" t="s">
        <v>6149</v>
      </c>
      <c r="C1783" s="9" t="s">
        <v>3650</v>
      </c>
      <c r="D1783" s="9" t="s">
        <v>139</v>
      </c>
      <c r="E1783" s="9" t="s">
        <v>3651</v>
      </c>
      <c r="F1783" s="9" t="s">
        <v>141</v>
      </c>
      <c r="G1783" s="9" t="s">
        <v>142</v>
      </c>
      <c r="H1783" s="9" t="s">
        <v>166</v>
      </c>
      <c r="I1783" s="9" t="s">
        <v>411</v>
      </c>
      <c r="J1783" s="9" t="s">
        <v>139</v>
      </c>
      <c r="K1783" s="10">
        <v>39340.679224537038</v>
      </c>
    </row>
    <row r="1784" spans="1:11" x14ac:dyDescent="0.25">
      <c r="A1784" s="8">
        <v>2922</v>
      </c>
      <c r="B1784" s="9" t="s">
        <v>6150</v>
      </c>
      <c r="C1784" s="9" t="s">
        <v>3652</v>
      </c>
      <c r="D1784" s="9" t="s">
        <v>139</v>
      </c>
      <c r="E1784" s="9" t="s">
        <v>3653</v>
      </c>
      <c r="F1784" s="9" t="s">
        <v>3654</v>
      </c>
      <c r="G1784" s="9" t="s">
        <v>142</v>
      </c>
      <c r="H1784" s="9" t="s">
        <v>139</v>
      </c>
      <c r="I1784" s="9" t="s">
        <v>411</v>
      </c>
      <c r="J1784" s="9" t="s">
        <v>139</v>
      </c>
      <c r="K1784" s="10">
        <v>39340.706446759257</v>
      </c>
    </row>
    <row r="1785" spans="1:11" x14ac:dyDescent="0.25">
      <c r="A1785" s="8">
        <v>2923</v>
      </c>
      <c r="B1785" s="9" t="s">
        <v>6151</v>
      </c>
      <c r="C1785" s="9" t="s">
        <v>3655</v>
      </c>
      <c r="D1785" s="9" t="s">
        <v>139</v>
      </c>
      <c r="E1785" s="9" t="s">
        <v>1957</v>
      </c>
      <c r="F1785" s="9" t="s">
        <v>3656</v>
      </c>
      <c r="G1785" s="9" t="s">
        <v>142</v>
      </c>
      <c r="H1785" s="9" t="s">
        <v>166</v>
      </c>
      <c r="I1785" s="9" t="s">
        <v>411</v>
      </c>
      <c r="J1785" s="9" t="s">
        <v>3657</v>
      </c>
      <c r="K1785" s="10">
        <v>39340.710196759261</v>
      </c>
    </row>
    <row r="1786" spans="1:11" x14ac:dyDescent="0.25">
      <c r="A1786" s="8">
        <v>2926</v>
      </c>
      <c r="B1786" s="9" t="s">
        <v>6152</v>
      </c>
      <c r="C1786" s="9" t="s">
        <v>3658</v>
      </c>
      <c r="D1786" s="9" t="s">
        <v>139</v>
      </c>
      <c r="E1786" s="9" t="s">
        <v>1235</v>
      </c>
      <c r="F1786" s="9" t="s">
        <v>1236</v>
      </c>
      <c r="G1786" s="9" t="s">
        <v>142</v>
      </c>
      <c r="H1786" s="9" t="s">
        <v>139</v>
      </c>
      <c r="I1786" s="9" t="s">
        <v>411</v>
      </c>
      <c r="J1786" s="9" t="s">
        <v>3659</v>
      </c>
      <c r="K1786" s="10">
        <v>39344.66474537037</v>
      </c>
    </row>
    <row r="1787" spans="1:11" x14ac:dyDescent="0.25">
      <c r="A1787" s="8">
        <v>2927</v>
      </c>
      <c r="B1787" s="9" t="s">
        <v>9271</v>
      </c>
      <c r="C1787" s="9" t="s">
        <v>3660</v>
      </c>
      <c r="D1787" s="9" t="s">
        <v>139</v>
      </c>
      <c r="E1787" s="9" t="s">
        <v>2157</v>
      </c>
      <c r="F1787" s="9" t="s">
        <v>2158</v>
      </c>
      <c r="G1787" s="9" t="s">
        <v>142</v>
      </c>
      <c r="H1787" s="9" t="s">
        <v>258</v>
      </c>
      <c r="I1787" s="9" t="s">
        <v>143</v>
      </c>
      <c r="J1787" s="9" t="s">
        <v>139</v>
      </c>
      <c r="K1787" s="10">
        <v>39347.934363425928</v>
      </c>
    </row>
    <row r="1788" spans="1:11" x14ac:dyDescent="0.25">
      <c r="A1788" s="8">
        <v>2928</v>
      </c>
      <c r="B1788" s="9" t="s">
        <v>6153</v>
      </c>
      <c r="C1788" s="9" t="s">
        <v>3661</v>
      </c>
      <c r="D1788" s="9" t="s">
        <v>139</v>
      </c>
      <c r="E1788" s="9" t="s">
        <v>229</v>
      </c>
      <c r="F1788" s="9" t="s">
        <v>141</v>
      </c>
      <c r="G1788" s="9" t="s">
        <v>142</v>
      </c>
      <c r="H1788" s="9" t="s">
        <v>166</v>
      </c>
      <c r="I1788" s="9" t="s">
        <v>411</v>
      </c>
      <c r="J1788" s="9" t="s">
        <v>3662</v>
      </c>
      <c r="K1788" s="10">
        <v>39350.56726851852</v>
      </c>
    </row>
    <row r="1789" spans="1:11" x14ac:dyDescent="0.25">
      <c r="A1789" s="8">
        <v>2929</v>
      </c>
      <c r="B1789" s="9" t="s">
        <v>6154</v>
      </c>
      <c r="C1789" s="9" t="s">
        <v>3663</v>
      </c>
      <c r="D1789" s="9" t="s">
        <v>139</v>
      </c>
      <c r="E1789" s="9" t="s">
        <v>3664</v>
      </c>
      <c r="F1789" s="9" t="s">
        <v>3665</v>
      </c>
      <c r="G1789" s="9" t="s">
        <v>142</v>
      </c>
      <c r="H1789" s="9" t="s">
        <v>166</v>
      </c>
      <c r="I1789" s="9" t="s">
        <v>411</v>
      </c>
      <c r="J1789" s="9" t="s">
        <v>139</v>
      </c>
      <c r="K1789" s="10">
        <v>39350.730543981481</v>
      </c>
    </row>
    <row r="1790" spans="1:11" x14ac:dyDescent="0.25">
      <c r="A1790" s="8">
        <v>2930</v>
      </c>
      <c r="B1790" s="9" t="s">
        <v>6155</v>
      </c>
      <c r="C1790" s="9" t="s">
        <v>2407</v>
      </c>
      <c r="D1790" s="9" t="s">
        <v>139</v>
      </c>
      <c r="E1790" s="9" t="s">
        <v>2408</v>
      </c>
      <c r="F1790" s="9" t="s">
        <v>2409</v>
      </c>
      <c r="G1790" s="9" t="s">
        <v>142</v>
      </c>
      <c r="H1790" s="9" t="s">
        <v>139</v>
      </c>
      <c r="I1790" s="9" t="s">
        <v>411</v>
      </c>
      <c r="J1790" s="9" t="s">
        <v>3666</v>
      </c>
      <c r="K1790" s="10">
        <v>39351.749189814815</v>
      </c>
    </row>
    <row r="1791" spans="1:11" x14ac:dyDescent="0.25">
      <c r="A1791" s="8">
        <v>2931</v>
      </c>
      <c r="B1791" s="9" t="s">
        <v>6156</v>
      </c>
      <c r="C1791" s="9" t="s">
        <v>3667</v>
      </c>
      <c r="D1791" s="9" t="s">
        <v>139</v>
      </c>
      <c r="E1791" s="9" t="s">
        <v>706</v>
      </c>
      <c r="F1791" s="9" t="s">
        <v>141</v>
      </c>
      <c r="G1791" s="9" t="s">
        <v>142</v>
      </c>
      <c r="H1791" s="9" t="s">
        <v>166</v>
      </c>
      <c r="I1791" s="9" t="s">
        <v>411</v>
      </c>
      <c r="J1791" s="9" t="s">
        <v>3668</v>
      </c>
      <c r="K1791" s="10">
        <v>39359.512870370374</v>
      </c>
    </row>
    <row r="1792" spans="1:11" x14ac:dyDescent="0.25">
      <c r="A1792" s="8">
        <v>2932</v>
      </c>
      <c r="B1792" s="9" t="s">
        <v>6157</v>
      </c>
      <c r="C1792" s="9" t="s">
        <v>3669</v>
      </c>
      <c r="D1792" s="9" t="s">
        <v>139</v>
      </c>
      <c r="E1792" s="9" t="s">
        <v>3670</v>
      </c>
      <c r="F1792" s="9" t="s">
        <v>3671</v>
      </c>
      <c r="G1792" s="9" t="s">
        <v>142</v>
      </c>
      <c r="H1792" s="9" t="s">
        <v>241</v>
      </c>
      <c r="I1792" s="9" t="s">
        <v>411</v>
      </c>
      <c r="J1792" s="9" t="s">
        <v>3672</v>
      </c>
      <c r="K1792" s="10">
        <v>39367.467083333337</v>
      </c>
    </row>
    <row r="1793" spans="1:11" x14ac:dyDescent="0.25">
      <c r="A1793" s="8">
        <v>2934</v>
      </c>
      <c r="B1793" s="9" t="s">
        <v>6158</v>
      </c>
      <c r="C1793" s="9" t="s">
        <v>3673</v>
      </c>
      <c r="D1793" s="9" t="s">
        <v>139</v>
      </c>
      <c r="E1793" s="9" t="s">
        <v>1091</v>
      </c>
      <c r="F1793" s="9" t="s">
        <v>1092</v>
      </c>
      <c r="G1793" s="9" t="s">
        <v>142</v>
      </c>
      <c r="H1793" s="9" t="s">
        <v>139</v>
      </c>
      <c r="I1793" s="9" t="s">
        <v>411</v>
      </c>
      <c r="J1793" s="9" t="s">
        <v>139</v>
      </c>
      <c r="K1793" s="10">
        <v>39380.660879629628</v>
      </c>
    </row>
    <row r="1794" spans="1:11" x14ac:dyDescent="0.25">
      <c r="A1794" s="8">
        <v>2935</v>
      </c>
      <c r="B1794" s="9" t="s">
        <v>6159</v>
      </c>
      <c r="C1794" s="9" t="s">
        <v>3674</v>
      </c>
      <c r="D1794" s="9" t="s">
        <v>139</v>
      </c>
      <c r="E1794" s="9" t="s">
        <v>229</v>
      </c>
      <c r="F1794" s="9" t="s">
        <v>141</v>
      </c>
      <c r="G1794" s="9" t="s">
        <v>142</v>
      </c>
      <c r="H1794" s="9" t="s">
        <v>139</v>
      </c>
      <c r="I1794" s="9" t="s">
        <v>411</v>
      </c>
      <c r="J1794" s="9" t="s">
        <v>139</v>
      </c>
      <c r="K1794" s="10">
        <v>39386.780821759261</v>
      </c>
    </row>
    <row r="1795" spans="1:11" x14ac:dyDescent="0.25">
      <c r="A1795" s="8">
        <v>2936</v>
      </c>
      <c r="B1795" s="9" t="s">
        <v>6160</v>
      </c>
      <c r="C1795" s="9" t="s">
        <v>3675</v>
      </c>
      <c r="D1795" s="9" t="s">
        <v>3676</v>
      </c>
      <c r="E1795" s="9" t="s">
        <v>3677</v>
      </c>
      <c r="F1795" s="9" t="s">
        <v>3678</v>
      </c>
      <c r="G1795" s="9" t="s">
        <v>142</v>
      </c>
      <c r="H1795" s="9" t="s">
        <v>139</v>
      </c>
      <c r="I1795" s="9" t="s">
        <v>411</v>
      </c>
      <c r="J1795" s="9" t="s">
        <v>3679</v>
      </c>
      <c r="K1795" s="10">
        <v>39393.599895833337</v>
      </c>
    </row>
    <row r="1796" spans="1:11" x14ac:dyDescent="0.25">
      <c r="A1796" s="8">
        <v>2937</v>
      </c>
      <c r="B1796" s="9" t="s">
        <v>6161</v>
      </c>
      <c r="C1796" s="9" t="s">
        <v>3680</v>
      </c>
      <c r="D1796" s="9" t="s">
        <v>139</v>
      </c>
      <c r="E1796" s="9" t="s">
        <v>147</v>
      </c>
      <c r="F1796" s="9" t="s">
        <v>141</v>
      </c>
      <c r="G1796" s="9" t="s">
        <v>142</v>
      </c>
      <c r="H1796" s="9" t="s">
        <v>166</v>
      </c>
      <c r="I1796" s="9" t="s">
        <v>411</v>
      </c>
      <c r="J1796" s="9" t="s">
        <v>3681</v>
      </c>
      <c r="K1796" s="10">
        <v>39401.807754629626</v>
      </c>
    </row>
    <row r="1797" spans="1:11" x14ac:dyDescent="0.25">
      <c r="A1797" s="8">
        <v>2938</v>
      </c>
      <c r="B1797" s="9" t="s">
        <v>6162</v>
      </c>
      <c r="C1797" s="9" t="s">
        <v>3682</v>
      </c>
      <c r="D1797" s="9" t="s">
        <v>139</v>
      </c>
      <c r="E1797" s="9" t="s">
        <v>3468</v>
      </c>
      <c r="F1797" s="9" t="s">
        <v>3469</v>
      </c>
      <c r="G1797" s="9" t="s">
        <v>142</v>
      </c>
      <c r="H1797" s="9" t="s">
        <v>166</v>
      </c>
      <c r="I1797" s="9" t="s">
        <v>411</v>
      </c>
      <c r="J1797" s="9" t="s">
        <v>139</v>
      </c>
      <c r="K1797" s="10">
        <v>39407.521701388891</v>
      </c>
    </row>
    <row r="1798" spans="1:11" x14ac:dyDescent="0.25">
      <c r="A1798" s="8">
        <v>2939</v>
      </c>
      <c r="B1798" s="9" t="s">
        <v>9272</v>
      </c>
      <c r="C1798" s="9" t="s">
        <v>3683</v>
      </c>
      <c r="D1798" s="9" t="s">
        <v>139</v>
      </c>
      <c r="E1798" s="9" t="s">
        <v>500</v>
      </c>
      <c r="F1798" s="9" t="s">
        <v>501</v>
      </c>
      <c r="G1798" s="9" t="s">
        <v>142</v>
      </c>
      <c r="H1798" s="9" t="s">
        <v>166</v>
      </c>
      <c r="I1798" s="9" t="s">
        <v>143</v>
      </c>
      <c r="J1798" s="9" t="s">
        <v>139</v>
      </c>
      <c r="K1798" s="10">
        <v>39415.499930555554</v>
      </c>
    </row>
    <row r="1799" spans="1:11" x14ac:dyDescent="0.25">
      <c r="A1799" s="8">
        <v>2940</v>
      </c>
      <c r="B1799" s="9" t="s">
        <v>6163</v>
      </c>
      <c r="C1799" s="9" t="s">
        <v>3684</v>
      </c>
      <c r="D1799" s="9" t="s">
        <v>139</v>
      </c>
      <c r="E1799" s="9" t="s">
        <v>3685</v>
      </c>
      <c r="F1799" s="9" t="s">
        <v>3686</v>
      </c>
      <c r="G1799" s="9" t="s">
        <v>142</v>
      </c>
      <c r="H1799" s="9" t="s">
        <v>241</v>
      </c>
      <c r="I1799" s="9" t="s">
        <v>411</v>
      </c>
      <c r="J1799" s="9" t="s">
        <v>139</v>
      </c>
      <c r="K1799" s="10">
        <v>39423.480115740742</v>
      </c>
    </row>
    <row r="1800" spans="1:11" x14ac:dyDescent="0.25">
      <c r="A1800" s="8">
        <v>2941</v>
      </c>
      <c r="B1800" s="9" t="s">
        <v>9273</v>
      </c>
      <c r="C1800" s="9" t="s">
        <v>139</v>
      </c>
      <c r="D1800" s="9" t="s">
        <v>139</v>
      </c>
      <c r="E1800" s="25">
        <v>75000</v>
      </c>
      <c r="F1800" s="9" t="s">
        <v>413</v>
      </c>
      <c r="G1800" s="9" t="s">
        <v>142</v>
      </c>
      <c r="H1800" s="9" t="s">
        <v>139</v>
      </c>
      <c r="I1800" s="9" t="s">
        <v>143</v>
      </c>
      <c r="J1800" s="9" t="s">
        <v>139</v>
      </c>
      <c r="K1800" s="10">
        <v>39427.485868055555</v>
      </c>
    </row>
    <row r="1801" spans="1:11" x14ac:dyDescent="0.25">
      <c r="A1801" s="8">
        <v>2942</v>
      </c>
      <c r="B1801" s="9" t="s">
        <v>9274</v>
      </c>
      <c r="C1801" s="9" t="s">
        <v>139</v>
      </c>
      <c r="D1801" s="9" t="s">
        <v>139</v>
      </c>
      <c r="E1801" s="25">
        <v>75000</v>
      </c>
      <c r="F1801" s="9" t="s">
        <v>413</v>
      </c>
      <c r="G1801" s="9" t="s">
        <v>142</v>
      </c>
      <c r="H1801" s="9" t="s">
        <v>139</v>
      </c>
      <c r="I1801" s="9" t="s">
        <v>143</v>
      </c>
      <c r="J1801" s="9" t="s">
        <v>139</v>
      </c>
      <c r="K1801" s="10">
        <v>39427.533113425925</v>
      </c>
    </row>
    <row r="1802" spans="1:11" x14ac:dyDescent="0.25">
      <c r="A1802" s="8">
        <v>2943</v>
      </c>
      <c r="B1802" s="9" t="s">
        <v>9275</v>
      </c>
      <c r="C1802" s="9" t="s">
        <v>3687</v>
      </c>
      <c r="D1802" s="9" t="s">
        <v>139</v>
      </c>
      <c r="E1802" s="9" t="s">
        <v>180</v>
      </c>
      <c r="F1802" s="9" t="s">
        <v>141</v>
      </c>
      <c r="G1802" s="9" t="s">
        <v>142</v>
      </c>
      <c r="H1802" s="9" t="s">
        <v>241</v>
      </c>
      <c r="I1802" s="9" t="s">
        <v>143</v>
      </c>
      <c r="J1802" s="9" t="s">
        <v>139</v>
      </c>
      <c r="K1802" s="10">
        <v>39431.730428240742</v>
      </c>
    </row>
    <row r="1803" spans="1:11" x14ac:dyDescent="0.25">
      <c r="A1803" s="8">
        <v>2944</v>
      </c>
      <c r="B1803" s="9" t="s">
        <v>6164</v>
      </c>
      <c r="C1803" s="9" t="s">
        <v>3688</v>
      </c>
      <c r="D1803" s="9" t="s">
        <v>139</v>
      </c>
      <c r="E1803" s="9" t="s">
        <v>310</v>
      </c>
      <c r="F1803" s="9" t="s">
        <v>3689</v>
      </c>
      <c r="G1803" s="9" t="s">
        <v>142</v>
      </c>
      <c r="H1803" s="9" t="s">
        <v>241</v>
      </c>
      <c r="I1803" s="9" t="s">
        <v>411</v>
      </c>
      <c r="J1803" s="9" t="s">
        <v>3690</v>
      </c>
      <c r="K1803" s="10">
        <v>39454.54515046296</v>
      </c>
    </row>
    <row r="1804" spans="1:11" x14ac:dyDescent="0.25">
      <c r="A1804" s="8">
        <v>2945</v>
      </c>
      <c r="B1804" s="9" t="s">
        <v>6165</v>
      </c>
      <c r="C1804" s="9" t="s">
        <v>3691</v>
      </c>
      <c r="D1804" s="9" t="s">
        <v>139</v>
      </c>
      <c r="E1804" s="9" t="s">
        <v>180</v>
      </c>
      <c r="F1804" s="9" t="s">
        <v>141</v>
      </c>
      <c r="G1804" s="9" t="s">
        <v>142</v>
      </c>
      <c r="H1804" s="9" t="s">
        <v>241</v>
      </c>
      <c r="I1804" s="9" t="s">
        <v>411</v>
      </c>
      <c r="J1804" s="9" t="s">
        <v>3692</v>
      </c>
      <c r="K1804" s="10">
        <v>39459.698773148149</v>
      </c>
    </row>
    <row r="1805" spans="1:11" x14ac:dyDescent="0.25">
      <c r="A1805" s="8">
        <v>2946</v>
      </c>
      <c r="B1805" s="9" t="s">
        <v>6166</v>
      </c>
      <c r="C1805" s="9" t="s">
        <v>3693</v>
      </c>
      <c r="D1805" s="9" t="s">
        <v>139</v>
      </c>
      <c r="E1805" s="9" t="s">
        <v>229</v>
      </c>
      <c r="F1805" s="9" t="s">
        <v>141</v>
      </c>
      <c r="G1805" s="9" t="s">
        <v>142</v>
      </c>
      <c r="H1805" s="9" t="s">
        <v>241</v>
      </c>
      <c r="I1805" s="9" t="s">
        <v>411</v>
      </c>
      <c r="J1805" s="9" t="s">
        <v>3694</v>
      </c>
      <c r="K1805" s="10">
        <v>39459.78733796296</v>
      </c>
    </row>
    <row r="1806" spans="1:11" x14ac:dyDescent="0.25">
      <c r="A1806" s="8">
        <v>2948</v>
      </c>
      <c r="B1806" s="9" t="s">
        <v>6167</v>
      </c>
      <c r="C1806" s="9" t="s">
        <v>3695</v>
      </c>
      <c r="D1806" s="9" t="s">
        <v>3696</v>
      </c>
      <c r="E1806" s="9" t="s">
        <v>3697</v>
      </c>
      <c r="F1806" s="9" t="s">
        <v>3698</v>
      </c>
      <c r="G1806" s="9" t="s">
        <v>142</v>
      </c>
      <c r="H1806" s="9" t="s">
        <v>139</v>
      </c>
      <c r="I1806" s="9" t="s">
        <v>411</v>
      </c>
      <c r="J1806" s="9" t="s">
        <v>3699</v>
      </c>
      <c r="K1806" s="10">
        <v>39464.993321759262</v>
      </c>
    </row>
    <row r="1807" spans="1:11" x14ac:dyDescent="0.25">
      <c r="A1807" s="8">
        <v>2949</v>
      </c>
      <c r="B1807" s="9" t="s">
        <v>6168</v>
      </c>
      <c r="C1807" s="9" t="s">
        <v>3700</v>
      </c>
      <c r="D1807" s="9" t="s">
        <v>139</v>
      </c>
      <c r="E1807" s="9" t="s">
        <v>197</v>
      </c>
      <c r="F1807" s="9" t="s">
        <v>413</v>
      </c>
      <c r="G1807" s="9" t="s">
        <v>142</v>
      </c>
      <c r="H1807" s="9" t="s">
        <v>139</v>
      </c>
      <c r="I1807" s="9" t="s">
        <v>411</v>
      </c>
      <c r="J1807" s="9" t="s">
        <v>3701</v>
      </c>
      <c r="K1807" s="10">
        <v>39465.908125000002</v>
      </c>
    </row>
    <row r="1808" spans="1:11" x14ac:dyDescent="0.25">
      <c r="A1808" s="8">
        <v>2951</v>
      </c>
      <c r="B1808" s="9" t="s">
        <v>9276</v>
      </c>
      <c r="C1808" s="9" t="s">
        <v>3702</v>
      </c>
      <c r="D1808" s="9" t="s">
        <v>139</v>
      </c>
      <c r="E1808" s="9" t="s">
        <v>3703</v>
      </c>
      <c r="F1808" s="9" t="s">
        <v>3704</v>
      </c>
      <c r="G1808" s="9" t="s">
        <v>142</v>
      </c>
      <c r="H1808" s="9" t="s">
        <v>139</v>
      </c>
      <c r="I1808" s="9" t="s">
        <v>143</v>
      </c>
      <c r="J1808" s="9" t="s">
        <v>139</v>
      </c>
      <c r="K1808" s="10">
        <v>39465.939513888887</v>
      </c>
    </row>
    <row r="1809" spans="1:11" x14ac:dyDescent="0.25">
      <c r="A1809" s="8">
        <v>2952</v>
      </c>
      <c r="B1809" s="9" t="s">
        <v>6169</v>
      </c>
      <c r="C1809" s="9" t="s">
        <v>3705</v>
      </c>
      <c r="D1809" s="9" t="s">
        <v>139</v>
      </c>
      <c r="E1809" s="9" t="s">
        <v>1492</v>
      </c>
      <c r="F1809" s="9" t="s">
        <v>1493</v>
      </c>
      <c r="G1809" s="9" t="s">
        <v>142</v>
      </c>
      <c r="H1809" s="9" t="s">
        <v>139</v>
      </c>
      <c r="I1809" s="9" t="s">
        <v>411</v>
      </c>
      <c r="J1809" s="9" t="s">
        <v>139</v>
      </c>
      <c r="K1809" s="10">
        <v>39468.036608796298</v>
      </c>
    </row>
    <row r="1810" spans="1:11" x14ac:dyDescent="0.25">
      <c r="A1810" s="8">
        <v>2954</v>
      </c>
      <c r="B1810" s="9" t="s">
        <v>6170</v>
      </c>
      <c r="C1810" s="9" t="s">
        <v>3706</v>
      </c>
      <c r="D1810" s="9" t="s">
        <v>139</v>
      </c>
      <c r="E1810" s="9" t="s">
        <v>3707</v>
      </c>
      <c r="F1810" s="9" t="s">
        <v>3708</v>
      </c>
      <c r="G1810" s="9" t="s">
        <v>142</v>
      </c>
      <c r="H1810" s="9" t="s">
        <v>241</v>
      </c>
      <c r="I1810" s="9" t="s">
        <v>411</v>
      </c>
      <c r="J1810" s="9" t="s">
        <v>139</v>
      </c>
      <c r="K1810" s="10">
        <v>39468.044895833336</v>
      </c>
    </row>
    <row r="1811" spans="1:11" x14ac:dyDescent="0.25">
      <c r="A1811" s="8">
        <v>2955</v>
      </c>
      <c r="B1811" s="9" t="s">
        <v>6171</v>
      </c>
      <c r="C1811" s="9" t="s">
        <v>2858</v>
      </c>
      <c r="D1811" s="9" t="s">
        <v>139</v>
      </c>
      <c r="E1811" s="9" t="s">
        <v>1955</v>
      </c>
      <c r="F1811" s="9" t="s">
        <v>3709</v>
      </c>
      <c r="G1811" s="9" t="s">
        <v>142</v>
      </c>
      <c r="H1811" s="9" t="s">
        <v>241</v>
      </c>
      <c r="I1811" s="9" t="s">
        <v>411</v>
      </c>
      <c r="J1811" s="9" t="s">
        <v>3710</v>
      </c>
      <c r="K1811" s="10">
        <v>39479.380185185182</v>
      </c>
    </row>
    <row r="1812" spans="1:11" x14ac:dyDescent="0.25">
      <c r="A1812" s="8">
        <v>2956</v>
      </c>
      <c r="B1812" s="9" t="s">
        <v>6172</v>
      </c>
      <c r="C1812" s="9" t="s">
        <v>3711</v>
      </c>
      <c r="D1812" s="9" t="s">
        <v>139</v>
      </c>
      <c r="E1812" s="9" t="s">
        <v>280</v>
      </c>
      <c r="F1812" s="9" t="s">
        <v>141</v>
      </c>
      <c r="G1812" s="9" t="s">
        <v>142</v>
      </c>
      <c r="H1812" s="9" t="s">
        <v>139</v>
      </c>
      <c r="I1812" s="9" t="s">
        <v>411</v>
      </c>
      <c r="J1812" s="9" t="s">
        <v>139</v>
      </c>
      <c r="K1812" s="10">
        <v>39479.731666666667</v>
      </c>
    </row>
    <row r="1813" spans="1:11" x14ac:dyDescent="0.25">
      <c r="A1813" s="8">
        <v>2957</v>
      </c>
      <c r="B1813" s="9" t="s">
        <v>6173</v>
      </c>
      <c r="C1813" s="9" t="s">
        <v>3712</v>
      </c>
      <c r="D1813" s="9" t="s">
        <v>139</v>
      </c>
      <c r="E1813" s="9" t="s">
        <v>589</v>
      </c>
      <c r="F1813" s="9" t="s">
        <v>3713</v>
      </c>
      <c r="G1813" s="9" t="s">
        <v>142</v>
      </c>
      <c r="H1813" s="9" t="s">
        <v>241</v>
      </c>
      <c r="I1813" s="9" t="s">
        <v>411</v>
      </c>
      <c r="J1813" s="9" t="s">
        <v>139</v>
      </c>
      <c r="K1813" s="10">
        <v>39479.734872685185</v>
      </c>
    </row>
    <row r="1814" spans="1:11" x14ac:dyDescent="0.25">
      <c r="A1814" s="8">
        <v>2958</v>
      </c>
      <c r="B1814" s="9" t="s">
        <v>6174</v>
      </c>
      <c r="C1814" s="9" t="s">
        <v>3714</v>
      </c>
      <c r="D1814" s="9" t="s">
        <v>139</v>
      </c>
      <c r="E1814" s="9" t="s">
        <v>3715</v>
      </c>
      <c r="F1814" s="9" t="s">
        <v>3716</v>
      </c>
      <c r="G1814" s="9" t="s">
        <v>142</v>
      </c>
      <c r="H1814" s="9" t="s">
        <v>166</v>
      </c>
      <c r="I1814" s="9" t="s">
        <v>411</v>
      </c>
      <c r="J1814" s="9" t="s">
        <v>139</v>
      </c>
      <c r="K1814" s="10">
        <v>39479.78365740741</v>
      </c>
    </row>
    <row r="1815" spans="1:11" x14ac:dyDescent="0.25">
      <c r="A1815" s="8">
        <v>2959</v>
      </c>
      <c r="B1815" s="9" t="s">
        <v>6175</v>
      </c>
      <c r="C1815" s="9" t="s">
        <v>3717</v>
      </c>
      <c r="D1815" s="9" t="s">
        <v>3718</v>
      </c>
      <c r="E1815" s="9" t="s">
        <v>3719</v>
      </c>
      <c r="F1815" s="9" t="s">
        <v>3720</v>
      </c>
      <c r="G1815" s="9" t="s">
        <v>142</v>
      </c>
      <c r="H1815" s="9" t="s">
        <v>241</v>
      </c>
      <c r="I1815" s="9" t="s">
        <v>411</v>
      </c>
      <c r="J1815" s="9" t="s">
        <v>3721</v>
      </c>
      <c r="K1815" s="10">
        <v>39481.809965277775</v>
      </c>
    </row>
    <row r="1816" spans="1:11" x14ac:dyDescent="0.25">
      <c r="A1816" s="8">
        <v>2960</v>
      </c>
      <c r="B1816" s="9" t="s">
        <v>6176</v>
      </c>
      <c r="C1816" s="9" t="s">
        <v>3722</v>
      </c>
      <c r="D1816" s="9" t="s">
        <v>139</v>
      </c>
      <c r="E1816" s="9" t="s">
        <v>3723</v>
      </c>
      <c r="F1816" s="9" t="s">
        <v>3724</v>
      </c>
      <c r="G1816" s="9" t="s">
        <v>142</v>
      </c>
      <c r="H1816" s="9" t="s">
        <v>241</v>
      </c>
      <c r="I1816" s="9" t="s">
        <v>411</v>
      </c>
      <c r="J1816" s="9" t="s">
        <v>3725</v>
      </c>
      <c r="K1816" s="10">
        <v>39481.83253472222</v>
      </c>
    </row>
    <row r="1817" spans="1:11" x14ac:dyDescent="0.25">
      <c r="A1817" s="8">
        <v>2961</v>
      </c>
      <c r="B1817" s="9" t="s">
        <v>6177</v>
      </c>
      <c r="C1817" s="9" t="s">
        <v>3726</v>
      </c>
      <c r="D1817" s="9" t="s">
        <v>139</v>
      </c>
      <c r="E1817" s="9" t="s">
        <v>3727</v>
      </c>
      <c r="F1817" s="9" t="s">
        <v>3728</v>
      </c>
      <c r="G1817" s="9" t="s">
        <v>142</v>
      </c>
      <c r="H1817" s="9" t="s">
        <v>139</v>
      </c>
      <c r="I1817" s="9" t="s">
        <v>411</v>
      </c>
      <c r="J1817" s="9" t="s">
        <v>3729</v>
      </c>
      <c r="K1817" s="10">
        <v>39483.53261574074</v>
      </c>
    </row>
    <row r="1818" spans="1:11" x14ac:dyDescent="0.25">
      <c r="A1818" s="8">
        <v>2962</v>
      </c>
      <c r="B1818" s="9" t="s">
        <v>6178</v>
      </c>
      <c r="C1818" s="9" t="s">
        <v>3730</v>
      </c>
      <c r="D1818" s="9" t="s">
        <v>139</v>
      </c>
      <c r="E1818" s="9" t="s">
        <v>3562</v>
      </c>
      <c r="F1818" s="9" t="s">
        <v>601</v>
      </c>
      <c r="G1818" s="9" t="s">
        <v>602</v>
      </c>
      <c r="H1818" s="9" t="s">
        <v>166</v>
      </c>
      <c r="I1818" s="9" t="s">
        <v>411</v>
      </c>
      <c r="J1818" s="9" t="s">
        <v>3731</v>
      </c>
      <c r="K1818" s="10">
        <v>39483.538252314815</v>
      </c>
    </row>
    <row r="1819" spans="1:11" x14ac:dyDescent="0.25">
      <c r="A1819" s="8">
        <v>2963</v>
      </c>
      <c r="B1819" s="9" t="s">
        <v>6179</v>
      </c>
      <c r="C1819" s="9" t="s">
        <v>3732</v>
      </c>
      <c r="D1819" s="9" t="s">
        <v>139</v>
      </c>
      <c r="E1819" s="9" t="s">
        <v>2335</v>
      </c>
      <c r="F1819" s="9" t="s">
        <v>2336</v>
      </c>
      <c r="G1819" s="9" t="s">
        <v>142</v>
      </c>
      <c r="H1819" s="9" t="s">
        <v>139</v>
      </c>
      <c r="I1819" s="9" t="s">
        <v>411</v>
      </c>
      <c r="J1819" s="9" t="s">
        <v>3733</v>
      </c>
      <c r="K1819" s="10">
        <v>39484.721018518518</v>
      </c>
    </row>
    <row r="1820" spans="1:11" x14ac:dyDescent="0.25">
      <c r="A1820" s="8">
        <v>2964</v>
      </c>
      <c r="B1820" s="9" t="s">
        <v>6180</v>
      </c>
      <c r="C1820" s="9" t="s">
        <v>3734</v>
      </c>
      <c r="D1820" s="9" t="s">
        <v>139</v>
      </c>
      <c r="E1820" s="9" t="s">
        <v>3735</v>
      </c>
      <c r="F1820" s="9" t="s">
        <v>3736</v>
      </c>
      <c r="G1820" s="9" t="s">
        <v>142</v>
      </c>
      <c r="H1820" s="9" t="s">
        <v>166</v>
      </c>
      <c r="I1820" s="9" t="s">
        <v>411</v>
      </c>
      <c r="J1820" s="9" t="s">
        <v>139</v>
      </c>
      <c r="K1820" s="10">
        <v>39484.742488425924</v>
      </c>
    </row>
    <row r="1821" spans="1:11" x14ac:dyDescent="0.25">
      <c r="A1821" s="8">
        <v>2965</v>
      </c>
      <c r="B1821" s="9" t="s">
        <v>6181</v>
      </c>
      <c r="C1821" s="9" t="s">
        <v>3737</v>
      </c>
      <c r="D1821" s="9" t="s">
        <v>139</v>
      </c>
      <c r="E1821" s="9" t="s">
        <v>1629</v>
      </c>
      <c r="F1821" s="9" t="s">
        <v>169</v>
      </c>
      <c r="G1821" s="9" t="s">
        <v>142</v>
      </c>
      <c r="H1821" s="9" t="s">
        <v>241</v>
      </c>
      <c r="I1821" s="9" t="s">
        <v>411</v>
      </c>
      <c r="J1821" s="9" t="s">
        <v>3738</v>
      </c>
      <c r="K1821" s="10">
        <v>39484.759259259263</v>
      </c>
    </row>
    <row r="1822" spans="1:11" x14ac:dyDescent="0.25">
      <c r="A1822" s="8">
        <v>2966</v>
      </c>
      <c r="B1822" s="9" t="s">
        <v>6182</v>
      </c>
      <c r="C1822" s="9" t="s">
        <v>3739</v>
      </c>
      <c r="D1822" s="9" t="s">
        <v>139</v>
      </c>
      <c r="E1822" s="9" t="s">
        <v>161</v>
      </c>
      <c r="F1822" s="9" t="s">
        <v>9304</v>
      </c>
      <c r="G1822" s="9" t="s">
        <v>142</v>
      </c>
      <c r="H1822" s="9" t="s">
        <v>321</v>
      </c>
      <c r="I1822" s="9" t="s">
        <v>411</v>
      </c>
      <c r="J1822" s="9" t="s">
        <v>3740</v>
      </c>
      <c r="K1822" s="10">
        <v>39484.777604166666</v>
      </c>
    </row>
    <row r="1823" spans="1:11" x14ac:dyDescent="0.25">
      <c r="A1823" s="8">
        <v>2968</v>
      </c>
      <c r="B1823" s="9" t="s">
        <v>6183</v>
      </c>
      <c r="C1823" s="9" t="s">
        <v>3741</v>
      </c>
      <c r="D1823" s="9" t="s">
        <v>139</v>
      </c>
      <c r="E1823" s="9" t="s">
        <v>3742</v>
      </c>
      <c r="F1823" s="9" t="s">
        <v>3743</v>
      </c>
      <c r="G1823" s="9" t="s">
        <v>142</v>
      </c>
      <c r="H1823" s="9" t="s">
        <v>241</v>
      </c>
      <c r="I1823" s="9" t="s">
        <v>411</v>
      </c>
      <c r="J1823" s="9" t="s">
        <v>139</v>
      </c>
      <c r="K1823" s="10">
        <v>39486.688310185185</v>
      </c>
    </row>
    <row r="1824" spans="1:11" x14ac:dyDescent="0.25">
      <c r="A1824" s="8">
        <v>2969</v>
      </c>
      <c r="B1824" s="9" t="s">
        <v>6184</v>
      </c>
      <c r="C1824" s="9" t="s">
        <v>3744</v>
      </c>
      <c r="D1824" s="9" t="s">
        <v>3745</v>
      </c>
      <c r="E1824" s="9" t="s">
        <v>2372</v>
      </c>
      <c r="F1824" s="9" t="s">
        <v>3746</v>
      </c>
      <c r="G1824" s="9" t="s">
        <v>142</v>
      </c>
      <c r="H1824" s="9" t="s">
        <v>139</v>
      </c>
      <c r="I1824" s="9" t="s">
        <v>411</v>
      </c>
      <c r="J1824" s="9" t="s">
        <v>139</v>
      </c>
      <c r="K1824" s="10">
        <v>39499.833240740743</v>
      </c>
    </row>
    <row r="1825" spans="1:11" x14ac:dyDescent="0.25">
      <c r="A1825" s="8">
        <v>2970</v>
      </c>
      <c r="B1825" s="9" t="s">
        <v>6185</v>
      </c>
      <c r="C1825" s="9" t="s">
        <v>3747</v>
      </c>
      <c r="D1825" s="9" t="s">
        <v>139</v>
      </c>
      <c r="E1825" s="9" t="s">
        <v>3748</v>
      </c>
      <c r="F1825" s="9" t="s">
        <v>3749</v>
      </c>
      <c r="G1825" s="9" t="s">
        <v>142</v>
      </c>
      <c r="H1825" s="9" t="s">
        <v>139</v>
      </c>
      <c r="I1825" s="9" t="s">
        <v>411</v>
      </c>
      <c r="J1825" s="9" t="s">
        <v>3750</v>
      </c>
      <c r="K1825" s="10">
        <v>39505.631736111114</v>
      </c>
    </row>
    <row r="1826" spans="1:11" x14ac:dyDescent="0.25">
      <c r="A1826" s="8">
        <v>2971</v>
      </c>
      <c r="B1826" s="9" t="s">
        <v>6186</v>
      </c>
      <c r="C1826" s="9" t="s">
        <v>3751</v>
      </c>
      <c r="D1826" s="9" t="s">
        <v>3752</v>
      </c>
      <c r="E1826" s="9" t="s">
        <v>940</v>
      </c>
      <c r="F1826" s="9" t="s">
        <v>3753</v>
      </c>
      <c r="G1826" s="9" t="s">
        <v>142</v>
      </c>
      <c r="H1826" s="9" t="s">
        <v>139</v>
      </c>
      <c r="I1826" s="9" t="s">
        <v>411</v>
      </c>
      <c r="J1826" s="9" t="s">
        <v>3754</v>
      </c>
      <c r="K1826" s="10">
        <v>39510.833333333336</v>
      </c>
    </row>
    <row r="1827" spans="1:11" x14ac:dyDescent="0.25">
      <c r="A1827" s="8">
        <v>2972</v>
      </c>
      <c r="B1827" s="9" t="s">
        <v>6187</v>
      </c>
      <c r="C1827" s="9" t="s">
        <v>3755</v>
      </c>
      <c r="D1827" s="9" t="s">
        <v>139</v>
      </c>
      <c r="E1827" s="9" t="s">
        <v>3756</v>
      </c>
      <c r="F1827" s="9" t="s">
        <v>3757</v>
      </c>
      <c r="G1827" s="9" t="s">
        <v>142</v>
      </c>
      <c r="H1827" s="9" t="s">
        <v>166</v>
      </c>
      <c r="I1827" s="9" t="s">
        <v>411</v>
      </c>
      <c r="J1827" s="9" t="s">
        <v>3758</v>
      </c>
      <c r="K1827" s="10">
        <v>39527.526273148149</v>
      </c>
    </row>
    <row r="1828" spans="1:11" x14ac:dyDescent="0.25">
      <c r="A1828" s="8">
        <v>2973</v>
      </c>
      <c r="B1828" s="9" t="s">
        <v>9277</v>
      </c>
      <c r="C1828" s="9" t="s">
        <v>3759</v>
      </c>
      <c r="D1828" s="9" t="s">
        <v>139</v>
      </c>
      <c r="E1828" s="9" t="s">
        <v>3760</v>
      </c>
      <c r="F1828" s="9" t="s">
        <v>3761</v>
      </c>
      <c r="G1828" s="9" t="s">
        <v>142</v>
      </c>
      <c r="H1828" s="9" t="s">
        <v>241</v>
      </c>
      <c r="I1828" s="9" t="s">
        <v>143</v>
      </c>
      <c r="J1828" s="9" t="s">
        <v>139</v>
      </c>
      <c r="K1828" s="10">
        <v>39543.595879629633</v>
      </c>
    </row>
    <row r="1829" spans="1:11" x14ac:dyDescent="0.25">
      <c r="A1829" s="8">
        <v>2974</v>
      </c>
      <c r="B1829" s="9" t="s">
        <v>6188</v>
      </c>
      <c r="C1829" s="9" t="s">
        <v>3762</v>
      </c>
      <c r="D1829" s="9" t="s">
        <v>139</v>
      </c>
      <c r="E1829" s="9" t="s">
        <v>263</v>
      </c>
      <c r="F1829" s="9" t="s">
        <v>141</v>
      </c>
      <c r="G1829" s="9" t="s">
        <v>142</v>
      </c>
      <c r="H1829" s="9" t="s">
        <v>166</v>
      </c>
      <c r="I1829" s="9" t="s">
        <v>411</v>
      </c>
      <c r="J1829" s="9" t="s">
        <v>3763</v>
      </c>
      <c r="K1829" s="10">
        <v>39550.471041666664</v>
      </c>
    </row>
    <row r="1830" spans="1:11" x14ac:dyDescent="0.25">
      <c r="A1830" s="8">
        <v>2975</v>
      </c>
      <c r="B1830" s="9" t="s">
        <v>6189</v>
      </c>
      <c r="C1830" s="9" t="s">
        <v>3764</v>
      </c>
      <c r="D1830" s="9" t="s">
        <v>139</v>
      </c>
      <c r="E1830" s="9" t="s">
        <v>1563</v>
      </c>
      <c r="F1830" s="9" t="s">
        <v>971</v>
      </c>
      <c r="G1830" s="9" t="s">
        <v>142</v>
      </c>
      <c r="H1830" s="9" t="s">
        <v>139</v>
      </c>
      <c r="I1830" s="9" t="s">
        <v>411</v>
      </c>
      <c r="J1830" s="9" t="s">
        <v>139</v>
      </c>
      <c r="K1830" s="10">
        <v>39550.473576388889</v>
      </c>
    </row>
    <row r="1831" spans="1:11" x14ac:dyDescent="0.25">
      <c r="A1831" s="8">
        <v>2976</v>
      </c>
      <c r="B1831" s="9" t="s">
        <v>6190</v>
      </c>
      <c r="C1831" s="9" t="s">
        <v>3765</v>
      </c>
      <c r="D1831" s="9" t="s">
        <v>139</v>
      </c>
      <c r="E1831" s="9" t="s">
        <v>3766</v>
      </c>
      <c r="F1831" s="9" t="s">
        <v>971</v>
      </c>
      <c r="G1831" s="9" t="s">
        <v>142</v>
      </c>
      <c r="H1831" s="9" t="s">
        <v>241</v>
      </c>
      <c r="I1831" s="9" t="s">
        <v>411</v>
      </c>
      <c r="J1831" s="9" t="s">
        <v>139</v>
      </c>
      <c r="K1831" s="10">
        <v>39550.476701388892</v>
      </c>
    </row>
    <row r="1832" spans="1:11" x14ac:dyDescent="0.25">
      <c r="A1832" s="8">
        <v>2977</v>
      </c>
      <c r="B1832" s="9" t="s">
        <v>6191</v>
      </c>
      <c r="C1832" s="9" t="s">
        <v>3767</v>
      </c>
      <c r="D1832" s="9" t="s">
        <v>139</v>
      </c>
      <c r="E1832" s="9" t="s">
        <v>970</v>
      </c>
      <c r="F1832" s="9" t="s">
        <v>971</v>
      </c>
      <c r="G1832" s="9" t="s">
        <v>142</v>
      </c>
      <c r="H1832" s="9" t="s">
        <v>139</v>
      </c>
      <c r="I1832" s="9" t="s">
        <v>411</v>
      </c>
      <c r="J1832" s="9" t="s">
        <v>3768</v>
      </c>
      <c r="K1832" s="10">
        <v>39550.478090277778</v>
      </c>
    </row>
    <row r="1833" spans="1:11" x14ac:dyDescent="0.25">
      <c r="A1833" s="8">
        <v>2978</v>
      </c>
      <c r="B1833" s="9" t="s">
        <v>6192</v>
      </c>
      <c r="C1833" s="9" t="s">
        <v>3769</v>
      </c>
      <c r="D1833" s="9" t="s">
        <v>139</v>
      </c>
      <c r="E1833" s="9" t="s">
        <v>970</v>
      </c>
      <c r="F1833" s="9" t="s">
        <v>971</v>
      </c>
      <c r="G1833" s="9" t="s">
        <v>142</v>
      </c>
      <c r="H1833" s="9" t="s">
        <v>139</v>
      </c>
      <c r="I1833" s="9" t="s">
        <v>411</v>
      </c>
      <c r="J1833" s="9" t="s">
        <v>139</v>
      </c>
      <c r="K1833" s="10">
        <v>39550.48060185185</v>
      </c>
    </row>
    <row r="1834" spans="1:11" x14ac:dyDescent="0.25">
      <c r="A1834" s="8">
        <v>2979</v>
      </c>
      <c r="B1834" s="9" t="s">
        <v>9278</v>
      </c>
      <c r="C1834" s="9" t="s">
        <v>139</v>
      </c>
      <c r="D1834" s="9" t="s">
        <v>139</v>
      </c>
      <c r="E1834" s="9">
        <v>75</v>
      </c>
      <c r="F1834" s="9" t="s">
        <v>141</v>
      </c>
      <c r="G1834" s="9" t="s">
        <v>142</v>
      </c>
      <c r="H1834" s="9" t="s">
        <v>166</v>
      </c>
      <c r="I1834" s="9" t="s">
        <v>143</v>
      </c>
      <c r="J1834" s="9" t="s">
        <v>139</v>
      </c>
      <c r="K1834" s="10">
        <v>39554.656736111108</v>
      </c>
    </row>
    <row r="1835" spans="1:11" x14ac:dyDescent="0.25">
      <c r="A1835" s="8">
        <v>2980</v>
      </c>
      <c r="B1835" s="9" t="s">
        <v>6193</v>
      </c>
      <c r="C1835" s="9" t="s">
        <v>3770</v>
      </c>
      <c r="D1835" s="9" t="s">
        <v>139</v>
      </c>
      <c r="E1835" s="9" t="s">
        <v>3771</v>
      </c>
      <c r="F1835" s="9" t="s">
        <v>3772</v>
      </c>
      <c r="G1835" s="9" t="s">
        <v>142</v>
      </c>
      <c r="H1835" s="9" t="s">
        <v>139</v>
      </c>
      <c r="I1835" s="9" t="s">
        <v>411</v>
      </c>
      <c r="J1835" s="9" t="s">
        <v>139</v>
      </c>
      <c r="K1835" s="10">
        <v>39555.497615740744</v>
      </c>
    </row>
    <row r="1836" spans="1:11" x14ac:dyDescent="0.25">
      <c r="A1836" s="8">
        <v>2981</v>
      </c>
      <c r="B1836" s="9" t="s">
        <v>6194</v>
      </c>
      <c r="C1836" s="9" t="s">
        <v>3773</v>
      </c>
      <c r="D1836" s="9" t="s">
        <v>139</v>
      </c>
      <c r="E1836" s="9" t="s">
        <v>3771</v>
      </c>
      <c r="F1836" s="9" t="s">
        <v>3772</v>
      </c>
      <c r="G1836" s="9" t="s">
        <v>142</v>
      </c>
      <c r="H1836" s="9" t="s">
        <v>139</v>
      </c>
      <c r="I1836" s="9" t="s">
        <v>411</v>
      </c>
      <c r="J1836" s="9" t="s">
        <v>139</v>
      </c>
      <c r="K1836" s="10">
        <v>39555.498576388891</v>
      </c>
    </row>
    <row r="1837" spans="1:11" x14ac:dyDescent="0.25">
      <c r="A1837" s="8">
        <v>2982</v>
      </c>
      <c r="B1837" s="9" t="s">
        <v>6195</v>
      </c>
      <c r="C1837" s="9" t="s">
        <v>3774</v>
      </c>
      <c r="D1837" s="9" t="s">
        <v>139</v>
      </c>
      <c r="E1837" s="9" t="s">
        <v>3775</v>
      </c>
      <c r="F1837" s="9" t="s">
        <v>3776</v>
      </c>
      <c r="G1837" s="9" t="s">
        <v>142</v>
      </c>
      <c r="H1837" s="9" t="s">
        <v>241</v>
      </c>
      <c r="I1837" s="9" t="s">
        <v>411</v>
      </c>
      <c r="J1837" s="9" t="s">
        <v>3777</v>
      </c>
      <c r="K1837" s="10">
        <v>39567.451435185183</v>
      </c>
    </row>
    <row r="1838" spans="1:11" x14ac:dyDescent="0.25">
      <c r="A1838" s="8">
        <v>2983</v>
      </c>
      <c r="B1838" s="9" t="s">
        <v>6196</v>
      </c>
      <c r="C1838" s="9" t="s">
        <v>3778</v>
      </c>
      <c r="D1838" s="9" t="s">
        <v>139</v>
      </c>
      <c r="E1838" s="9" t="s">
        <v>197</v>
      </c>
      <c r="F1838" s="9" t="s">
        <v>141</v>
      </c>
      <c r="G1838" s="9" t="s">
        <v>142</v>
      </c>
      <c r="H1838" s="9" t="s">
        <v>241</v>
      </c>
      <c r="I1838" s="9" t="s">
        <v>411</v>
      </c>
      <c r="J1838" s="9" t="s">
        <v>139</v>
      </c>
      <c r="K1838" s="10">
        <v>39578.735208333332</v>
      </c>
    </row>
    <row r="1839" spans="1:11" x14ac:dyDescent="0.25">
      <c r="A1839" s="8">
        <v>2984</v>
      </c>
      <c r="B1839" s="9" t="s">
        <v>6197</v>
      </c>
      <c r="C1839" s="9" t="s">
        <v>3780</v>
      </c>
      <c r="D1839" s="9" t="s">
        <v>139</v>
      </c>
      <c r="E1839" s="9" t="s">
        <v>3781</v>
      </c>
      <c r="F1839" s="9" t="s">
        <v>3782</v>
      </c>
      <c r="G1839" s="9" t="s">
        <v>142</v>
      </c>
      <c r="H1839" s="9" t="s">
        <v>166</v>
      </c>
      <c r="I1839" s="9" t="s">
        <v>411</v>
      </c>
      <c r="J1839" s="9" t="s">
        <v>3783</v>
      </c>
      <c r="K1839" s="10">
        <v>39581.615960648145</v>
      </c>
    </row>
    <row r="1840" spans="1:11" x14ac:dyDescent="0.25">
      <c r="A1840" s="8">
        <v>2985</v>
      </c>
      <c r="B1840" s="9" t="s">
        <v>6198</v>
      </c>
      <c r="C1840" s="9" t="s">
        <v>3784</v>
      </c>
      <c r="D1840" s="9" t="s">
        <v>139</v>
      </c>
      <c r="E1840" s="9" t="s">
        <v>3785</v>
      </c>
      <c r="F1840" s="9" t="s">
        <v>3786</v>
      </c>
      <c r="G1840" s="9" t="s">
        <v>142</v>
      </c>
      <c r="H1840" s="9" t="s">
        <v>166</v>
      </c>
      <c r="I1840" s="9" t="s">
        <v>411</v>
      </c>
      <c r="J1840" s="9" t="s">
        <v>139</v>
      </c>
      <c r="K1840" s="10">
        <v>39597.668819444443</v>
      </c>
    </row>
    <row r="1841" spans="1:11" x14ac:dyDescent="0.25">
      <c r="A1841" s="8">
        <v>2986</v>
      </c>
      <c r="B1841" s="9" t="s">
        <v>6199</v>
      </c>
      <c r="C1841" s="9" t="s">
        <v>3787</v>
      </c>
      <c r="D1841" s="9" t="s">
        <v>139</v>
      </c>
      <c r="E1841" s="9" t="s">
        <v>2823</v>
      </c>
      <c r="F1841" s="9" t="s">
        <v>2824</v>
      </c>
      <c r="G1841" s="9" t="s">
        <v>142</v>
      </c>
      <c r="H1841" s="9" t="s">
        <v>139</v>
      </c>
      <c r="I1841" s="9" t="s">
        <v>411</v>
      </c>
      <c r="J1841" s="9" t="s">
        <v>139</v>
      </c>
      <c r="K1841" s="10">
        <v>39597.670752314814</v>
      </c>
    </row>
    <row r="1842" spans="1:11" x14ac:dyDescent="0.25">
      <c r="A1842" s="8">
        <v>2987</v>
      </c>
      <c r="B1842" s="9" t="s">
        <v>6200</v>
      </c>
      <c r="C1842" s="9" t="s">
        <v>3788</v>
      </c>
      <c r="D1842" s="9" t="s">
        <v>139</v>
      </c>
      <c r="E1842" s="9" t="s">
        <v>3789</v>
      </c>
      <c r="F1842" s="9" t="s">
        <v>3790</v>
      </c>
      <c r="G1842" s="9" t="s">
        <v>142</v>
      </c>
      <c r="H1842" s="9" t="s">
        <v>139</v>
      </c>
      <c r="I1842" s="9" t="s">
        <v>411</v>
      </c>
      <c r="J1842" s="9" t="s">
        <v>139</v>
      </c>
      <c r="K1842" s="10">
        <v>39597.673101851855</v>
      </c>
    </row>
    <row r="1843" spans="1:11" x14ac:dyDescent="0.25">
      <c r="A1843" s="8">
        <v>2988</v>
      </c>
      <c r="B1843" s="9" t="s">
        <v>6201</v>
      </c>
      <c r="C1843" s="9" t="s">
        <v>3791</v>
      </c>
      <c r="D1843" s="9" t="s">
        <v>139</v>
      </c>
      <c r="E1843" s="9" t="s">
        <v>808</v>
      </c>
      <c r="F1843" s="9" t="s">
        <v>809</v>
      </c>
      <c r="G1843" s="9" t="s">
        <v>142</v>
      </c>
      <c r="H1843" s="9" t="s">
        <v>139</v>
      </c>
      <c r="I1843" s="9" t="s">
        <v>411</v>
      </c>
      <c r="J1843" s="9" t="s">
        <v>139</v>
      </c>
      <c r="K1843" s="10">
        <v>39597.674953703703</v>
      </c>
    </row>
    <row r="1844" spans="1:11" x14ac:dyDescent="0.25">
      <c r="A1844" s="8">
        <v>2992</v>
      </c>
      <c r="B1844" s="9" t="s">
        <v>6202</v>
      </c>
      <c r="C1844" s="9" t="s">
        <v>3792</v>
      </c>
      <c r="D1844" s="9" t="s">
        <v>139</v>
      </c>
      <c r="E1844" s="9" t="s">
        <v>775</v>
      </c>
      <c r="F1844" s="9" t="s">
        <v>776</v>
      </c>
      <c r="G1844" s="9" t="s">
        <v>142</v>
      </c>
      <c r="H1844" s="9" t="s">
        <v>241</v>
      </c>
      <c r="I1844" s="9" t="s">
        <v>411</v>
      </c>
      <c r="J1844" s="9" t="s">
        <v>139</v>
      </c>
      <c r="K1844" s="10">
        <v>39627.470891203702</v>
      </c>
    </row>
    <row r="1845" spans="1:11" x14ac:dyDescent="0.25">
      <c r="A1845" s="8">
        <v>2993</v>
      </c>
      <c r="B1845" s="9" t="s">
        <v>6203</v>
      </c>
      <c r="C1845" s="9" t="s">
        <v>3793</v>
      </c>
      <c r="D1845" s="9" t="s">
        <v>139</v>
      </c>
      <c r="E1845" s="9" t="s">
        <v>3794</v>
      </c>
      <c r="F1845" s="9" t="s">
        <v>3795</v>
      </c>
      <c r="G1845" s="9" t="s">
        <v>142</v>
      </c>
      <c r="H1845" s="9" t="s">
        <v>166</v>
      </c>
      <c r="I1845" s="9" t="s">
        <v>411</v>
      </c>
      <c r="J1845" s="9" t="s">
        <v>3796</v>
      </c>
      <c r="K1845" s="10">
        <v>39651.468009259261</v>
      </c>
    </row>
    <row r="1846" spans="1:11" x14ac:dyDescent="0.25">
      <c r="A1846" s="8">
        <v>2994</v>
      </c>
      <c r="B1846" s="9" t="s">
        <v>9279</v>
      </c>
      <c r="C1846" s="9" t="s">
        <v>3797</v>
      </c>
      <c r="D1846" s="9" t="s">
        <v>139</v>
      </c>
      <c r="E1846" s="9" t="s">
        <v>364</v>
      </c>
      <c r="F1846" s="9" t="s">
        <v>365</v>
      </c>
      <c r="G1846" s="9" t="s">
        <v>142</v>
      </c>
      <c r="H1846" s="9" t="s">
        <v>258</v>
      </c>
      <c r="I1846" s="9" t="s">
        <v>143</v>
      </c>
      <c r="J1846" s="9" t="s">
        <v>139</v>
      </c>
      <c r="K1846" s="10">
        <v>39653.749236111114</v>
      </c>
    </row>
    <row r="1847" spans="1:11" x14ac:dyDescent="0.25">
      <c r="A1847" s="8">
        <v>2995</v>
      </c>
      <c r="B1847" s="9" t="s">
        <v>6204</v>
      </c>
      <c r="C1847" s="9" t="s">
        <v>3798</v>
      </c>
      <c r="D1847" s="9" t="s">
        <v>139</v>
      </c>
      <c r="E1847" s="9" t="s">
        <v>3799</v>
      </c>
      <c r="F1847" s="9" t="s">
        <v>3800</v>
      </c>
      <c r="G1847" s="9" t="s">
        <v>142</v>
      </c>
      <c r="H1847" s="9" t="s">
        <v>139</v>
      </c>
      <c r="I1847" s="9" t="s">
        <v>411</v>
      </c>
      <c r="J1847" s="9" t="s">
        <v>139</v>
      </c>
      <c r="K1847" s="10">
        <v>39661.655405092592</v>
      </c>
    </row>
    <row r="1848" spans="1:11" x14ac:dyDescent="0.25">
      <c r="A1848" s="8">
        <v>2996</v>
      </c>
      <c r="B1848" s="9" t="s">
        <v>6205</v>
      </c>
      <c r="C1848" s="9" t="s">
        <v>3801</v>
      </c>
      <c r="D1848" s="9" t="s">
        <v>139</v>
      </c>
      <c r="E1848" s="9" t="s">
        <v>3802</v>
      </c>
      <c r="F1848" s="9" t="s">
        <v>3803</v>
      </c>
      <c r="G1848" s="9" t="s">
        <v>142</v>
      </c>
      <c r="H1848" s="9" t="s">
        <v>139</v>
      </c>
      <c r="I1848" s="9" t="s">
        <v>411</v>
      </c>
      <c r="J1848" s="9" t="s">
        <v>139</v>
      </c>
      <c r="K1848" s="10">
        <v>39661.659317129626</v>
      </c>
    </row>
    <row r="1849" spans="1:11" x14ac:dyDescent="0.25">
      <c r="A1849" s="8">
        <v>2997</v>
      </c>
      <c r="B1849" s="9" t="s">
        <v>6206</v>
      </c>
      <c r="C1849" s="9" t="s">
        <v>3804</v>
      </c>
      <c r="D1849" s="9" t="s">
        <v>139</v>
      </c>
      <c r="E1849" s="9" t="s">
        <v>3805</v>
      </c>
      <c r="F1849" s="9" t="s">
        <v>3806</v>
      </c>
      <c r="G1849" s="9" t="s">
        <v>142</v>
      </c>
      <c r="H1849" s="9" t="s">
        <v>241</v>
      </c>
      <c r="I1849" s="9" t="s">
        <v>411</v>
      </c>
      <c r="J1849" s="9" t="s">
        <v>3807</v>
      </c>
      <c r="K1849" s="10">
        <v>39697.444687499999</v>
      </c>
    </row>
    <row r="1850" spans="1:11" x14ac:dyDescent="0.25">
      <c r="A1850" s="8">
        <v>2998</v>
      </c>
      <c r="B1850" s="9" t="s">
        <v>6207</v>
      </c>
      <c r="C1850" s="9" t="s">
        <v>3808</v>
      </c>
      <c r="D1850" s="9" t="s">
        <v>139</v>
      </c>
      <c r="E1850" s="9" t="s">
        <v>3809</v>
      </c>
      <c r="F1850" s="9" t="s">
        <v>3810</v>
      </c>
      <c r="G1850" s="9" t="s">
        <v>142</v>
      </c>
      <c r="H1850" s="9" t="s">
        <v>241</v>
      </c>
      <c r="I1850" s="9" t="s">
        <v>411</v>
      </c>
      <c r="J1850" s="9" t="s">
        <v>3811</v>
      </c>
      <c r="K1850" s="10">
        <v>39697.494884259257</v>
      </c>
    </row>
    <row r="1851" spans="1:11" x14ac:dyDescent="0.25">
      <c r="A1851" s="8">
        <v>2999</v>
      </c>
      <c r="B1851" s="9" t="s">
        <v>6208</v>
      </c>
      <c r="C1851" s="9" t="s">
        <v>3812</v>
      </c>
      <c r="D1851" s="9" t="s">
        <v>139</v>
      </c>
      <c r="E1851" s="9" t="s">
        <v>3349</v>
      </c>
      <c r="F1851" s="9" t="s">
        <v>3813</v>
      </c>
      <c r="G1851" s="9" t="s">
        <v>142</v>
      </c>
      <c r="H1851" s="9" t="s">
        <v>258</v>
      </c>
      <c r="I1851" s="9" t="s">
        <v>411</v>
      </c>
      <c r="J1851" s="9" t="s">
        <v>3814</v>
      </c>
      <c r="K1851" s="10">
        <v>39697.503854166665</v>
      </c>
    </row>
    <row r="1852" spans="1:11" x14ac:dyDescent="0.25">
      <c r="A1852" s="8">
        <v>3002</v>
      </c>
      <c r="B1852" s="9" t="s">
        <v>6209</v>
      </c>
      <c r="C1852" s="9" t="s">
        <v>3815</v>
      </c>
      <c r="D1852" s="9" t="s">
        <v>139</v>
      </c>
      <c r="E1852" s="9" t="s">
        <v>2590</v>
      </c>
      <c r="F1852" s="9" t="s">
        <v>3816</v>
      </c>
      <c r="G1852" s="9" t="s">
        <v>142</v>
      </c>
      <c r="H1852" s="9" t="s">
        <v>139</v>
      </c>
      <c r="I1852" s="9" t="s">
        <v>411</v>
      </c>
      <c r="J1852" s="9" t="s">
        <v>3817</v>
      </c>
      <c r="K1852" s="10">
        <v>39698.766805555555</v>
      </c>
    </row>
    <row r="1853" spans="1:11" x14ac:dyDescent="0.25">
      <c r="A1853" s="8">
        <v>3003</v>
      </c>
      <c r="B1853" s="9" t="s">
        <v>6210</v>
      </c>
      <c r="C1853" s="9" t="s">
        <v>3818</v>
      </c>
      <c r="D1853" s="9" t="s">
        <v>139</v>
      </c>
      <c r="E1853" s="9" t="s">
        <v>163</v>
      </c>
      <c r="F1853" s="9" t="s">
        <v>141</v>
      </c>
      <c r="G1853" s="9" t="s">
        <v>142</v>
      </c>
      <c r="H1853" s="9" t="s">
        <v>166</v>
      </c>
      <c r="I1853" s="9" t="s">
        <v>411</v>
      </c>
      <c r="J1853" s="9" t="s">
        <v>3819</v>
      </c>
      <c r="K1853" s="10">
        <v>39698.773692129631</v>
      </c>
    </row>
    <row r="1854" spans="1:11" x14ac:dyDescent="0.25">
      <c r="A1854" s="8">
        <v>3004</v>
      </c>
      <c r="B1854" s="9" t="s">
        <v>6211</v>
      </c>
      <c r="C1854" s="9" t="s">
        <v>3820</v>
      </c>
      <c r="D1854" s="9" t="s">
        <v>139</v>
      </c>
      <c r="E1854" s="9" t="s">
        <v>3821</v>
      </c>
      <c r="F1854" s="9" t="s">
        <v>3822</v>
      </c>
      <c r="G1854" s="9" t="s">
        <v>882</v>
      </c>
      <c r="H1854" s="9" t="s">
        <v>139</v>
      </c>
      <c r="I1854" s="9" t="s">
        <v>411</v>
      </c>
      <c r="J1854" s="9" t="s">
        <v>3823</v>
      </c>
      <c r="K1854" s="10">
        <v>39698.781331018516</v>
      </c>
    </row>
    <row r="1855" spans="1:11" x14ac:dyDescent="0.25">
      <c r="A1855" s="8">
        <v>3005</v>
      </c>
      <c r="B1855" s="9" t="s">
        <v>6212</v>
      </c>
      <c r="C1855" s="9" t="s">
        <v>3824</v>
      </c>
      <c r="D1855" s="9" t="s">
        <v>139</v>
      </c>
      <c r="E1855" s="9" t="s">
        <v>3825</v>
      </c>
      <c r="F1855" s="9" t="s">
        <v>3826</v>
      </c>
      <c r="G1855" s="9" t="s">
        <v>1915</v>
      </c>
      <c r="H1855" s="9" t="s">
        <v>258</v>
      </c>
      <c r="I1855" s="9" t="s">
        <v>411</v>
      </c>
      <c r="J1855" s="9" t="s">
        <v>139</v>
      </c>
      <c r="K1855" s="10">
        <v>39698.787638888891</v>
      </c>
    </row>
    <row r="1856" spans="1:11" x14ac:dyDescent="0.25">
      <c r="A1856" s="8">
        <v>3006</v>
      </c>
      <c r="B1856" s="9" t="s">
        <v>6213</v>
      </c>
      <c r="C1856" s="9" t="s">
        <v>3827</v>
      </c>
      <c r="D1856" s="9" t="s">
        <v>139</v>
      </c>
      <c r="E1856" s="9" t="s">
        <v>3828</v>
      </c>
      <c r="F1856" s="9" t="s">
        <v>3829</v>
      </c>
      <c r="G1856" s="9" t="s">
        <v>1004</v>
      </c>
      <c r="H1856" s="9" t="s">
        <v>241</v>
      </c>
      <c r="I1856" s="9" t="s">
        <v>411</v>
      </c>
      <c r="J1856" s="9" t="s">
        <v>139</v>
      </c>
      <c r="K1856" s="10">
        <v>39702.681898148148</v>
      </c>
    </row>
    <row r="1857" spans="1:11" x14ac:dyDescent="0.25">
      <c r="A1857" s="8">
        <v>3007</v>
      </c>
      <c r="B1857" s="9" t="s">
        <v>6214</v>
      </c>
      <c r="C1857" s="9" t="s">
        <v>3830</v>
      </c>
      <c r="D1857" s="9" t="s">
        <v>139</v>
      </c>
      <c r="E1857" s="9" t="s">
        <v>3554</v>
      </c>
      <c r="F1857" s="9" t="s">
        <v>3831</v>
      </c>
      <c r="G1857" s="9" t="s">
        <v>142</v>
      </c>
      <c r="H1857" s="9" t="s">
        <v>139</v>
      </c>
      <c r="I1857" s="9" t="s">
        <v>411</v>
      </c>
      <c r="J1857" s="9" t="s">
        <v>139</v>
      </c>
      <c r="K1857" s="10">
        <v>39704.633217592593</v>
      </c>
    </row>
    <row r="1858" spans="1:11" x14ac:dyDescent="0.25">
      <c r="A1858" s="8">
        <v>3008</v>
      </c>
      <c r="B1858" s="9" t="s">
        <v>6215</v>
      </c>
      <c r="C1858" s="9" t="s">
        <v>3832</v>
      </c>
      <c r="D1858" s="9" t="s">
        <v>139</v>
      </c>
      <c r="E1858" s="9" t="s">
        <v>1938</v>
      </c>
      <c r="F1858" s="9" t="s">
        <v>1939</v>
      </c>
      <c r="G1858" s="9" t="s">
        <v>142</v>
      </c>
      <c r="H1858" s="9" t="s">
        <v>241</v>
      </c>
      <c r="I1858" s="9" t="s">
        <v>411</v>
      </c>
      <c r="J1858" s="9" t="s">
        <v>139</v>
      </c>
      <c r="K1858" s="10">
        <v>39708.650335648148</v>
      </c>
    </row>
    <row r="1859" spans="1:11" x14ac:dyDescent="0.25">
      <c r="A1859" s="8">
        <v>3009</v>
      </c>
      <c r="B1859" s="9" t="s">
        <v>6216</v>
      </c>
      <c r="C1859" s="9" t="s">
        <v>3833</v>
      </c>
      <c r="D1859" s="9" t="s">
        <v>139</v>
      </c>
      <c r="E1859" s="9" t="s">
        <v>3168</v>
      </c>
      <c r="F1859" s="9" t="s">
        <v>3169</v>
      </c>
      <c r="G1859" s="9" t="s">
        <v>142</v>
      </c>
      <c r="H1859" s="9" t="s">
        <v>166</v>
      </c>
      <c r="I1859" s="9" t="s">
        <v>411</v>
      </c>
      <c r="J1859" s="9" t="s">
        <v>3834</v>
      </c>
      <c r="K1859" s="10">
        <v>39715.659722222219</v>
      </c>
    </row>
    <row r="1860" spans="1:11" x14ac:dyDescent="0.25">
      <c r="A1860" s="8">
        <v>3010</v>
      </c>
      <c r="B1860" s="9" t="s">
        <v>6217</v>
      </c>
      <c r="C1860" s="9" t="s">
        <v>3835</v>
      </c>
      <c r="D1860" s="9" t="s">
        <v>139</v>
      </c>
      <c r="E1860" s="9" t="s">
        <v>3836</v>
      </c>
      <c r="F1860" s="9" t="s">
        <v>3837</v>
      </c>
      <c r="G1860" s="9" t="s">
        <v>142</v>
      </c>
      <c r="H1860" s="9" t="s">
        <v>139</v>
      </c>
      <c r="I1860" s="9" t="s">
        <v>411</v>
      </c>
      <c r="J1860" s="9" t="s">
        <v>139</v>
      </c>
      <c r="K1860" s="10">
        <v>39716.591111111113</v>
      </c>
    </row>
    <row r="1861" spans="1:11" x14ac:dyDescent="0.25">
      <c r="A1861" s="8">
        <v>3011</v>
      </c>
      <c r="B1861" s="9" t="s">
        <v>6218</v>
      </c>
      <c r="C1861" s="9" t="s">
        <v>3838</v>
      </c>
      <c r="D1861" s="9" t="s">
        <v>139</v>
      </c>
      <c r="E1861" s="9" t="s">
        <v>3839</v>
      </c>
      <c r="F1861" s="9" t="s">
        <v>1311</v>
      </c>
      <c r="G1861" s="9" t="s">
        <v>142</v>
      </c>
      <c r="H1861" s="9" t="s">
        <v>139</v>
      </c>
      <c r="I1861" s="9" t="s">
        <v>411</v>
      </c>
      <c r="J1861" s="9" t="s">
        <v>139</v>
      </c>
      <c r="K1861" s="10">
        <v>39716.593055555553</v>
      </c>
    </row>
    <row r="1862" spans="1:11" x14ac:dyDescent="0.25">
      <c r="A1862" s="8">
        <v>3012</v>
      </c>
      <c r="B1862" s="9" t="s">
        <v>6219</v>
      </c>
      <c r="C1862" s="9" t="s">
        <v>3840</v>
      </c>
      <c r="D1862" s="9" t="s">
        <v>139</v>
      </c>
      <c r="E1862" s="9" t="s">
        <v>3841</v>
      </c>
      <c r="F1862" s="9" t="s">
        <v>3842</v>
      </c>
      <c r="G1862" s="9" t="s">
        <v>142</v>
      </c>
      <c r="H1862" s="9" t="s">
        <v>139</v>
      </c>
      <c r="I1862" s="9" t="s">
        <v>411</v>
      </c>
      <c r="J1862" s="9" t="s">
        <v>139</v>
      </c>
      <c r="K1862" s="10">
        <v>39716.594085648147</v>
      </c>
    </row>
    <row r="1863" spans="1:11" x14ac:dyDescent="0.25">
      <c r="A1863" s="8">
        <v>3013</v>
      </c>
      <c r="B1863" s="9" t="s">
        <v>6220</v>
      </c>
      <c r="C1863" s="9" t="s">
        <v>3843</v>
      </c>
      <c r="D1863" s="9" t="s">
        <v>139</v>
      </c>
      <c r="E1863" s="9" t="s">
        <v>3844</v>
      </c>
      <c r="F1863" s="9" t="s">
        <v>3845</v>
      </c>
      <c r="G1863" s="9" t="s">
        <v>142</v>
      </c>
      <c r="H1863" s="9" t="s">
        <v>139</v>
      </c>
      <c r="I1863" s="9" t="s">
        <v>411</v>
      </c>
      <c r="J1863" s="9" t="s">
        <v>139</v>
      </c>
      <c r="K1863" s="10">
        <v>39716.595277777778</v>
      </c>
    </row>
    <row r="1864" spans="1:11" x14ac:dyDescent="0.25">
      <c r="A1864" s="8">
        <v>3014</v>
      </c>
      <c r="B1864" s="9" t="s">
        <v>6221</v>
      </c>
      <c r="C1864" s="9" t="s">
        <v>3846</v>
      </c>
      <c r="D1864" s="9" t="s">
        <v>139</v>
      </c>
      <c r="E1864" s="9" t="s">
        <v>2007</v>
      </c>
      <c r="F1864" s="9" t="s">
        <v>3779</v>
      </c>
      <c r="G1864" s="9" t="s">
        <v>142</v>
      </c>
      <c r="H1864" s="9" t="s">
        <v>139</v>
      </c>
      <c r="I1864" s="9" t="s">
        <v>411</v>
      </c>
      <c r="J1864" s="9" t="s">
        <v>139</v>
      </c>
      <c r="K1864" s="10">
        <v>39716.59652777778</v>
      </c>
    </row>
    <row r="1865" spans="1:11" x14ac:dyDescent="0.25">
      <c r="A1865" s="8">
        <v>3015</v>
      </c>
      <c r="B1865" s="9" t="s">
        <v>6222</v>
      </c>
      <c r="C1865" s="9" t="s">
        <v>3847</v>
      </c>
      <c r="D1865" s="9" t="s">
        <v>139</v>
      </c>
      <c r="E1865" s="9" t="s">
        <v>3848</v>
      </c>
      <c r="F1865" s="9" t="s">
        <v>3849</v>
      </c>
      <c r="G1865" s="9" t="s">
        <v>142</v>
      </c>
      <c r="H1865" s="9" t="s">
        <v>139</v>
      </c>
      <c r="I1865" s="9" t="s">
        <v>411</v>
      </c>
      <c r="J1865" s="9" t="s">
        <v>139</v>
      </c>
      <c r="K1865" s="10">
        <v>39716.597650462965</v>
      </c>
    </row>
    <row r="1866" spans="1:11" x14ac:dyDescent="0.25">
      <c r="A1866" s="8">
        <v>3016</v>
      </c>
      <c r="B1866" s="9" t="s">
        <v>6223</v>
      </c>
      <c r="C1866" s="9" t="s">
        <v>3850</v>
      </c>
      <c r="D1866" s="9" t="s">
        <v>139</v>
      </c>
      <c r="E1866" s="9" t="s">
        <v>3851</v>
      </c>
      <c r="F1866" s="9" t="s">
        <v>3852</v>
      </c>
      <c r="G1866" s="9" t="s">
        <v>142</v>
      </c>
      <c r="H1866" s="9" t="s">
        <v>139</v>
      </c>
      <c r="I1866" s="9" t="s">
        <v>411</v>
      </c>
      <c r="J1866" s="9" t="s">
        <v>139</v>
      </c>
      <c r="K1866" s="10">
        <v>39716.598981481482</v>
      </c>
    </row>
    <row r="1867" spans="1:11" x14ac:dyDescent="0.25">
      <c r="A1867" s="8">
        <v>3017</v>
      </c>
      <c r="B1867" s="9" t="s">
        <v>6224</v>
      </c>
      <c r="C1867" s="9" t="s">
        <v>3853</v>
      </c>
      <c r="D1867" s="9" t="s">
        <v>139</v>
      </c>
      <c r="E1867" s="9" t="s">
        <v>3851</v>
      </c>
      <c r="F1867" s="9" t="s">
        <v>3852</v>
      </c>
      <c r="G1867" s="9" t="s">
        <v>142</v>
      </c>
      <c r="H1867" s="9" t="s">
        <v>139</v>
      </c>
      <c r="I1867" s="9" t="s">
        <v>411</v>
      </c>
      <c r="J1867" s="9" t="s">
        <v>139</v>
      </c>
      <c r="K1867" s="10">
        <v>39716.600185185183</v>
      </c>
    </row>
    <row r="1868" spans="1:11" x14ac:dyDescent="0.25">
      <c r="A1868" s="8">
        <v>3018</v>
      </c>
      <c r="B1868" s="9" t="s">
        <v>6225</v>
      </c>
      <c r="C1868" s="9" t="s">
        <v>3854</v>
      </c>
      <c r="D1868" s="9" t="s">
        <v>139</v>
      </c>
      <c r="E1868" s="9" t="s">
        <v>3851</v>
      </c>
      <c r="F1868" s="9" t="s">
        <v>3852</v>
      </c>
      <c r="G1868" s="9" t="s">
        <v>142</v>
      </c>
      <c r="H1868" s="9" t="s">
        <v>139</v>
      </c>
      <c r="I1868" s="9" t="s">
        <v>411</v>
      </c>
      <c r="J1868" s="9" t="s">
        <v>139</v>
      </c>
      <c r="K1868" s="10">
        <v>39716.601678240739</v>
      </c>
    </row>
    <row r="1869" spans="1:11" x14ac:dyDescent="0.25">
      <c r="A1869" s="8">
        <v>3019</v>
      </c>
      <c r="B1869" s="9" t="s">
        <v>6226</v>
      </c>
      <c r="C1869" s="9" t="s">
        <v>3855</v>
      </c>
      <c r="D1869" s="9" t="s">
        <v>139</v>
      </c>
      <c r="E1869" s="9" t="s">
        <v>1127</v>
      </c>
      <c r="F1869" s="9" t="s">
        <v>1128</v>
      </c>
      <c r="G1869" s="9" t="s">
        <v>142</v>
      </c>
      <c r="H1869" s="9" t="s">
        <v>139</v>
      </c>
      <c r="I1869" s="9" t="s">
        <v>411</v>
      </c>
      <c r="J1869" s="9" t="s">
        <v>139</v>
      </c>
      <c r="K1869" s="10">
        <v>39716.602870370371</v>
      </c>
    </row>
    <row r="1870" spans="1:11" x14ac:dyDescent="0.25">
      <c r="A1870" s="8">
        <v>3020</v>
      </c>
      <c r="B1870" s="9" t="s">
        <v>6227</v>
      </c>
      <c r="C1870" s="9" t="s">
        <v>3856</v>
      </c>
      <c r="D1870" s="9" t="s">
        <v>139</v>
      </c>
      <c r="E1870" s="9" t="s">
        <v>3857</v>
      </c>
      <c r="F1870" s="9" t="s">
        <v>3858</v>
      </c>
      <c r="G1870" s="9" t="s">
        <v>142</v>
      </c>
      <c r="H1870" s="9" t="s">
        <v>139</v>
      </c>
      <c r="I1870" s="9" t="s">
        <v>411</v>
      </c>
      <c r="J1870" s="9" t="s">
        <v>139</v>
      </c>
      <c r="K1870" s="10">
        <v>39716.604166666664</v>
      </c>
    </row>
    <row r="1871" spans="1:11" x14ac:dyDescent="0.25">
      <c r="A1871" s="8">
        <v>3021</v>
      </c>
      <c r="B1871" s="9" t="s">
        <v>6228</v>
      </c>
      <c r="C1871" s="9" t="s">
        <v>3859</v>
      </c>
      <c r="D1871" s="9" t="s">
        <v>139</v>
      </c>
      <c r="E1871" s="9" t="s">
        <v>3860</v>
      </c>
      <c r="F1871" s="9" t="s">
        <v>3861</v>
      </c>
      <c r="G1871" s="9" t="s">
        <v>142</v>
      </c>
      <c r="H1871" s="9" t="s">
        <v>139</v>
      </c>
      <c r="I1871" s="9" t="s">
        <v>411</v>
      </c>
      <c r="J1871" s="9" t="s">
        <v>139</v>
      </c>
      <c r="K1871" s="10">
        <v>39716.605740740742</v>
      </c>
    </row>
    <row r="1872" spans="1:11" x14ac:dyDescent="0.25">
      <c r="A1872" s="8">
        <v>3022</v>
      </c>
      <c r="B1872" s="9" t="s">
        <v>6229</v>
      </c>
      <c r="C1872" s="9" t="s">
        <v>3862</v>
      </c>
      <c r="D1872" s="9" t="s">
        <v>139</v>
      </c>
      <c r="E1872" s="9" t="s">
        <v>3863</v>
      </c>
      <c r="F1872" s="9" t="s">
        <v>3864</v>
      </c>
      <c r="G1872" s="9" t="s">
        <v>142</v>
      </c>
      <c r="H1872" s="9" t="s">
        <v>139</v>
      </c>
      <c r="I1872" s="9" t="s">
        <v>411</v>
      </c>
      <c r="J1872" s="9" t="s">
        <v>139</v>
      </c>
      <c r="K1872" s="10">
        <v>39716.608275462961</v>
      </c>
    </row>
    <row r="1873" spans="1:11" x14ac:dyDescent="0.25">
      <c r="A1873" s="8">
        <v>3023</v>
      </c>
      <c r="B1873" s="9" t="s">
        <v>6230</v>
      </c>
      <c r="C1873" s="9" t="s">
        <v>3865</v>
      </c>
      <c r="D1873" s="9" t="s">
        <v>139</v>
      </c>
      <c r="E1873" s="9" t="s">
        <v>3866</v>
      </c>
      <c r="F1873" s="9" t="s">
        <v>3867</v>
      </c>
      <c r="G1873" s="9" t="s">
        <v>142</v>
      </c>
      <c r="H1873" s="9" t="s">
        <v>139</v>
      </c>
      <c r="I1873" s="9" t="s">
        <v>411</v>
      </c>
      <c r="J1873" s="9" t="s">
        <v>139</v>
      </c>
      <c r="K1873" s="10">
        <v>39716.609571759262</v>
      </c>
    </row>
    <row r="1874" spans="1:11" x14ac:dyDescent="0.25">
      <c r="A1874" s="8">
        <v>3024</v>
      </c>
      <c r="B1874" s="9" t="s">
        <v>6231</v>
      </c>
      <c r="C1874" s="9" t="s">
        <v>3868</v>
      </c>
      <c r="D1874" s="9" t="s">
        <v>139</v>
      </c>
      <c r="E1874" s="9" t="s">
        <v>2097</v>
      </c>
      <c r="F1874" s="9" t="s">
        <v>2098</v>
      </c>
      <c r="G1874" s="9" t="s">
        <v>142</v>
      </c>
      <c r="H1874" s="9" t="s">
        <v>139</v>
      </c>
      <c r="I1874" s="9" t="s">
        <v>411</v>
      </c>
      <c r="J1874" s="9" t="s">
        <v>139</v>
      </c>
      <c r="K1874" s="10">
        <v>39716.610520833332</v>
      </c>
    </row>
    <row r="1875" spans="1:11" x14ac:dyDescent="0.25">
      <c r="A1875" s="8">
        <v>3025</v>
      </c>
      <c r="B1875" s="9" t="s">
        <v>6232</v>
      </c>
      <c r="C1875" s="9" t="s">
        <v>3869</v>
      </c>
      <c r="D1875" s="9" t="s">
        <v>139</v>
      </c>
      <c r="E1875" s="9" t="s">
        <v>2335</v>
      </c>
      <c r="F1875" s="9" t="s">
        <v>2336</v>
      </c>
      <c r="G1875" s="9" t="s">
        <v>142</v>
      </c>
      <c r="H1875" s="9" t="s">
        <v>139</v>
      </c>
      <c r="I1875" s="9" t="s">
        <v>411</v>
      </c>
      <c r="J1875" s="9" t="s">
        <v>139</v>
      </c>
      <c r="K1875" s="10">
        <v>39716.61377314815</v>
      </c>
    </row>
    <row r="1876" spans="1:11" x14ac:dyDescent="0.25">
      <c r="A1876" s="8">
        <v>3026</v>
      </c>
      <c r="B1876" s="9" t="s">
        <v>6233</v>
      </c>
      <c r="C1876" s="9" t="s">
        <v>3870</v>
      </c>
      <c r="D1876" s="9" t="s">
        <v>139</v>
      </c>
      <c r="E1876" s="9" t="s">
        <v>3871</v>
      </c>
      <c r="F1876" s="9" t="s">
        <v>3872</v>
      </c>
      <c r="G1876" s="9" t="s">
        <v>142</v>
      </c>
      <c r="H1876" s="9" t="s">
        <v>139</v>
      </c>
      <c r="I1876" s="9" t="s">
        <v>411</v>
      </c>
      <c r="J1876" s="9" t="s">
        <v>139</v>
      </c>
      <c r="K1876" s="10">
        <v>39716.615162037036</v>
      </c>
    </row>
    <row r="1877" spans="1:11" x14ac:dyDescent="0.25">
      <c r="A1877" s="8">
        <v>3027</v>
      </c>
      <c r="B1877" s="9" t="s">
        <v>6234</v>
      </c>
      <c r="C1877" s="9" t="s">
        <v>3873</v>
      </c>
      <c r="D1877" s="9" t="s">
        <v>139</v>
      </c>
      <c r="E1877" s="9" t="s">
        <v>1903</v>
      </c>
      <c r="F1877" s="9" t="s">
        <v>1904</v>
      </c>
      <c r="G1877" s="9" t="s">
        <v>142</v>
      </c>
      <c r="H1877" s="9" t="s">
        <v>139</v>
      </c>
      <c r="I1877" s="9" t="s">
        <v>411</v>
      </c>
      <c r="J1877" s="9" t="s">
        <v>139</v>
      </c>
      <c r="K1877" s="10">
        <v>39716.616215277776</v>
      </c>
    </row>
    <row r="1878" spans="1:11" x14ac:dyDescent="0.25">
      <c r="A1878" s="8">
        <v>3028</v>
      </c>
      <c r="B1878" s="9" t="s">
        <v>6235</v>
      </c>
      <c r="C1878" s="9" t="s">
        <v>3874</v>
      </c>
      <c r="D1878" s="9" t="s">
        <v>139</v>
      </c>
      <c r="E1878" s="9" t="s">
        <v>3875</v>
      </c>
      <c r="F1878" s="9" t="s">
        <v>3876</v>
      </c>
      <c r="G1878" s="9" t="s">
        <v>142</v>
      </c>
      <c r="H1878" s="9" t="s">
        <v>139</v>
      </c>
      <c r="I1878" s="9" t="s">
        <v>411</v>
      </c>
      <c r="J1878" s="9" t="s">
        <v>139</v>
      </c>
      <c r="K1878" s="10">
        <v>39716.617604166669</v>
      </c>
    </row>
    <row r="1879" spans="1:11" x14ac:dyDescent="0.25">
      <c r="A1879" s="8">
        <v>3029</v>
      </c>
      <c r="B1879" s="9" t="s">
        <v>6236</v>
      </c>
      <c r="C1879" s="9" t="s">
        <v>3877</v>
      </c>
      <c r="D1879" s="9" t="s">
        <v>139</v>
      </c>
      <c r="E1879" s="9" t="s">
        <v>3878</v>
      </c>
      <c r="F1879" s="9" t="s">
        <v>3879</v>
      </c>
      <c r="G1879" s="9" t="s">
        <v>142</v>
      </c>
      <c r="H1879" s="9" t="s">
        <v>139</v>
      </c>
      <c r="I1879" s="9" t="s">
        <v>411</v>
      </c>
      <c r="J1879" s="9" t="s">
        <v>139</v>
      </c>
      <c r="K1879" s="10">
        <v>39716.619062500002</v>
      </c>
    </row>
    <row r="1880" spans="1:11" x14ac:dyDescent="0.25">
      <c r="A1880" s="8">
        <v>3030</v>
      </c>
      <c r="B1880" s="9" t="s">
        <v>6237</v>
      </c>
      <c r="C1880" s="9" t="s">
        <v>3880</v>
      </c>
      <c r="D1880" s="9" t="s">
        <v>139</v>
      </c>
      <c r="E1880" s="9" t="s">
        <v>2785</v>
      </c>
      <c r="F1880" s="9" t="s">
        <v>2786</v>
      </c>
      <c r="G1880" s="9" t="s">
        <v>142</v>
      </c>
      <c r="H1880" s="9" t="s">
        <v>139</v>
      </c>
      <c r="I1880" s="9" t="s">
        <v>411</v>
      </c>
      <c r="J1880" s="9" t="s">
        <v>139</v>
      </c>
      <c r="K1880" s="10">
        <v>39716.620439814818</v>
      </c>
    </row>
    <row r="1881" spans="1:11" x14ac:dyDescent="0.25">
      <c r="A1881" s="8">
        <v>3031</v>
      </c>
      <c r="B1881" s="9" t="s">
        <v>6238</v>
      </c>
      <c r="C1881" s="9" t="s">
        <v>3881</v>
      </c>
      <c r="D1881" s="9" t="s">
        <v>139</v>
      </c>
      <c r="E1881" s="9" t="s">
        <v>3882</v>
      </c>
      <c r="F1881" s="9" t="s">
        <v>3883</v>
      </c>
      <c r="G1881" s="9" t="s">
        <v>142</v>
      </c>
      <c r="H1881" s="9" t="s">
        <v>139</v>
      </c>
      <c r="I1881" s="9" t="s">
        <v>411</v>
      </c>
      <c r="J1881" s="9" t="s">
        <v>139</v>
      </c>
      <c r="K1881" s="10">
        <v>39716.621701388889</v>
      </c>
    </row>
    <row r="1882" spans="1:11" x14ac:dyDescent="0.25">
      <c r="A1882" s="8">
        <v>3032</v>
      </c>
      <c r="B1882" s="9" t="s">
        <v>6239</v>
      </c>
      <c r="C1882" s="9" t="s">
        <v>3884</v>
      </c>
      <c r="D1882" s="9" t="s">
        <v>139</v>
      </c>
      <c r="E1882" s="9" t="s">
        <v>3885</v>
      </c>
      <c r="F1882" s="9" t="s">
        <v>3886</v>
      </c>
      <c r="G1882" s="9" t="s">
        <v>142</v>
      </c>
      <c r="H1882" s="9" t="s">
        <v>139</v>
      </c>
      <c r="I1882" s="9" t="s">
        <v>411</v>
      </c>
      <c r="J1882" s="9" t="s">
        <v>139</v>
      </c>
      <c r="K1882" s="10">
        <v>39716.623032407406</v>
      </c>
    </row>
    <row r="1883" spans="1:11" x14ac:dyDescent="0.25">
      <c r="A1883" s="8">
        <v>3033</v>
      </c>
      <c r="B1883" s="9" t="s">
        <v>6240</v>
      </c>
      <c r="C1883" s="9" t="s">
        <v>3887</v>
      </c>
      <c r="D1883" s="9" t="s">
        <v>139</v>
      </c>
      <c r="E1883" s="9" t="s">
        <v>3888</v>
      </c>
      <c r="F1883" s="9" t="s">
        <v>3889</v>
      </c>
      <c r="G1883" s="9" t="s">
        <v>142</v>
      </c>
      <c r="H1883" s="9" t="s">
        <v>139</v>
      </c>
      <c r="I1883" s="9" t="s">
        <v>411</v>
      </c>
      <c r="J1883" s="9" t="s">
        <v>139</v>
      </c>
      <c r="K1883" s="10">
        <v>39716.624143518522</v>
      </c>
    </row>
    <row r="1884" spans="1:11" x14ac:dyDescent="0.25">
      <c r="A1884" s="8">
        <v>3034</v>
      </c>
      <c r="B1884" s="9" t="s">
        <v>6241</v>
      </c>
      <c r="C1884" s="9" t="s">
        <v>3890</v>
      </c>
      <c r="D1884" s="9" t="s">
        <v>139</v>
      </c>
      <c r="E1884" s="9" t="s">
        <v>3891</v>
      </c>
      <c r="F1884" s="9" t="s">
        <v>3892</v>
      </c>
      <c r="G1884" s="9" t="s">
        <v>142</v>
      </c>
      <c r="H1884" s="9" t="s">
        <v>139</v>
      </c>
      <c r="I1884" s="9" t="s">
        <v>411</v>
      </c>
      <c r="J1884" s="9" t="s">
        <v>139</v>
      </c>
      <c r="K1884" s="10">
        <v>39716.625243055554</v>
      </c>
    </row>
    <row r="1885" spans="1:11" x14ac:dyDescent="0.25">
      <c r="A1885" s="8">
        <v>3035</v>
      </c>
      <c r="B1885" s="9" t="s">
        <v>6242</v>
      </c>
      <c r="C1885" s="9" t="s">
        <v>3893</v>
      </c>
      <c r="D1885" s="9" t="s">
        <v>139</v>
      </c>
      <c r="E1885" s="9" t="s">
        <v>3171</v>
      </c>
      <c r="F1885" s="9" t="s">
        <v>3172</v>
      </c>
      <c r="G1885" s="9" t="s">
        <v>142</v>
      </c>
      <c r="H1885" s="9" t="s">
        <v>139</v>
      </c>
      <c r="I1885" s="9" t="s">
        <v>411</v>
      </c>
      <c r="J1885" s="9" t="s">
        <v>139</v>
      </c>
      <c r="K1885" s="10">
        <v>39716.626423611109</v>
      </c>
    </row>
    <row r="1886" spans="1:11" x14ac:dyDescent="0.25">
      <c r="A1886" s="8">
        <v>3037</v>
      </c>
      <c r="B1886" s="9" t="s">
        <v>6243</v>
      </c>
      <c r="C1886" s="9" t="s">
        <v>3894</v>
      </c>
      <c r="D1886" s="9" t="s">
        <v>139</v>
      </c>
      <c r="E1886" s="9" t="s">
        <v>1293</v>
      </c>
      <c r="F1886" s="9" t="s">
        <v>1294</v>
      </c>
      <c r="G1886" s="9" t="s">
        <v>142</v>
      </c>
      <c r="H1886" s="9" t="s">
        <v>139</v>
      </c>
      <c r="I1886" s="9" t="s">
        <v>411</v>
      </c>
      <c r="J1886" s="9" t="s">
        <v>139</v>
      </c>
      <c r="K1886" s="10">
        <v>39716.628495370373</v>
      </c>
    </row>
    <row r="1887" spans="1:11" x14ac:dyDescent="0.25">
      <c r="A1887" s="8">
        <v>3038</v>
      </c>
      <c r="B1887" s="9" t="s">
        <v>6244</v>
      </c>
      <c r="C1887" s="9" t="s">
        <v>3895</v>
      </c>
      <c r="D1887" s="9" t="s">
        <v>139</v>
      </c>
      <c r="E1887" s="9" t="s">
        <v>3896</v>
      </c>
      <c r="F1887" s="9" t="s">
        <v>3897</v>
      </c>
      <c r="G1887" s="9" t="s">
        <v>142</v>
      </c>
      <c r="H1887" s="9" t="s">
        <v>139</v>
      </c>
      <c r="I1887" s="9" t="s">
        <v>411</v>
      </c>
      <c r="J1887" s="9" t="s">
        <v>139</v>
      </c>
      <c r="K1887" s="10">
        <v>39716.629537037035</v>
      </c>
    </row>
    <row r="1888" spans="1:11" x14ac:dyDescent="0.25">
      <c r="A1888" s="8">
        <v>3039</v>
      </c>
      <c r="B1888" s="9" t="s">
        <v>6245</v>
      </c>
      <c r="C1888" s="9" t="s">
        <v>3898</v>
      </c>
      <c r="D1888" s="9" t="s">
        <v>139</v>
      </c>
      <c r="E1888" s="9" t="s">
        <v>3899</v>
      </c>
      <c r="F1888" s="9" t="s">
        <v>3900</v>
      </c>
      <c r="G1888" s="9" t="s">
        <v>142</v>
      </c>
      <c r="H1888" s="9" t="s">
        <v>139</v>
      </c>
      <c r="I1888" s="9" t="s">
        <v>411</v>
      </c>
      <c r="J1888" s="9" t="s">
        <v>139</v>
      </c>
      <c r="K1888" s="10">
        <v>39716.630706018521</v>
      </c>
    </row>
    <row r="1889" spans="1:11" x14ac:dyDescent="0.25">
      <c r="A1889" s="8">
        <v>3040</v>
      </c>
      <c r="B1889" s="9" t="s">
        <v>6246</v>
      </c>
      <c r="C1889" s="9" t="s">
        <v>3901</v>
      </c>
      <c r="D1889" s="9" t="s">
        <v>139</v>
      </c>
      <c r="E1889" s="9" t="s">
        <v>3171</v>
      </c>
      <c r="F1889" s="9" t="s">
        <v>3902</v>
      </c>
      <c r="G1889" s="9" t="s">
        <v>142</v>
      </c>
      <c r="H1889" s="9" t="s">
        <v>139</v>
      </c>
      <c r="I1889" s="9" t="s">
        <v>411</v>
      </c>
      <c r="J1889" s="9" t="s">
        <v>139</v>
      </c>
      <c r="K1889" s="10">
        <v>39716.631736111114</v>
      </c>
    </row>
    <row r="1890" spans="1:11" x14ac:dyDescent="0.25">
      <c r="A1890" s="8">
        <v>3041</v>
      </c>
      <c r="B1890" s="9" t="s">
        <v>6247</v>
      </c>
      <c r="C1890" s="9" t="s">
        <v>3903</v>
      </c>
      <c r="D1890" s="9" t="s">
        <v>139</v>
      </c>
      <c r="E1890" s="9" t="s">
        <v>3904</v>
      </c>
      <c r="F1890" s="9" t="s">
        <v>3905</v>
      </c>
      <c r="G1890" s="9" t="s">
        <v>142</v>
      </c>
      <c r="H1890" s="9" t="s">
        <v>139</v>
      </c>
      <c r="I1890" s="9" t="s">
        <v>411</v>
      </c>
      <c r="J1890" s="9" t="s">
        <v>139</v>
      </c>
      <c r="K1890" s="10">
        <v>39716.632650462961</v>
      </c>
    </row>
    <row r="1891" spans="1:11" x14ac:dyDescent="0.25">
      <c r="A1891" s="8">
        <v>3042</v>
      </c>
      <c r="B1891" s="9" t="s">
        <v>6248</v>
      </c>
      <c r="C1891" s="9" t="s">
        <v>3906</v>
      </c>
      <c r="D1891" s="9" t="s">
        <v>139</v>
      </c>
      <c r="E1891" s="9" t="s">
        <v>1296</v>
      </c>
      <c r="F1891" s="9" t="s">
        <v>1297</v>
      </c>
      <c r="G1891" s="9" t="s">
        <v>142</v>
      </c>
      <c r="H1891" s="9" t="s">
        <v>139</v>
      </c>
      <c r="I1891" s="9" t="s">
        <v>411</v>
      </c>
      <c r="J1891" s="9" t="s">
        <v>139</v>
      </c>
      <c r="K1891" s="10">
        <v>39716.634004629632</v>
      </c>
    </row>
    <row r="1892" spans="1:11" x14ac:dyDescent="0.25">
      <c r="A1892" s="8">
        <v>3043</v>
      </c>
      <c r="B1892" s="9" t="s">
        <v>6249</v>
      </c>
      <c r="C1892" s="9" t="s">
        <v>3907</v>
      </c>
      <c r="D1892" s="9" t="s">
        <v>139</v>
      </c>
      <c r="E1892" s="9" t="s">
        <v>2426</v>
      </c>
      <c r="F1892" s="9" t="s">
        <v>2427</v>
      </c>
      <c r="G1892" s="9" t="s">
        <v>142</v>
      </c>
      <c r="H1892" s="9" t="s">
        <v>139</v>
      </c>
      <c r="I1892" s="9" t="s">
        <v>411</v>
      </c>
      <c r="J1892" s="9" t="s">
        <v>139</v>
      </c>
      <c r="K1892" s="10">
        <v>39716.635266203702</v>
      </c>
    </row>
    <row r="1893" spans="1:11" x14ac:dyDescent="0.25">
      <c r="A1893" s="8">
        <v>3044</v>
      </c>
      <c r="B1893" s="9" t="s">
        <v>6250</v>
      </c>
      <c r="C1893" s="9" t="s">
        <v>3908</v>
      </c>
      <c r="D1893" s="9" t="s">
        <v>139</v>
      </c>
      <c r="E1893" s="9" t="s">
        <v>3335</v>
      </c>
      <c r="F1893" s="9" t="s">
        <v>3909</v>
      </c>
      <c r="G1893" s="9" t="s">
        <v>142</v>
      </c>
      <c r="H1893" s="9" t="s">
        <v>139</v>
      </c>
      <c r="I1893" s="9" t="s">
        <v>411</v>
      </c>
      <c r="J1893" s="9" t="s">
        <v>139</v>
      </c>
      <c r="K1893" s="10">
        <v>39716.636354166665</v>
      </c>
    </row>
    <row r="1894" spans="1:11" x14ac:dyDescent="0.25">
      <c r="A1894" s="8">
        <v>3045</v>
      </c>
      <c r="B1894" s="9" t="s">
        <v>6251</v>
      </c>
      <c r="C1894" s="9" t="s">
        <v>3910</v>
      </c>
      <c r="D1894" s="9" t="s">
        <v>139</v>
      </c>
      <c r="E1894" s="9" t="s">
        <v>3911</v>
      </c>
      <c r="F1894" s="9" t="s">
        <v>3912</v>
      </c>
      <c r="G1894" s="9" t="s">
        <v>142</v>
      </c>
      <c r="H1894" s="9" t="s">
        <v>139</v>
      </c>
      <c r="I1894" s="9" t="s">
        <v>411</v>
      </c>
      <c r="J1894" s="9" t="s">
        <v>139</v>
      </c>
      <c r="K1894" s="10">
        <v>39716.637858796297</v>
      </c>
    </row>
    <row r="1895" spans="1:11" x14ac:dyDescent="0.25">
      <c r="A1895" s="8">
        <v>3047</v>
      </c>
      <c r="B1895" s="9" t="s">
        <v>6252</v>
      </c>
      <c r="C1895" s="9" t="s">
        <v>3913</v>
      </c>
      <c r="D1895" s="9" t="s">
        <v>139</v>
      </c>
      <c r="E1895" s="9" t="s">
        <v>3914</v>
      </c>
      <c r="F1895" s="9" t="s">
        <v>3915</v>
      </c>
      <c r="G1895" s="9" t="s">
        <v>142</v>
      </c>
      <c r="H1895" s="9" t="s">
        <v>139</v>
      </c>
      <c r="I1895" s="9" t="s">
        <v>411</v>
      </c>
      <c r="J1895" s="9" t="s">
        <v>139</v>
      </c>
      <c r="K1895" s="10">
        <v>39716.642511574071</v>
      </c>
    </row>
    <row r="1896" spans="1:11" x14ac:dyDescent="0.25">
      <c r="A1896" s="8">
        <v>3048</v>
      </c>
      <c r="B1896" s="9" t="s">
        <v>6253</v>
      </c>
      <c r="C1896" s="9" t="s">
        <v>3916</v>
      </c>
      <c r="D1896" s="9" t="s">
        <v>139</v>
      </c>
      <c r="E1896" s="9" t="s">
        <v>3043</v>
      </c>
      <c r="F1896" s="9" t="s">
        <v>3044</v>
      </c>
      <c r="G1896" s="9" t="s">
        <v>142</v>
      </c>
      <c r="H1896" s="9" t="s">
        <v>139</v>
      </c>
      <c r="I1896" s="9" t="s">
        <v>411</v>
      </c>
      <c r="J1896" s="9" t="s">
        <v>139</v>
      </c>
      <c r="K1896" s="10">
        <v>39716.643391203703</v>
      </c>
    </row>
    <row r="1897" spans="1:11" x14ac:dyDescent="0.25">
      <c r="A1897" s="8">
        <v>3049</v>
      </c>
      <c r="B1897" s="9" t="s">
        <v>6254</v>
      </c>
      <c r="C1897" s="9" t="s">
        <v>3917</v>
      </c>
      <c r="D1897" s="9" t="s">
        <v>139</v>
      </c>
      <c r="E1897" s="9" t="s">
        <v>3918</v>
      </c>
      <c r="F1897" s="9" t="s">
        <v>3919</v>
      </c>
      <c r="G1897" s="9" t="s">
        <v>142</v>
      </c>
      <c r="H1897" s="9" t="s">
        <v>139</v>
      </c>
      <c r="I1897" s="9" t="s">
        <v>411</v>
      </c>
      <c r="J1897" s="9" t="s">
        <v>139</v>
      </c>
      <c r="K1897" s="10">
        <v>39716.644317129627</v>
      </c>
    </row>
    <row r="1898" spans="1:11" x14ac:dyDescent="0.25">
      <c r="A1898" s="8">
        <v>3050</v>
      </c>
      <c r="B1898" s="9" t="s">
        <v>6255</v>
      </c>
      <c r="C1898" s="9" t="s">
        <v>3920</v>
      </c>
      <c r="D1898" s="9" t="s">
        <v>139</v>
      </c>
      <c r="E1898" s="9" t="s">
        <v>3921</v>
      </c>
      <c r="F1898" s="9" t="s">
        <v>3922</v>
      </c>
      <c r="G1898" s="9" t="s">
        <v>142</v>
      </c>
      <c r="H1898" s="9" t="s">
        <v>139</v>
      </c>
      <c r="I1898" s="9" t="s">
        <v>411</v>
      </c>
      <c r="J1898" s="9" t="s">
        <v>139</v>
      </c>
      <c r="K1898" s="10">
        <v>39716.645451388889</v>
      </c>
    </row>
    <row r="1899" spans="1:11" x14ac:dyDescent="0.25">
      <c r="A1899" s="8">
        <v>3052</v>
      </c>
      <c r="B1899" s="9" t="s">
        <v>6256</v>
      </c>
      <c r="C1899" s="9" t="s">
        <v>3923</v>
      </c>
      <c r="D1899" s="9" t="s">
        <v>139</v>
      </c>
      <c r="E1899" s="9" t="s">
        <v>3785</v>
      </c>
      <c r="F1899" s="9" t="s">
        <v>3786</v>
      </c>
      <c r="G1899" s="9" t="s">
        <v>142</v>
      </c>
      <c r="H1899" s="9" t="s">
        <v>139</v>
      </c>
      <c r="I1899" s="9" t="s">
        <v>411</v>
      </c>
      <c r="J1899" s="9" t="s">
        <v>139</v>
      </c>
      <c r="K1899" s="10">
        <v>39716.651631944442</v>
      </c>
    </row>
    <row r="1900" spans="1:11" x14ac:dyDescent="0.25">
      <c r="A1900" s="8">
        <v>3053</v>
      </c>
      <c r="B1900" s="9" t="s">
        <v>6257</v>
      </c>
      <c r="C1900" s="9" t="s">
        <v>3924</v>
      </c>
      <c r="D1900" s="9" t="s">
        <v>139</v>
      </c>
      <c r="E1900" s="9" t="s">
        <v>2764</v>
      </c>
      <c r="F1900" s="9" t="s">
        <v>3925</v>
      </c>
      <c r="G1900" s="9" t="s">
        <v>142</v>
      </c>
      <c r="H1900" s="9" t="s">
        <v>258</v>
      </c>
      <c r="I1900" s="9" t="s">
        <v>411</v>
      </c>
      <c r="J1900" s="9" t="s">
        <v>139</v>
      </c>
      <c r="K1900" s="10">
        <v>39716.652766203704</v>
      </c>
    </row>
    <row r="1901" spans="1:11" x14ac:dyDescent="0.25">
      <c r="A1901" s="8">
        <v>3055</v>
      </c>
      <c r="B1901" s="9" t="s">
        <v>6258</v>
      </c>
      <c r="C1901" s="9" t="s">
        <v>3926</v>
      </c>
      <c r="D1901" s="9" t="s">
        <v>139</v>
      </c>
      <c r="E1901" s="9" t="s">
        <v>1235</v>
      </c>
      <c r="F1901" s="9" t="s">
        <v>1236</v>
      </c>
      <c r="G1901" s="9" t="s">
        <v>142</v>
      </c>
      <c r="H1901" s="9" t="s">
        <v>139</v>
      </c>
      <c r="I1901" s="9" t="s">
        <v>411</v>
      </c>
      <c r="J1901" s="9" t="s">
        <v>139</v>
      </c>
      <c r="K1901" s="10">
        <v>39716.654895833337</v>
      </c>
    </row>
    <row r="1902" spans="1:11" x14ac:dyDescent="0.25">
      <c r="A1902" s="8">
        <v>3056</v>
      </c>
      <c r="B1902" s="9" t="s">
        <v>6259</v>
      </c>
      <c r="C1902" s="9" t="s">
        <v>3927</v>
      </c>
      <c r="D1902" s="9" t="s">
        <v>139</v>
      </c>
      <c r="E1902" s="9" t="s">
        <v>3928</v>
      </c>
      <c r="F1902" s="9" t="s">
        <v>3929</v>
      </c>
      <c r="G1902" s="9" t="s">
        <v>142</v>
      </c>
      <c r="H1902" s="9" t="s">
        <v>139</v>
      </c>
      <c r="I1902" s="9" t="s">
        <v>411</v>
      </c>
      <c r="J1902" s="9" t="s">
        <v>139</v>
      </c>
      <c r="K1902" s="10">
        <v>39716.655972222223</v>
      </c>
    </row>
    <row r="1903" spans="1:11" x14ac:dyDescent="0.25">
      <c r="A1903" s="8">
        <v>3057</v>
      </c>
      <c r="B1903" s="9" t="s">
        <v>6260</v>
      </c>
      <c r="C1903" s="9" t="s">
        <v>3930</v>
      </c>
      <c r="D1903" s="9" t="s">
        <v>139</v>
      </c>
      <c r="E1903" s="9" t="s">
        <v>3931</v>
      </c>
      <c r="F1903" s="9" t="s">
        <v>3932</v>
      </c>
      <c r="G1903" s="9" t="s">
        <v>142</v>
      </c>
      <c r="H1903" s="9" t="s">
        <v>139</v>
      </c>
      <c r="I1903" s="9" t="s">
        <v>411</v>
      </c>
      <c r="J1903" s="9" t="s">
        <v>3933</v>
      </c>
      <c r="K1903" s="10">
        <v>39716.656944444447</v>
      </c>
    </row>
    <row r="1904" spans="1:11" x14ac:dyDescent="0.25">
      <c r="A1904" s="8">
        <v>3058</v>
      </c>
      <c r="B1904" s="9" t="s">
        <v>6261</v>
      </c>
      <c r="C1904" s="9" t="s">
        <v>3934</v>
      </c>
      <c r="D1904" s="9" t="s">
        <v>139</v>
      </c>
      <c r="E1904" s="9" t="s">
        <v>3245</v>
      </c>
      <c r="F1904" s="9" t="s">
        <v>3246</v>
      </c>
      <c r="G1904" s="9" t="s">
        <v>142</v>
      </c>
      <c r="H1904" s="9" t="s">
        <v>139</v>
      </c>
      <c r="I1904" s="9" t="s">
        <v>411</v>
      </c>
      <c r="J1904" s="9" t="s">
        <v>139</v>
      </c>
      <c r="K1904" s="10">
        <v>39716.657858796294</v>
      </c>
    </row>
    <row r="1905" spans="1:11" x14ac:dyDescent="0.25">
      <c r="A1905" s="8">
        <v>3059</v>
      </c>
      <c r="B1905" s="9" t="s">
        <v>6262</v>
      </c>
      <c r="C1905" s="9" t="s">
        <v>3935</v>
      </c>
      <c r="D1905" s="9" t="s">
        <v>139</v>
      </c>
      <c r="E1905" s="9" t="s">
        <v>3245</v>
      </c>
      <c r="F1905" s="9" t="s">
        <v>3246</v>
      </c>
      <c r="G1905" s="9" t="s">
        <v>142</v>
      </c>
      <c r="H1905" s="9" t="s">
        <v>139</v>
      </c>
      <c r="I1905" s="9" t="s">
        <v>411</v>
      </c>
      <c r="J1905" s="9" t="s">
        <v>139</v>
      </c>
      <c r="K1905" s="10">
        <v>39716.659247685187</v>
      </c>
    </row>
    <row r="1906" spans="1:11" x14ac:dyDescent="0.25">
      <c r="A1906" s="8">
        <v>3060</v>
      </c>
      <c r="B1906" s="9" t="s">
        <v>6263</v>
      </c>
      <c r="C1906" s="9" t="s">
        <v>3936</v>
      </c>
      <c r="D1906" s="9" t="s">
        <v>139</v>
      </c>
      <c r="E1906" s="9" t="s">
        <v>3937</v>
      </c>
      <c r="F1906" s="9" t="s">
        <v>3938</v>
      </c>
      <c r="G1906" s="9" t="s">
        <v>142</v>
      </c>
      <c r="H1906" s="9" t="s">
        <v>139</v>
      </c>
      <c r="I1906" s="9" t="s">
        <v>411</v>
      </c>
      <c r="J1906" s="9" t="s">
        <v>139</v>
      </c>
      <c r="K1906" s="10">
        <v>39716.661435185182</v>
      </c>
    </row>
    <row r="1907" spans="1:11" x14ac:dyDescent="0.25">
      <c r="A1907" s="8">
        <v>3061</v>
      </c>
      <c r="B1907" s="9" t="s">
        <v>6264</v>
      </c>
      <c r="C1907" s="9" t="s">
        <v>3939</v>
      </c>
      <c r="D1907" s="9" t="s">
        <v>139</v>
      </c>
      <c r="E1907" s="9" t="s">
        <v>3940</v>
      </c>
      <c r="F1907" s="9" t="s">
        <v>3941</v>
      </c>
      <c r="G1907" s="9" t="s">
        <v>142</v>
      </c>
      <c r="H1907" s="9" t="s">
        <v>139</v>
      </c>
      <c r="I1907" s="9" t="s">
        <v>411</v>
      </c>
      <c r="J1907" s="9" t="s">
        <v>139</v>
      </c>
      <c r="K1907" s="10">
        <v>39716.662476851852</v>
      </c>
    </row>
    <row r="1908" spans="1:11" x14ac:dyDescent="0.25">
      <c r="A1908" s="8">
        <v>3062</v>
      </c>
      <c r="B1908" s="9" t="s">
        <v>6265</v>
      </c>
      <c r="C1908" s="9" t="s">
        <v>3942</v>
      </c>
      <c r="D1908" s="9" t="s">
        <v>139</v>
      </c>
      <c r="E1908" s="9" t="s">
        <v>3249</v>
      </c>
      <c r="F1908" s="9" t="s">
        <v>3941</v>
      </c>
      <c r="G1908" s="9" t="s">
        <v>142</v>
      </c>
      <c r="H1908" s="9" t="s">
        <v>139</v>
      </c>
      <c r="I1908" s="9" t="s">
        <v>411</v>
      </c>
      <c r="J1908" s="9" t="s">
        <v>139</v>
      </c>
      <c r="K1908" s="10">
        <v>39716.664375</v>
      </c>
    </row>
    <row r="1909" spans="1:11" x14ac:dyDescent="0.25">
      <c r="A1909" s="8">
        <v>3063</v>
      </c>
      <c r="B1909" s="9" t="s">
        <v>6266</v>
      </c>
      <c r="C1909" s="9" t="s">
        <v>3943</v>
      </c>
      <c r="D1909" s="9" t="s">
        <v>139</v>
      </c>
      <c r="E1909" s="9" t="s">
        <v>3944</v>
      </c>
      <c r="F1909" s="9" t="s">
        <v>3945</v>
      </c>
      <c r="G1909" s="9" t="s">
        <v>142</v>
      </c>
      <c r="H1909" s="9" t="s">
        <v>139</v>
      </c>
      <c r="I1909" s="9" t="s">
        <v>411</v>
      </c>
      <c r="J1909" s="9" t="s">
        <v>139</v>
      </c>
      <c r="K1909" s="10">
        <v>39716.665532407409</v>
      </c>
    </row>
    <row r="1910" spans="1:11" x14ac:dyDescent="0.25">
      <c r="A1910" s="8">
        <v>3064</v>
      </c>
      <c r="B1910" s="9" t="s">
        <v>6267</v>
      </c>
      <c r="C1910" s="9" t="s">
        <v>3946</v>
      </c>
      <c r="D1910" s="9" t="s">
        <v>139</v>
      </c>
      <c r="E1910" s="9" t="s">
        <v>3947</v>
      </c>
      <c r="F1910" s="9" t="s">
        <v>3948</v>
      </c>
      <c r="G1910" s="9" t="s">
        <v>142</v>
      </c>
      <c r="H1910" s="9" t="s">
        <v>139</v>
      </c>
      <c r="I1910" s="9" t="s">
        <v>411</v>
      </c>
      <c r="J1910" s="9" t="s">
        <v>139</v>
      </c>
      <c r="K1910" s="10">
        <v>39716.667442129627</v>
      </c>
    </row>
    <row r="1911" spans="1:11" x14ac:dyDescent="0.25">
      <c r="A1911" s="8">
        <v>3065</v>
      </c>
      <c r="B1911" s="9" t="s">
        <v>6268</v>
      </c>
      <c r="C1911" s="9" t="s">
        <v>3949</v>
      </c>
      <c r="D1911" s="9" t="s">
        <v>139</v>
      </c>
      <c r="E1911" s="9" t="s">
        <v>3947</v>
      </c>
      <c r="F1911" s="9" t="s">
        <v>3950</v>
      </c>
      <c r="G1911" s="9" t="s">
        <v>142</v>
      </c>
      <c r="H1911" s="9" t="s">
        <v>139</v>
      </c>
      <c r="I1911" s="9" t="s">
        <v>411</v>
      </c>
      <c r="J1911" s="9" t="s">
        <v>139</v>
      </c>
      <c r="K1911" s="10">
        <v>39716.668298611112</v>
      </c>
    </row>
    <row r="1912" spans="1:11" x14ac:dyDescent="0.25">
      <c r="A1912" s="8">
        <v>3066</v>
      </c>
      <c r="B1912" s="9" t="s">
        <v>6269</v>
      </c>
      <c r="C1912" s="9" t="s">
        <v>3951</v>
      </c>
      <c r="D1912" s="9" t="s">
        <v>139</v>
      </c>
      <c r="E1912" s="9" t="s">
        <v>2265</v>
      </c>
      <c r="F1912" s="9" t="s">
        <v>3012</v>
      </c>
      <c r="G1912" s="9" t="s">
        <v>142</v>
      </c>
      <c r="H1912" s="9" t="s">
        <v>139</v>
      </c>
      <c r="I1912" s="9" t="s">
        <v>411</v>
      </c>
      <c r="J1912" s="9" t="s">
        <v>139</v>
      </c>
      <c r="K1912" s="10">
        <v>39716.669305555559</v>
      </c>
    </row>
    <row r="1913" spans="1:11" x14ac:dyDescent="0.25">
      <c r="A1913" s="8">
        <v>3067</v>
      </c>
      <c r="B1913" s="9" t="s">
        <v>6270</v>
      </c>
      <c r="C1913" s="9" t="s">
        <v>3952</v>
      </c>
      <c r="D1913" s="9" t="s">
        <v>139</v>
      </c>
      <c r="E1913" s="9" t="s">
        <v>2265</v>
      </c>
      <c r="F1913" s="9" t="s">
        <v>3012</v>
      </c>
      <c r="G1913" s="9" t="s">
        <v>142</v>
      </c>
      <c r="H1913" s="9" t="s">
        <v>139</v>
      </c>
      <c r="I1913" s="9" t="s">
        <v>411</v>
      </c>
      <c r="J1913" s="9" t="s">
        <v>139</v>
      </c>
      <c r="K1913" s="10">
        <v>39716.67</v>
      </c>
    </row>
    <row r="1914" spans="1:11" x14ac:dyDescent="0.25">
      <c r="A1914" s="8">
        <v>3068</v>
      </c>
      <c r="B1914" s="9" t="s">
        <v>6271</v>
      </c>
      <c r="C1914" s="9" t="s">
        <v>3953</v>
      </c>
      <c r="D1914" s="9" t="s">
        <v>139</v>
      </c>
      <c r="E1914" s="9" t="s">
        <v>429</v>
      </c>
      <c r="F1914" s="9" t="s">
        <v>430</v>
      </c>
      <c r="G1914" s="9" t="s">
        <v>142</v>
      </c>
      <c r="H1914" s="9" t="s">
        <v>139</v>
      </c>
      <c r="I1914" s="9" t="s">
        <v>411</v>
      </c>
      <c r="J1914" s="9" t="s">
        <v>139</v>
      </c>
      <c r="K1914" s="10">
        <v>39716.670740740738</v>
      </c>
    </row>
    <row r="1915" spans="1:11" x14ac:dyDescent="0.25">
      <c r="A1915" s="8">
        <v>3069</v>
      </c>
      <c r="B1915" s="9" t="s">
        <v>6272</v>
      </c>
      <c r="C1915" s="9" t="s">
        <v>3954</v>
      </c>
      <c r="D1915" s="9" t="s">
        <v>139</v>
      </c>
      <c r="E1915" s="9" t="s">
        <v>3955</v>
      </c>
      <c r="F1915" s="9" t="s">
        <v>3956</v>
      </c>
      <c r="G1915" s="9" t="s">
        <v>142</v>
      </c>
      <c r="H1915" s="9" t="s">
        <v>139</v>
      </c>
      <c r="I1915" s="9" t="s">
        <v>411</v>
      </c>
      <c r="J1915" s="9" t="s">
        <v>139</v>
      </c>
      <c r="K1915" s="10">
        <v>39716.671597222223</v>
      </c>
    </row>
    <row r="1916" spans="1:11" x14ac:dyDescent="0.25">
      <c r="A1916" s="8">
        <v>3070</v>
      </c>
      <c r="B1916" s="9" t="s">
        <v>6273</v>
      </c>
      <c r="C1916" s="9" t="s">
        <v>3957</v>
      </c>
      <c r="D1916" s="9" t="s">
        <v>139</v>
      </c>
      <c r="E1916" s="9" t="s">
        <v>1503</v>
      </c>
      <c r="F1916" s="9" t="s">
        <v>1504</v>
      </c>
      <c r="G1916" s="9" t="s">
        <v>142</v>
      </c>
      <c r="H1916" s="9" t="s">
        <v>139</v>
      </c>
      <c r="I1916" s="9" t="s">
        <v>411</v>
      </c>
      <c r="J1916" s="9" t="s">
        <v>139</v>
      </c>
      <c r="K1916" s="10">
        <v>39716.67291666667</v>
      </c>
    </row>
    <row r="1917" spans="1:11" x14ac:dyDescent="0.25">
      <c r="A1917" s="8">
        <v>3071</v>
      </c>
      <c r="B1917" s="9" t="s">
        <v>6274</v>
      </c>
      <c r="C1917" s="9" t="s">
        <v>3958</v>
      </c>
      <c r="D1917" s="9" t="s">
        <v>139</v>
      </c>
      <c r="E1917" s="9" t="s">
        <v>3539</v>
      </c>
      <c r="F1917" s="9" t="s">
        <v>3959</v>
      </c>
      <c r="G1917" s="9" t="s">
        <v>142</v>
      </c>
      <c r="H1917" s="9" t="s">
        <v>139</v>
      </c>
      <c r="I1917" s="9" t="s">
        <v>411</v>
      </c>
      <c r="J1917" s="9" t="s">
        <v>139</v>
      </c>
      <c r="K1917" s="10">
        <v>39716.67627314815</v>
      </c>
    </row>
    <row r="1918" spans="1:11" x14ac:dyDescent="0.25">
      <c r="A1918" s="8">
        <v>3072</v>
      </c>
      <c r="B1918" s="9" t="s">
        <v>6275</v>
      </c>
      <c r="C1918" s="9" t="s">
        <v>3960</v>
      </c>
      <c r="D1918" s="9" t="s">
        <v>139</v>
      </c>
      <c r="E1918" s="9" t="s">
        <v>3539</v>
      </c>
      <c r="F1918" s="9" t="s">
        <v>3959</v>
      </c>
      <c r="G1918" s="9" t="s">
        <v>142</v>
      </c>
      <c r="H1918" s="9" t="s">
        <v>139</v>
      </c>
      <c r="I1918" s="9" t="s">
        <v>411</v>
      </c>
      <c r="J1918" s="9" t="s">
        <v>139</v>
      </c>
      <c r="K1918" s="10">
        <v>39716.683483796296</v>
      </c>
    </row>
    <row r="1919" spans="1:11" x14ac:dyDescent="0.25">
      <c r="A1919" s="8">
        <v>3073</v>
      </c>
      <c r="B1919" s="9" t="s">
        <v>6276</v>
      </c>
      <c r="C1919" s="9" t="s">
        <v>3961</v>
      </c>
      <c r="D1919" s="9" t="s">
        <v>139</v>
      </c>
      <c r="E1919" s="9" t="s">
        <v>3962</v>
      </c>
      <c r="F1919" s="9" t="s">
        <v>3963</v>
      </c>
      <c r="G1919" s="9" t="s">
        <v>142</v>
      </c>
      <c r="H1919" s="9" t="s">
        <v>139</v>
      </c>
      <c r="I1919" s="9" t="s">
        <v>411</v>
      </c>
      <c r="J1919" s="9" t="s">
        <v>139</v>
      </c>
      <c r="K1919" s="10">
        <v>39716.684664351851</v>
      </c>
    </row>
    <row r="1920" spans="1:11" x14ac:dyDescent="0.25">
      <c r="A1920" s="8">
        <v>3074</v>
      </c>
      <c r="B1920" s="9" t="s">
        <v>6277</v>
      </c>
      <c r="C1920" s="9" t="s">
        <v>3964</v>
      </c>
      <c r="D1920" s="9" t="s">
        <v>139</v>
      </c>
      <c r="E1920" s="9" t="s">
        <v>3269</v>
      </c>
      <c r="F1920" s="9" t="s">
        <v>3270</v>
      </c>
      <c r="G1920" s="9" t="s">
        <v>142</v>
      </c>
      <c r="H1920" s="9" t="s">
        <v>139</v>
      </c>
      <c r="I1920" s="9" t="s">
        <v>411</v>
      </c>
      <c r="J1920" s="9" t="s">
        <v>139</v>
      </c>
      <c r="K1920" s="10">
        <v>39716.685474537036</v>
      </c>
    </row>
    <row r="1921" spans="1:11" x14ac:dyDescent="0.25">
      <c r="A1921" s="8">
        <v>3075</v>
      </c>
      <c r="B1921" s="9" t="s">
        <v>6278</v>
      </c>
      <c r="C1921" s="9" t="s">
        <v>3965</v>
      </c>
      <c r="D1921" s="9" t="s">
        <v>139</v>
      </c>
      <c r="E1921" s="9" t="s">
        <v>3966</v>
      </c>
      <c r="F1921" s="9" t="s">
        <v>3967</v>
      </c>
      <c r="G1921" s="9" t="s">
        <v>142</v>
      </c>
      <c r="H1921" s="9" t="s">
        <v>139</v>
      </c>
      <c r="I1921" s="9" t="s">
        <v>411</v>
      </c>
      <c r="J1921" s="9" t="s">
        <v>139</v>
      </c>
      <c r="K1921" s="10">
        <v>39716.686678240738</v>
      </c>
    </row>
    <row r="1922" spans="1:11" x14ac:dyDescent="0.25">
      <c r="A1922" s="8">
        <v>3076</v>
      </c>
      <c r="B1922" s="9" t="s">
        <v>6279</v>
      </c>
      <c r="C1922" s="9" t="s">
        <v>3968</v>
      </c>
      <c r="D1922" s="9" t="s">
        <v>139</v>
      </c>
      <c r="E1922" s="9" t="s">
        <v>3969</v>
      </c>
      <c r="F1922" s="9" t="s">
        <v>3970</v>
      </c>
      <c r="G1922" s="9" t="s">
        <v>142</v>
      </c>
      <c r="H1922" s="9" t="s">
        <v>139</v>
      </c>
      <c r="I1922" s="9" t="s">
        <v>411</v>
      </c>
      <c r="J1922" s="9" t="s">
        <v>139</v>
      </c>
      <c r="K1922" s="10">
        <v>39716.687523148146</v>
      </c>
    </row>
    <row r="1923" spans="1:11" x14ac:dyDescent="0.25">
      <c r="A1923" s="8">
        <v>3077</v>
      </c>
      <c r="B1923" s="9" t="s">
        <v>6280</v>
      </c>
      <c r="C1923" s="9" t="s">
        <v>3971</v>
      </c>
      <c r="D1923" s="9" t="s">
        <v>139</v>
      </c>
      <c r="E1923" s="9" t="s">
        <v>3969</v>
      </c>
      <c r="F1923" s="9" t="s">
        <v>3970</v>
      </c>
      <c r="G1923" s="9" t="s">
        <v>142</v>
      </c>
      <c r="H1923" s="9" t="s">
        <v>139</v>
      </c>
      <c r="I1923" s="9" t="s">
        <v>411</v>
      </c>
      <c r="J1923" s="9" t="s">
        <v>139</v>
      </c>
      <c r="K1923" s="10">
        <v>39716.688807870371</v>
      </c>
    </row>
    <row r="1924" spans="1:11" x14ac:dyDescent="0.25">
      <c r="A1924" s="8">
        <v>3078</v>
      </c>
      <c r="B1924" s="9" t="s">
        <v>6281</v>
      </c>
      <c r="C1924" s="9" t="s">
        <v>3972</v>
      </c>
      <c r="D1924" s="9" t="s">
        <v>139</v>
      </c>
      <c r="E1924" s="9" t="s">
        <v>3973</v>
      </c>
      <c r="F1924" s="9" t="s">
        <v>3974</v>
      </c>
      <c r="G1924" s="9" t="s">
        <v>142</v>
      </c>
      <c r="H1924" s="9" t="s">
        <v>139</v>
      </c>
      <c r="I1924" s="9" t="s">
        <v>411</v>
      </c>
      <c r="J1924" s="9" t="s">
        <v>139</v>
      </c>
      <c r="K1924" s="10">
        <v>39716.689652777779</v>
      </c>
    </row>
    <row r="1925" spans="1:11" x14ac:dyDescent="0.25">
      <c r="A1925" s="8">
        <v>3079</v>
      </c>
      <c r="B1925" s="9" t="s">
        <v>6282</v>
      </c>
      <c r="C1925" s="9" t="s">
        <v>3975</v>
      </c>
      <c r="D1925" s="9" t="s">
        <v>139</v>
      </c>
      <c r="E1925" s="9" t="s">
        <v>3976</v>
      </c>
      <c r="F1925" s="9" t="s">
        <v>3977</v>
      </c>
      <c r="G1925" s="9" t="s">
        <v>142</v>
      </c>
      <c r="H1925" s="9" t="s">
        <v>139</v>
      </c>
      <c r="I1925" s="9" t="s">
        <v>411</v>
      </c>
      <c r="J1925" s="9" t="s">
        <v>139</v>
      </c>
      <c r="K1925" s="10">
        <v>39716.690648148149</v>
      </c>
    </row>
    <row r="1926" spans="1:11" x14ac:dyDescent="0.25">
      <c r="A1926" s="8">
        <v>3080</v>
      </c>
      <c r="B1926" s="9" t="s">
        <v>6283</v>
      </c>
      <c r="C1926" s="9" t="s">
        <v>3978</v>
      </c>
      <c r="D1926" s="9" t="s">
        <v>139</v>
      </c>
      <c r="E1926" s="9" t="s">
        <v>3979</v>
      </c>
      <c r="F1926" s="9" t="s">
        <v>3980</v>
      </c>
      <c r="G1926" s="9" t="s">
        <v>142</v>
      </c>
      <c r="H1926" s="9" t="s">
        <v>139</v>
      </c>
      <c r="I1926" s="9" t="s">
        <v>411</v>
      </c>
      <c r="J1926" s="9" t="s">
        <v>139</v>
      </c>
      <c r="K1926" s="10">
        <v>39716.692071759258</v>
      </c>
    </row>
    <row r="1927" spans="1:11" x14ac:dyDescent="0.25">
      <c r="A1927" s="8">
        <v>3081</v>
      </c>
      <c r="B1927" s="9" t="s">
        <v>6284</v>
      </c>
      <c r="C1927" s="9" t="s">
        <v>3981</v>
      </c>
      <c r="D1927" s="9" t="s">
        <v>139</v>
      </c>
      <c r="E1927" s="9" t="s">
        <v>3982</v>
      </c>
      <c r="F1927" s="9" t="s">
        <v>3983</v>
      </c>
      <c r="G1927" s="9" t="s">
        <v>142</v>
      </c>
      <c r="H1927" s="9" t="s">
        <v>139</v>
      </c>
      <c r="I1927" s="9" t="s">
        <v>411</v>
      </c>
      <c r="J1927" s="9" t="s">
        <v>139</v>
      </c>
      <c r="K1927" s="10">
        <v>39716.693148148152</v>
      </c>
    </row>
    <row r="1928" spans="1:11" x14ac:dyDescent="0.25">
      <c r="A1928" s="8">
        <v>3082</v>
      </c>
      <c r="B1928" s="9" t="s">
        <v>6285</v>
      </c>
      <c r="C1928" s="9" t="s">
        <v>3984</v>
      </c>
      <c r="D1928" s="9" t="s">
        <v>139</v>
      </c>
      <c r="E1928" s="9" t="s">
        <v>1938</v>
      </c>
      <c r="F1928" s="9" t="s">
        <v>1939</v>
      </c>
      <c r="G1928" s="9" t="s">
        <v>142</v>
      </c>
      <c r="H1928" s="9" t="s">
        <v>258</v>
      </c>
      <c r="I1928" s="9" t="s">
        <v>411</v>
      </c>
      <c r="J1928" s="9" t="s">
        <v>3985</v>
      </c>
      <c r="K1928" s="10">
        <v>39716.694374999999</v>
      </c>
    </row>
    <row r="1929" spans="1:11" x14ac:dyDescent="0.25">
      <c r="A1929" s="8">
        <v>3083</v>
      </c>
      <c r="B1929" s="9" t="s">
        <v>6286</v>
      </c>
      <c r="C1929" s="9" t="s">
        <v>3986</v>
      </c>
      <c r="D1929" s="9" t="s">
        <v>139</v>
      </c>
      <c r="E1929" s="9" t="s">
        <v>3987</v>
      </c>
      <c r="F1929" s="9" t="s">
        <v>841</v>
      </c>
      <c r="G1929" s="9" t="s">
        <v>142</v>
      </c>
      <c r="H1929" s="9" t="s">
        <v>139</v>
      </c>
      <c r="I1929" s="9" t="s">
        <v>411</v>
      </c>
      <c r="J1929" s="9" t="s">
        <v>139</v>
      </c>
      <c r="K1929" s="10">
        <v>39716.698391203703</v>
      </c>
    </row>
    <row r="1930" spans="1:11" x14ac:dyDescent="0.25">
      <c r="A1930" s="8">
        <v>3084</v>
      </c>
      <c r="B1930" s="9" t="s">
        <v>6287</v>
      </c>
      <c r="C1930" s="9" t="s">
        <v>3988</v>
      </c>
      <c r="D1930" s="9" t="s">
        <v>139</v>
      </c>
      <c r="E1930" s="9" t="s">
        <v>3989</v>
      </c>
      <c r="F1930" s="9" t="s">
        <v>3990</v>
      </c>
      <c r="G1930" s="9" t="s">
        <v>142</v>
      </c>
      <c r="H1930" s="9" t="s">
        <v>139</v>
      </c>
      <c r="I1930" s="9" t="s">
        <v>411</v>
      </c>
      <c r="J1930" s="9" t="s">
        <v>139</v>
      </c>
      <c r="K1930" s="10">
        <v>39716.699490740742</v>
      </c>
    </row>
    <row r="1931" spans="1:11" x14ac:dyDescent="0.25">
      <c r="A1931" s="8">
        <v>3085</v>
      </c>
      <c r="B1931" s="9" t="s">
        <v>6288</v>
      </c>
      <c r="C1931" s="9" t="s">
        <v>3991</v>
      </c>
      <c r="D1931" s="9" t="s">
        <v>139</v>
      </c>
      <c r="E1931" s="9" t="s">
        <v>3989</v>
      </c>
      <c r="F1931" s="9" t="s">
        <v>3990</v>
      </c>
      <c r="G1931" s="9" t="s">
        <v>142</v>
      </c>
      <c r="H1931" s="9" t="s">
        <v>139</v>
      </c>
      <c r="I1931" s="9" t="s">
        <v>411</v>
      </c>
      <c r="J1931" s="9" t="s">
        <v>139</v>
      </c>
      <c r="K1931" s="10">
        <v>39716.700370370374</v>
      </c>
    </row>
    <row r="1932" spans="1:11" x14ac:dyDescent="0.25">
      <c r="A1932" s="8">
        <v>3087</v>
      </c>
      <c r="B1932" s="9" t="s">
        <v>6289</v>
      </c>
      <c r="C1932" s="9" t="s">
        <v>3992</v>
      </c>
      <c r="D1932" s="9" t="s">
        <v>139</v>
      </c>
      <c r="E1932" s="9" t="s">
        <v>3993</v>
      </c>
      <c r="F1932" s="9" t="s">
        <v>3994</v>
      </c>
      <c r="G1932" s="9" t="s">
        <v>142</v>
      </c>
      <c r="H1932" s="9" t="s">
        <v>139</v>
      </c>
      <c r="I1932" s="9" t="s">
        <v>411</v>
      </c>
      <c r="J1932" s="9" t="s">
        <v>139</v>
      </c>
      <c r="K1932" s="10">
        <v>39716.713773148149</v>
      </c>
    </row>
    <row r="1933" spans="1:11" x14ac:dyDescent="0.25">
      <c r="A1933" s="8">
        <v>3088</v>
      </c>
      <c r="B1933" s="9" t="s">
        <v>6290</v>
      </c>
      <c r="C1933" s="9" t="s">
        <v>3995</v>
      </c>
      <c r="D1933" s="9" t="s">
        <v>139</v>
      </c>
      <c r="E1933" s="9" t="s">
        <v>3263</v>
      </c>
      <c r="F1933" s="9" t="s">
        <v>3264</v>
      </c>
      <c r="G1933" s="9" t="s">
        <v>142</v>
      </c>
      <c r="H1933" s="9" t="s">
        <v>139</v>
      </c>
      <c r="I1933" s="9" t="s">
        <v>411</v>
      </c>
      <c r="J1933" s="9" t="s">
        <v>139</v>
      </c>
      <c r="K1933" s="10">
        <v>39716.714884259258</v>
      </c>
    </row>
    <row r="1934" spans="1:11" x14ac:dyDescent="0.25">
      <c r="A1934" s="8">
        <v>3089</v>
      </c>
      <c r="B1934" s="9" t="s">
        <v>6291</v>
      </c>
      <c r="C1934" s="9" t="s">
        <v>3996</v>
      </c>
      <c r="D1934" s="9" t="s">
        <v>139</v>
      </c>
      <c r="E1934" s="9" t="s">
        <v>3266</v>
      </c>
      <c r="F1934" s="9" t="s">
        <v>3997</v>
      </c>
      <c r="G1934" s="9" t="s">
        <v>142</v>
      </c>
      <c r="H1934" s="9" t="s">
        <v>139</v>
      </c>
      <c r="I1934" s="9" t="s">
        <v>411</v>
      </c>
      <c r="J1934" s="9" t="s">
        <v>139</v>
      </c>
      <c r="K1934" s="10">
        <v>39716.716377314813</v>
      </c>
    </row>
    <row r="1935" spans="1:11" x14ac:dyDescent="0.25">
      <c r="A1935" s="8">
        <v>3090</v>
      </c>
      <c r="B1935" s="9" t="s">
        <v>6292</v>
      </c>
      <c r="C1935" s="9" t="s">
        <v>3998</v>
      </c>
      <c r="D1935" s="9" t="s">
        <v>139</v>
      </c>
      <c r="E1935" s="9" t="s">
        <v>3987</v>
      </c>
      <c r="F1935" s="9" t="s">
        <v>3999</v>
      </c>
      <c r="G1935" s="9" t="s">
        <v>142</v>
      </c>
      <c r="H1935" s="9" t="s">
        <v>139</v>
      </c>
      <c r="I1935" s="9" t="s">
        <v>411</v>
      </c>
      <c r="J1935" s="9" t="s">
        <v>139</v>
      </c>
      <c r="K1935" s="10">
        <v>39716.717222222222</v>
      </c>
    </row>
    <row r="1936" spans="1:11" x14ac:dyDescent="0.25">
      <c r="A1936" s="8">
        <v>3091</v>
      </c>
      <c r="B1936" s="9" t="s">
        <v>6293</v>
      </c>
      <c r="C1936" s="9" t="s">
        <v>4000</v>
      </c>
      <c r="D1936" s="9" t="s">
        <v>139</v>
      </c>
      <c r="E1936" s="9" t="s">
        <v>2408</v>
      </c>
      <c r="F1936" s="9" t="s">
        <v>2409</v>
      </c>
      <c r="G1936" s="9" t="s">
        <v>142</v>
      </c>
      <c r="H1936" s="9" t="s">
        <v>139</v>
      </c>
      <c r="I1936" s="9" t="s">
        <v>411</v>
      </c>
      <c r="J1936" s="9" t="s">
        <v>139</v>
      </c>
      <c r="K1936" s="10">
        <v>39716.718055555553</v>
      </c>
    </row>
    <row r="1937" spans="1:11" x14ac:dyDescent="0.25">
      <c r="A1937" s="8">
        <v>3092</v>
      </c>
      <c r="B1937" s="9" t="s">
        <v>6294</v>
      </c>
      <c r="C1937" s="9" t="s">
        <v>4001</v>
      </c>
      <c r="D1937" s="9" t="s">
        <v>139</v>
      </c>
      <c r="E1937" s="9" t="s">
        <v>4002</v>
      </c>
      <c r="F1937" s="9" t="s">
        <v>4003</v>
      </c>
      <c r="G1937" s="9" t="s">
        <v>142</v>
      </c>
      <c r="H1937" s="9" t="s">
        <v>139</v>
      </c>
      <c r="I1937" s="9" t="s">
        <v>411</v>
      </c>
      <c r="J1937" s="9" t="s">
        <v>139</v>
      </c>
      <c r="K1937" s="10">
        <v>39716.718958333331</v>
      </c>
    </row>
    <row r="1938" spans="1:11" x14ac:dyDescent="0.25">
      <c r="A1938" s="8">
        <v>3093</v>
      </c>
      <c r="B1938" s="9" t="s">
        <v>6295</v>
      </c>
      <c r="C1938" s="9" t="s">
        <v>4004</v>
      </c>
      <c r="D1938" s="9" t="s">
        <v>139</v>
      </c>
      <c r="E1938" s="9" t="s">
        <v>4005</v>
      </c>
      <c r="F1938" s="9" t="s">
        <v>4006</v>
      </c>
      <c r="G1938" s="9" t="s">
        <v>142</v>
      </c>
      <c r="H1938" s="9" t="s">
        <v>139</v>
      </c>
      <c r="I1938" s="9" t="s">
        <v>411</v>
      </c>
      <c r="J1938" s="9" t="s">
        <v>139</v>
      </c>
      <c r="K1938" s="10">
        <v>39716.720092592594</v>
      </c>
    </row>
    <row r="1939" spans="1:11" x14ac:dyDescent="0.25">
      <c r="A1939" s="8">
        <v>3094</v>
      </c>
      <c r="B1939" s="9" t="s">
        <v>6296</v>
      </c>
      <c r="C1939" s="9" t="s">
        <v>4007</v>
      </c>
      <c r="D1939" s="9" t="s">
        <v>139</v>
      </c>
      <c r="E1939" s="9" t="s">
        <v>3266</v>
      </c>
      <c r="F1939" s="9" t="s">
        <v>3267</v>
      </c>
      <c r="G1939" s="9" t="s">
        <v>142</v>
      </c>
      <c r="H1939" s="9" t="s">
        <v>139</v>
      </c>
      <c r="I1939" s="9" t="s">
        <v>411</v>
      </c>
      <c r="J1939" s="9" t="s">
        <v>139</v>
      </c>
      <c r="K1939" s="10">
        <v>39716.720914351848</v>
      </c>
    </row>
    <row r="1940" spans="1:11" x14ac:dyDescent="0.25">
      <c r="A1940" s="8">
        <v>3095</v>
      </c>
      <c r="B1940" s="9" t="s">
        <v>6297</v>
      </c>
      <c r="C1940" s="9" t="s">
        <v>4008</v>
      </c>
      <c r="D1940" s="9" t="s">
        <v>139</v>
      </c>
      <c r="E1940" s="9" t="s">
        <v>4009</v>
      </c>
      <c r="F1940" s="9" t="s">
        <v>4010</v>
      </c>
      <c r="G1940" s="9" t="s">
        <v>142</v>
      </c>
      <c r="H1940" s="9" t="s">
        <v>139</v>
      </c>
      <c r="I1940" s="9" t="s">
        <v>411</v>
      </c>
      <c r="J1940" s="9" t="s">
        <v>4011</v>
      </c>
      <c r="K1940" s="10">
        <v>39716.72215277778</v>
      </c>
    </row>
    <row r="1941" spans="1:11" x14ac:dyDescent="0.25">
      <c r="A1941" s="8">
        <v>3096</v>
      </c>
      <c r="B1941" s="9" t="s">
        <v>6298</v>
      </c>
      <c r="C1941" s="9" t="s">
        <v>4012</v>
      </c>
      <c r="D1941" s="9" t="s">
        <v>139</v>
      </c>
      <c r="E1941" s="9" t="s">
        <v>4013</v>
      </c>
      <c r="F1941" s="9" t="s">
        <v>4014</v>
      </c>
      <c r="G1941" s="9" t="s">
        <v>142</v>
      </c>
      <c r="H1941" s="9" t="s">
        <v>139</v>
      </c>
      <c r="I1941" s="9" t="s">
        <v>411</v>
      </c>
      <c r="J1941" s="9" t="s">
        <v>139</v>
      </c>
      <c r="K1941" s="10">
        <v>39716.722974537035</v>
      </c>
    </row>
    <row r="1942" spans="1:11" x14ac:dyDescent="0.25">
      <c r="A1942" s="8">
        <v>3097</v>
      </c>
      <c r="B1942" s="9" t="s">
        <v>6299</v>
      </c>
      <c r="C1942" s="9" t="s">
        <v>4015</v>
      </c>
      <c r="D1942" s="9" t="s">
        <v>139</v>
      </c>
      <c r="E1942" s="9" t="s">
        <v>4016</v>
      </c>
      <c r="F1942" s="9" t="s">
        <v>4017</v>
      </c>
      <c r="G1942" s="9" t="s">
        <v>142</v>
      </c>
      <c r="H1942" s="9" t="s">
        <v>139</v>
      </c>
      <c r="I1942" s="9" t="s">
        <v>411</v>
      </c>
      <c r="J1942" s="9" t="s">
        <v>139</v>
      </c>
      <c r="K1942" s="10">
        <v>39716.723923611113</v>
      </c>
    </row>
    <row r="1943" spans="1:11" x14ac:dyDescent="0.25">
      <c r="A1943" s="8">
        <v>3098</v>
      </c>
      <c r="B1943" s="9" t="s">
        <v>6300</v>
      </c>
      <c r="C1943" s="9" t="s">
        <v>4018</v>
      </c>
      <c r="D1943" s="9" t="s">
        <v>139</v>
      </c>
      <c r="E1943" s="9" t="s">
        <v>4016</v>
      </c>
      <c r="F1943" s="9" t="s">
        <v>4017</v>
      </c>
      <c r="G1943" s="9" t="s">
        <v>142</v>
      </c>
      <c r="H1943" s="9" t="s">
        <v>139</v>
      </c>
      <c r="I1943" s="9" t="s">
        <v>411</v>
      </c>
      <c r="J1943" s="9" t="s">
        <v>139</v>
      </c>
      <c r="K1943" s="10">
        <v>39716.724652777775</v>
      </c>
    </row>
    <row r="1944" spans="1:11" x14ac:dyDescent="0.25">
      <c r="A1944" s="8">
        <v>3099</v>
      </c>
      <c r="B1944" s="9" t="s">
        <v>6301</v>
      </c>
      <c r="C1944" s="9" t="s">
        <v>4019</v>
      </c>
      <c r="D1944" s="9" t="s">
        <v>139</v>
      </c>
      <c r="E1944" s="9" t="s">
        <v>2961</v>
      </c>
      <c r="F1944" s="9" t="s">
        <v>4020</v>
      </c>
      <c r="G1944" s="9" t="s">
        <v>142</v>
      </c>
      <c r="H1944" s="9" t="s">
        <v>139</v>
      </c>
      <c r="I1944" s="9" t="s">
        <v>411</v>
      </c>
      <c r="J1944" s="9" t="s">
        <v>139</v>
      </c>
      <c r="K1944" s="10">
        <v>39716.725393518522</v>
      </c>
    </row>
    <row r="1945" spans="1:11" x14ac:dyDescent="0.25">
      <c r="A1945" s="8">
        <v>3100</v>
      </c>
      <c r="B1945" s="9" t="s">
        <v>6302</v>
      </c>
      <c r="C1945" s="9" t="s">
        <v>4021</v>
      </c>
      <c r="D1945" s="9" t="s">
        <v>139</v>
      </c>
      <c r="E1945" s="9" t="s">
        <v>4022</v>
      </c>
      <c r="F1945" s="9" t="s">
        <v>4023</v>
      </c>
      <c r="G1945" s="9" t="s">
        <v>142</v>
      </c>
      <c r="H1945" s="9" t="s">
        <v>139</v>
      </c>
      <c r="I1945" s="9" t="s">
        <v>411</v>
      </c>
      <c r="J1945" s="9" t="s">
        <v>139</v>
      </c>
      <c r="K1945" s="10">
        <v>39716.726342592592</v>
      </c>
    </row>
    <row r="1946" spans="1:11" x14ac:dyDescent="0.25">
      <c r="A1946" s="8">
        <v>3101</v>
      </c>
      <c r="B1946" s="9" t="s">
        <v>6303</v>
      </c>
      <c r="C1946" s="9" t="s">
        <v>4024</v>
      </c>
      <c r="D1946" s="9" t="s">
        <v>139</v>
      </c>
      <c r="E1946" s="9" t="s">
        <v>2078</v>
      </c>
      <c r="F1946" s="9" t="s">
        <v>2079</v>
      </c>
      <c r="G1946" s="9" t="s">
        <v>142</v>
      </c>
      <c r="H1946" s="9" t="s">
        <v>139</v>
      </c>
      <c r="I1946" s="9" t="s">
        <v>411</v>
      </c>
      <c r="J1946" s="9" t="s">
        <v>139</v>
      </c>
      <c r="K1946" s="10">
        <v>39716.727673611109</v>
      </c>
    </row>
    <row r="1947" spans="1:11" x14ac:dyDescent="0.25">
      <c r="A1947" s="8">
        <v>3102</v>
      </c>
      <c r="B1947" s="9" t="s">
        <v>6304</v>
      </c>
      <c r="C1947" s="9" t="s">
        <v>4025</v>
      </c>
      <c r="D1947" s="9" t="s">
        <v>139</v>
      </c>
      <c r="E1947" s="9" t="s">
        <v>1640</v>
      </c>
      <c r="F1947" s="9" t="s">
        <v>1641</v>
      </c>
      <c r="G1947" s="9" t="s">
        <v>142</v>
      </c>
      <c r="H1947" s="9" t="s">
        <v>139</v>
      </c>
      <c r="I1947" s="9" t="s">
        <v>411</v>
      </c>
      <c r="J1947" s="9" t="s">
        <v>139</v>
      </c>
      <c r="K1947" s="10">
        <v>39716.728680555556</v>
      </c>
    </row>
    <row r="1948" spans="1:11" x14ac:dyDescent="0.25">
      <c r="A1948" s="8">
        <v>3103</v>
      </c>
      <c r="B1948" s="9" t="s">
        <v>6305</v>
      </c>
      <c r="C1948" s="9" t="s">
        <v>4026</v>
      </c>
      <c r="D1948" s="9" t="s">
        <v>139</v>
      </c>
      <c r="E1948" s="9" t="s">
        <v>1756</v>
      </c>
      <c r="F1948" s="9" t="s">
        <v>1757</v>
      </c>
      <c r="G1948" s="9" t="s">
        <v>142</v>
      </c>
      <c r="H1948" s="9" t="s">
        <v>139</v>
      </c>
      <c r="I1948" s="9" t="s">
        <v>411</v>
      </c>
      <c r="J1948" s="9" t="s">
        <v>139</v>
      </c>
      <c r="K1948" s="10">
        <v>39716.762106481481</v>
      </c>
    </row>
    <row r="1949" spans="1:11" x14ac:dyDescent="0.25">
      <c r="A1949" s="8">
        <v>3104</v>
      </c>
      <c r="B1949" s="9" t="s">
        <v>6306</v>
      </c>
      <c r="C1949" s="9" t="s">
        <v>4027</v>
      </c>
      <c r="D1949" s="9" t="s">
        <v>139</v>
      </c>
      <c r="E1949" s="9" t="s">
        <v>4028</v>
      </c>
      <c r="F1949" s="9" t="s">
        <v>4029</v>
      </c>
      <c r="G1949" s="9" t="s">
        <v>142</v>
      </c>
      <c r="H1949" s="9" t="s">
        <v>139</v>
      </c>
      <c r="I1949" s="9" t="s">
        <v>411</v>
      </c>
      <c r="J1949" s="9" t="s">
        <v>139</v>
      </c>
      <c r="K1949" s="10">
        <v>39716.763159722221</v>
      </c>
    </row>
    <row r="1950" spans="1:11" x14ac:dyDescent="0.25">
      <c r="A1950" s="8">
        <v>3105</v>
      </c>
      <c r="B1950" s="9" t="s">
        <v>6307</v>
      </c>
      <c r="C1950" s="9" t="s">
        <v>4030</v>
      </c>
      <c r="D1950" s="9" t="s">
        <v>139</v>
      </c>
      <c r="E1950" s="9" t="s">
        <v>2358</v>
      </c>
      <c r="F1950" s="9" t="s">
        <v>4031</v>
      </c>
      <c r="G1950" s="9" t="s">
        <v>142</v>
      </c>
      <c r="H1950" s="9" t="s">
        <v>139</v>
      </c>
      <c r="I1950" s="9" t="s">
        <v>411</v>
      </c>
      <c r="J1950" s="9" t="s">
        <v>139</v>
      </c>
      <c r="K1950" s="10">
        <v>39716.766909722224</v>
      </c>
    </row>
    <row r="1951" spans="1:11" x14ac:dyDescent="0.25">
      <c r="A1951" s="8">
        <v>3106</v>
      </c>
      <c r="B1951" s="9" t="s">
        <v>6308</v>
      </c>
      <c r="C1951" s="9" t="s">
        <v>4032</v>
      </c>
      <c r="D1951" s="9" t="s">
        <v>139</v>
      </c>
      <c r="E1951" s="9" t="s">
        <v>4033</v>
      </c>
      <c r="F1951" s="9" t="s">
        <v>4034</v>
      </c>
      <c r="G1951" s="9" t="s">
        <v>142</v>
      </c>
      <c r="H1951" s="9" t="s">
        <v>139</v>
      </c>
      <c r="I1951" s="9" t="s">
        <v>411</v>
      </c>
      <c r="J1951" s="9" t="s">
        <v>139</v>
      </c>
      <c r="K1951" s="10">
        <v>39716.77008101852</v>
      </c>
    </row>
    <row r="1952" spans="1:11" x14ac:dyDescent="0.25">
      <c r="A1952" s="8">
        <v>3107</v>
      </c>
      <c r="B1952" s="9" t="s">
        <v>6309</v>
      </c>
      <c r="C1952" s="9" t="s">
        <v>4035</v>
      </c>
      <c r="D1952" s="9" t="s">
        <v>139</v>
      </c>
      <c r="E1952" s="9" t="s">
        <v>1690</v>
      </c>
      <c r="F1952" s="9" t="s">
        <v>2595</v>
      </c>
      <c r="G1952" s="9" t="s">
        <v>142</v>
      </c>
      <c r="H1952" s="9" t="s">
        <v>139</v>
      </c>
      <c r="I1952" s="9" t="s">
        <v>411</v>
      </c>
      <c r="J1952" s="9" t="s">
        <v>139</v>
      </c>
      <c r="K1952" s="10">
        <v>39716.770879629628</v>
      </c>
    </row>
    <row r="1953" spans="1:11" x14ac:dyDescent="0.25">
      <c r="A1953" s="8">
        <v>3108</v>
      </c>
      <c r="B1953" s="9" t="s">
        <v>6310</v>
      </c>
      <c r="C1953" s="9" t="s">
        <v>4036</v>
      </c>
      <c r="D1953" s="9" t="s">
        <v>139</v>
      </c>
      <c r="E1953" s="9" t="s">
        <v>4037</v>
      </c>
      <c r="F1953" s="9" t="s">
        <v>4038</v>
      </c>
      <c r="G1953" s="9" t="s">
        <v>142</v>
      </c>
      <c r="H1953" s="9" t="s">
        <v>139</v>
      </c>
      <c r="I1953" s="9" t="s">
        <v>411</v>
      </c>
      <c r="J1953" s="9" t="s">
        <v>139</v>
      </c>
      <c r="K1953" s="10">
        <v>39716.771666666667</v>
      </c>
    </row>
    <row r="1954" spans="1:11" x14ac:dyDescent="0.25">
      <c r="A1954" s="8">
        <v>3109</v>
      </c>
      <c r="B1954" s="9" t="s">
        <v>6311</v>
      </c>
      <c r="C1954" s="9" t="s">
        <v>4039</v>
      </c>
      <c r="D1954" s="9" t="s">
        <v>139</v>
      </c>
      <c r="E1954" s="9" t="s">
        <v>4040</v>
      </c>
      <c r="F1954" s="9" t="s">
        <v>4041</v>
      </c>
      <c r="G1954" s="9" t="s">
        <v>142</v>
      </c>
      <c r="H1954" s="9" t="s">
        <v>139</v>
      </c>
      <c r="I1954" s="9" t="s">
        <v>411</v>
      </c>
      <c r="J1954" s="9" t="s">
        <v>139</v>
      </c>
      <c r="K1954" s="10">
        <v>39716.772962962961</v>
      </c>
    </row>
    <row r="1955" spans="1:11" x14ac:dyDescent="0.25">
      <c r="A1955" s="8">
        <v>3110</v>
      </c>
      <c r="B1955" s="9" t="s">
        <v>6312</v>
      </c>
      <c r="C1955" s="9" t="s">
        <v>4042</v>
      </c>
      <c r="D1955" s="9" t="s">
        <v>139</v>
      </c>
      <c r="E1955" s="9" t="s">
        <v>4043</v>
      </c>
      <c r="F1955" s="9" t="s">
        <v>4044</v>
      </c>
      <c r="G1955" s="9" t="s">
        <v>142</v>
      </c>
      <c r="H1955" s="9" t="s">
        <v>139</v>
      </c>
      <c r="I1955" s="9" t="s">
        <v>411</v>
      </c>
      <c r="J1955" s="9" t="s">
        <v>139</v>
      </c>
      <c r="K1955" s="10">
        <v>39716.774247685185</v>
      </c>
    </row>
    <row r="1956" spans="1:11" x14ac:dyDescent="0.25">
      <c r="A1956" s="8">
        <v>3111</v>
      </c>
      <c r="B1956" s="9" t="s">
        <v>6313</v>
      </c>
      <c r="C1956" s="9" t="s">
        <v>4045</v>
      </c>
      <c r="D1956" s="9" t="s">
        <v>139</v>
      </c>
      <c r="E1956" s="9" t="s">
        <v>4046</v>
      </c>
      <c r="F1956" s="9" t="s">
        <v>4047</v>
      </c>
      <c r="G1956" s="9" t="s">
        <v>142</v>
      </c>
      <c r="H1956" s="9" t="s">
        <v>139</v>
      </c>
      <c r="I1956" s="9" t="s">
        <v>411</v>
      </c>
      <c r="J1956" s="9" t="s">
        <v>139</v>
      </c>
      <c r="K1956" s="10">
        <v>39716.775104166663</v>
      </c>
    </row>
    <row r="1957" spans="1:11" x14ac:dyDescent="0.25">
      <c r="A1957" s="8">
        <v>3112</v>
      </c>
      <c r="B1957" s="9" t="s">
        <v>6314</v>
      </c>
      <c r="C1957" s="9" t="s">
        <v>4048</v>
      </c>
      <c r="D1957" s="9" t="s">
        <v>139</v>
      </c>
      <c r="E1957" s="9" t="s">
        <v>4049</v>
      </c>
      <c r="F1957" s="9" t="s">
        <v>4050</v>
      </c>
      <c r="G1957" s="9" t="s">
        <v>142</v>
      </c>
      <c r="H1957" s="9" t="s">
        <v>139</v>
      </c>
      <c r="I1957" s="9" t="s">
        <v>411</v>
      </c>
      <c r="J1957" s="9" t="s">
        <v>139</v>
      </c>
      <c r="K1957" s="10">
        <v>39716.775983796295</v>
      </c>
    </row>
    <row r="1958" spans="1:11" x14ac:dyDescent="0.25">
      <c r="A1958" s="8">
        <v>3113</v>
      </c>
      <c r="B1958" s="9" t="s">
        <v>6315</v>
      </c>
      <c r="C1958" s="9" t="s">
        <v>4051</v>
      </c>
      <c r="D1958" s="9" t="s">
        <v>139</v>
      </c>
      <c r="E1958" s="9" t="s">
        <v>1376</v>
      </c>
      <c r="F1958" s="9" t="s">
        <v>1377</v>
      </c>
      <c r="G1958" s="9" t="s">
        <v>142</v>
      </c>
      <c r="H1958" s="9" t="s">
        <v>139</v>
      </c>
      <c r="I1958" s="9" t="s">
        <v>411</v>
      </c>
      <c r="J1958" s="9" t="s">
        <v>139</v>
      </c>
      <c r="K1958" s="10">
        <v>39716.776898148149</v>
      </c>
    </row>
    <row r="1959" spans="1:11" x14ac:dyDescent="0.25">
      <c r="A1959" s="8">
        <v>3114</v>
      </c>
      <c r="B1959" s="9" t="s">
        <v>6316</v>
      </c>
      <c r="C1959" s="9" t="s">
        <v>4052</v>
      </c>
      <c r="D1959" s="9" t="s">
        <v>139</v>
      </c>
      <c r="E1959" s="9" t="s">
        <v>1376</v>
      </c>
      <c r="F1959" s="9" t="s">
        <v>1377</v>
      </c>
      <c r="G1959" s="9" t="s">
        <v>142</v>
      </c>
      <c r="H1959" s="9" t="s">
        <v>139</v>
      </c>
      <c r="I1959" s="9" t="s">
        <v>411</v>
      </c>
      <c r="J1959" s="9" t="s">
        <v>139</v>
      </c>
      <c r="K1959" s="10">
        <v>39716.777638888889</v>
      </c>
    </row>
    <row r="1960" spans="1:11" x14ac:dyDescent="0.25">
      <c r="A1960" s="8">
        <v>3115</v>
      </c>
      <c r="B1960" s="9" t="s">
        <v>6317</v>
      </c>
      <c r="C1960" s="9" t="s">
        <v>4053</v>
      </c>
      <c r="D1960" s="9" t="s">
        <v>139</v>
      </c>
      <c r="E1960" s="9" t="s">
        <v>4054</v>
      </c>
      <c r="F1960" s="9" t="s">
        <v>4055</v>
      </c>
      <c r="G1960" s="9" t="s">
        <v>142</v>
      </c>
      <c r="H1960" s="9" t="s">
        <v>139</v>
      </c>
      <c r="I1960" s="9" t="s">
        <v>411</v>
      </c>
      <c r="J1960" s="9" t="s">
        <v>139</v>
      </c>
      <c r="K1960" s="10">
        <v>39716.778287037036</v>
      </c>
    </row>
    <row r="1961" spans="1:11" x14ac:dyDescent="0.25">
      <c r="A1961" s="8">
        <v>3117</v>
      </c>
      <c r="B1961" s="9" t="s">
        <v>6318</v>
      </c>
      <c r="C1961" s="9" t="s">
        <v>4056</v>
      </c>
      <c r="D1961" s="9" t="s">
        <v>139</v>
      </c>
      <c r="E1961" s="9" t="s">
        <v>504</v>
      </c>
      <c r="F1961" s="9" t="s">
        <v>505</v>
      </c>
      <c r="G1961" s="9" t="s">
        <v>142</v>
      </c>
      <c r="H1961" s="9" t="s">
        <v>139</v>
      </c>
      <c r="I1961" s="9" t="s">
        <v>411</v>
      </c>
      <c r="J1961" s="9" t="s">
        <v>139</v>
      </c>
      <c r="K1961" s="10">
        <v>39716.779895833337</v>
      </c>
    </row>
    <row r="1962" spans="1:11" x14ac:dyDescent="0.25">
      <c r="A1962" s="8">
        <v>3118</v>
      </c>
      <c r="B1962" s="9" t="s">
        <v>6319</v>
      </c>
      <c r="C1962" s="9" t="s">
        <v>4057</v>
      </c>
      <c r="D1962" s="9" t="s">
        <v>139</v>
      </c>
      <c r="E1962" s="9" t="s">
        <v>4058</v>
      </c>
      <c r="F1962" s="9" t="s">
        <v>4059</v>
      </c>
      <c r="G1962" s="9" t="s">
        <v>142</v>
      </c>
      <c r="H1962" s="9" t="s">
        <v>139</v>
      </c>
      <c r="I1962" s="9" t="s">
        <v>411</v>
      </c>
      <c r="J1962" s="9" t="s">
        <v>139</v>
      </c>
      <c r="K1962" s="10">
        <v>39716.781215277777</v>
      </c>
    </row>
    <row r="1963" spans="1:11" x14ac:dyDescent="0.25">
      <c r="A1963" s="8">
        <v>3119</v>
      </c>
      <c r="B1963" s="9" t="s">
        <v>6320</v>
      </c>
      <c r="C1963" s="9" t="s">
        <v>4060</v>
      </c>
      <c r="D1963" s="9" t="s">
        <v>139</v>
      </c>
      <c r="E1963" s="9" t="s">
        <v>4061</v>
      </c>
      <c r="F1963" s="9" t="s">
        <v>4062</v>
      </c>
      <c r="G1963" s="9" t="s">
        <v>142</v>
      </c>
      <c r="H1963" s="9" t="s">
        <v>139</v>
      </c>
      <c r="I1963" s="9" t="s">
        <v>411</v>
      </c>
      <c r="J1963" s="9" t="s">
        <v>139</v>
      </c>
      <c r="K1963" s="10">
        <v>39716.782094907408</v>
      </c>
    </row>
    <row r="1964" spans="1:11" x14ac:dyDescent="0.25">
      <c r="A1964" s="8">
        <v>3120</v>
      </c>
      <c r="B1964" s="9" t="s">
        <v>6321</v>
      </c>
      <c r="C1964" s="9" t="s">
        <v>4063</v>
      </c>
      <c r="D1964" s="9" t="s">
        <v>139</v>
      </c>
      <c r="E1964" s="9" t="s">
        <v>2614</v>
      </c>
      <c r="F1964" s="9" t="s">
        <v>2615</v>
      </c>
      <c r="G1964" s="9" t="s">
        <v>142</v>
      </c>
      <c r="H1964" s="9" t="s">
        <v>139</v>
      </c>
      <c r="I1964" s="9" t="s">
        <v>411</v>
      </c>
      <c r="J1964" s="9" t="s">
        <v>139</v>
      </c>
      <c r="K1964" s="10">
        <v>39716.783113425925</v>
      </c>
    </row>
    <row r="1965" spans="1:11" x14ac:dyDescent="0.25">
      <c r="A1965" s="8">
        <v>3121</v>
      </c>
      <c r="B1965" s="9" t="s">
        <v>6322</v>
      </c>
      <c r="C1965" s="9" t="s">
        <v>4064</v>
      </c>
      <c r="D1965" s="9" t="s">
        <v>139</v>
      </c>
      <c r="E1965" s="9" t="s">
        <v>4065</v>
      </c>
      <c r="F1965" s="9" t="s">
        <v>4066</v>
      </c>
      <c r="G1965" s="9" t="s">
        <v>142</v>
      </c>
      <c r="H1965" s="9" t="s">
        <v>139</v>
      </c>
      <c r="I1965" s="9" t="s">
        <v>411</v>
      </c>
      <c r="J1965" s="9" t="s">
        <v>139</v>
      </c>
      <c r="K1965" s="10">
        <v>39716.785243055558</v>
      </c>
    </row>
    <row r="1966" spans="1:11" x14ac:dyDescent="0.25">
      <c r="A1966" s="8">
        <v>3122</v>
      </c>
      <c r="B1966" s="9" t="s">
        <v>6323</v>
      </c>
      <c r="C1966" s="9" t="s">
        <v>4067</v>
      </c>
      <c r="D1966" s="9" t="s">
        <v>139</v>
      </c>
      <c r="E1966" s="9" t="s">
        <v>4068</v>
      </c>
      <c r="F1966" s="9" t="s">
        <v>4069</v>
      </c>
      <c r="G1966" s="9" t="s">
        <v>142</v>
      </c>
      <c r="H1966" s="9" t="s">
        <v>139</v>
      </c>
      <c r="I1966" s="9" t="s">
        <v>411</v>
      </c>
      <c r="J1966" s="9" t="s">
        <v>139</v>
      </c>
      <c r="K1966" s="10">
        <v>39717.531921296293</v>
      </c>
    </row>
    <row r="1967" spans="1:11" x14ac:dyDescent="0.25">
      <c r="A1967" s="8">
        <v>3123</v>
      </c>
      <c r="B1967" s="9" t="s">
        <v>6324</v>
      </c>
      <c r="C1967" s="9" t="s">
        <v>4070</v>
      </c>
      <c r="D1967" s="9" t="s">
        <v>139</v>
      </c>
      <c r="E1967" s="9" t="s">
        <v>4071</v>
      </c>
      <c r="F1967" s="9" t="s">
        <v>4072</v>
      </c>
      <c r="G1967" s="9" t="s">
        <v>142</v>
      </c>
      <c r="H1967" s="9" t="s">
        <v>139</v>
      </c>
      <c r="I1967" s="9" t="s">
        <v>411</v>
      </c>
      <c r="J1967" s="9" t="s">
        <v>139</v>
      </c>
      <c r="K1967" s="10">
        <v>39717.536446759259</v>
      </c>
    </row>
    <row r="1968" spans="1:11" x14ac:dyDescent="0.25">
      <c r="A1968" s="8">
        <v>3124</v>
      </c>
      <c r="B1968" s="9" t="s">
        <v>6325</v>
      </c>
      <c r="C1968" s="9" t="s">
        <v>4073</v>
      </c>
      <c r="D1968" s="9" t="s">
        <v>139</v>
      </c>
      <c r="E1968" s="9" t="s">
        <v>4074</v>
      </c>
      <c r="F1968" s="9" t="s">
        <v>4075</v>
      </c>
      <c r="G1968" s="9" t="s">
        <v>142</v>
      </c>
      <c r="H1968" s="9" t="s">
        <v>139</v>
      </c>
      <c r="I1968" s="9" t="s">
        <v>411</v>
      </c>
      <c r="J1968" s="9" t="s">
        <v>139</v>
      </c>
      <c r="K1968" s="10">
        <v>39717.538587962961</v>
      </c>
    </row>
    <row r="1969" spans="1:11" x14ac:dyDescent="0.25">
      <c r="A1969" s="8">
        <v>3125</v>
      </c>
      <c r="B1969" s="9" t="s">
        <v>6326</v>
      </c>
      <c r="C1969" s="9" t="s">
        <v>4076</v>
      </c>
      <c r="D1969" s="9" t="s">
        <v>139</v>
      </c>
      <c r="E1969" s="9" t="s">
        <v>4077</v>
      </c>
      <c r="F1969" s="9" t="s">
        <v>4078</v>
      </c>
      <c r="G1969" s="9" t="s">
        <v>142</v>
      </c>
      <c r="H1969" s="9" t="s">
        <v>139</v>
      </c>
      <c r="I1969" s="9" t="s">
        <v>411</v>
      </c>
      <c r="J1969" s="9" t="s">
        <v>139</v>
      </c>
      <c r="K1969" s="10">
        <v>39717.539733796293</v>
      </c>
    </row>
    <row r="1970" spans="1:11" x14ac:dyDescent="0.25">
      <c r="A1970" s="8">
        <v>3126</v>
      </c>
      <c r="B1970" s="9" t="s">
        <v>6327</v>
      </c>
      <c r="C1970" s="9" t="s">
        <v>4079</v>
      </c>
      <c r="D1970" s="9" t="s">
        <v>139</v>
      </c>
      <c r="E1970" s="9" t="s">
        <v>3231</v>
      </c>
      <c r="F1970" s="9" t="s">
        <v>3232</v>
      </c>
      <c r="G1970" s="9" t="s">
        <v>142</v>
      </c>
      <c r="H1970" s="9" t="s">
        <v>139</v>
      </c>
      <c r="I1970" s="9" t="s">
        <v>411</v>
      </c>
      <c r="J1970" s="9" t="s">
        <v>139</v>
      </c>
      <c r="K1970" s="10">
        <v>39717.54115740741</v>
      </c>
    </row>
    <row r="1971" spans="1:11" x14ac:dyDescent="0.25">
      <c r="A1971" s="8">
        <v>3128</v>
      </c>
      <c r="B1971" s="9" t="s">
        <v>6328</v>
      </c>
      <c r="C1971" s="9" t="s">
        <v>4080</v>
      </c>
      <c r="D1971" s="9" t="s">
        <v>139</v>
      </c>
      <c r="E1971" s="9" t="s">
        <v>1246</v>
      </c>
      <c r="F1971" s="9" t="s">
        <v>1247</v>
      </c>
      <c r="G1971" s="9" t="s">
        <v>142</v>
      </c>
      <c r="H1971" s="9" t="s">
        <v>139</v>
      </c>
      <c r="I1971" s="9" t="s">
        <v>411</v>
      </c>
      <c r="J1971" s="9" t="s">
        <v>139</v>
      </c>
      <c r="K1971" s="10">
        <v>39717.543622685182</v>
      </c>
    </row>
    <row r="1972" spans="1:11" x14ac:dyDescent="0.25">
      <c r="A1972" s="8">
        <v>3129</v>
      </c>
      <c r="B1972" s="9" t="s">
        <v>6329</v>
      </c>
      <c r="C1972" s="9" t="s">
        <v>4081</v>
      </c>
      <c r="D1972" s="9" t="s">
        <v>139</v>
      </c>
      <c r="E1972" s="9" t="s">
        <v>1733</v>
      </c>
      <c r="F1972" s="9" t="s">
        <v>1880</v>
      </c>
      <c r="G1972" s="9" t="s">
        <v>142</v>
      </c>
      <c r="H1972" s="9" t="s">
        <v>139</v>
      </c>
      <c r="I1972" s="9" t="s">
        <v>411</v>
      </c>
      <c r="J1972" s="9" t="s">
        <v>139</v>
      </c>
      <c r="K1972" s="10">
        <v>39717.544409722221</v>
      </c>
    </row>
    <row r="1973" spans="1:11" x14ac:dyDescent="0.25">
      <c r="A1973" s="8">
        <v>3130</v>
      </c>
      <c r="B1973" s="9" t="s">
        <v>6330</v>
      </c>
      <c r="C1973" s="9" t="s">
        <v>4082</v>
      </c>
      <c r="D1973" s="9" t="s">
        <v>139</v>
      </c>
      <c r="E1973" s="9" t="s">
        <v>4083</v>
      </c>
      <c r="F1973" s="9" t="s">
        <v>4084</v>
      </c>
      <c r="G1973" s="9" t="s">
        <v>142</v>
      </c>
      <c r="H1973" s="9" t="s">
        <v>139</v>
      </c>
      <c r="I1973" s="9" t="s">
        <v>411</v>
      </c>
      <c r="J1973" s="9" t="s">
        <v>139</v>
      </c>
      <c r="K1973" s="10">
        <v>39717.54550925926</v>
      </c>
    </row>
    <row r="1974" spans="1:11" x14ac:dyDescent="0.25">
      <c r="A1974" s="8">
        <v>3131</v>
      </c>
      <c r="B1974" s="9" t="s">
        <v>6331</v>
      </c>
      <c r="C1974" s="9" t="s">
        <v>4085</v>
      </c>
      <c r="D1974" s="9" t="s">
        <v>139</v>
      </c>
      <c r="E1974" s="9" t="s">
        <v>4086</v>
      </c>
      <c r="F1974" s="9" t="s">
        <v>4087</v>
      </c>
      <c r="G1974" s="9" t="s">
        <v>142</v>
      </c>
      <c r="H1974" s="9" t="s">
        <v>139</v>
      </c>
      <c r="I1974" s="9" t="s">
        <v>411</v>
      </c>
      <c r="J1974" s="9" t="s">
        <v>139</v>
      </c>
      <c r="K1974" s="10">
        <v>39717.547233796293</v>
      </c>
    </row>
    <row r="1975" spans="1:11" x14ac:dyDescent="0.25">
      <c r="A1975" s="8">
        <v>3133</v>
      </c>
      <c r="B1975" s="9" t="s">
        <v>6332</v>
      </c>
      <c r="C1975" s="9" t="s">
        <v>4088</v>
      </c>
      <c r="D1975" s="9" t="s">
        <v>139</v>
      </c>
      <c r="E1975" s="9" t="s">
        <v>4089</v>
      </c>
      <c r="F1975" s="9" t="s">
        <v>4090</v>
      </c>
      <c r="G1975" s="9" t="s">
        <v>142</v>
      </c>
      <c r="H1975" s="9" t="s">
        <v>139</v>
      </c>
      <c r="I1975" s="9" t="s">
        <v>411</v>
      </c>
      <c r="J1975" s="9" t="s">
        <v>139</v>
      </c>
      <c r="K1975" s="10">
        <v>39717.549872685187</v>
      </c>
    </row>
    <row r="1976" spans="1:11" x14ac:dyDescent="0.25">
      <c r="A1976" s="8">
        <v>3134</v>
      </c>
      <c r="B1976" s="9" t="s">
        <v>6333</v>
      </c>
      <c r="C1976" s="9" t="s">
        <v>4091</v>
      </c>
      <c r="D1976" s="9" t="s">
        <v>139</v>
      </c>
      <c r="E1976" s="9" t="s">
        <v>3242</v>
      </c>
      <c r="F1976" s="9" t="s">
        <v>3243</v>
      </c>
      <c r="G1976" s="9" t="s">
        <v>142</v>
      </c>
      <c r="H1976" s="9" t="s">
        <v>139</v>
      </c>
      <c r="I1976" s="9" t="s">
        <v>411</v>
      </c>
      <c r="J1976" s="9" t="s">
        <v>139</v>
      </c>
      <c r="K1976" s="10">
        <v>39717.551550925928</v>
      </c>
    </row>
    <row r="1977" spans="1:11" x14ac:dyDescent="0.25">
      <c r="A1977" s="8">
        <v>3135</v>
      </c>
      <c r="B1977" s="9" t="s">
        <v>6334</v>
      </c>
      <c r="C1977" s="9" t="s">
        <v>4092</v>
      </c>
      <c r="D1977" s="9" t="s">
        <v>139</v>
      </c>
      <c r="E1977" s="9" t="s">
        <v>4093</v>
      </c>
      <c r="F1977" s="9" t="s">
        <v>4094</v>
      </c>
      <c r="G1977" s="9" t="s">
        <v>142</v>
      </c>
      <c r="H1977" s="9" t="s">
        <v>139</v>
      </c>
      <c r="I1977" s="9" t="s">
        <v>411</v>
      </c>
      <c r="J1977" s="9" t="s">
        <v>139</v>
      </c>
      <c r="K1977" s="10">
        <v>39717.552557870367</v>
      </c>
    </row>
    <row r="1978" spans="1:11" x14ac:dyDescent="0.25">
      <c r="A1978" s="8">
        <v>3136</v>
      </c>
      <c r="B1978" s="9" t="s">
        <v>6335</v>
      </c>
      <c r="C1978" s="9" t="s">
        <v>4095</v>
      </c>
      <c r="D1978" s="9" t="s">
        <v>139</v>
      </c>
      <c r="E1978" s="9" t="s">
        <v>2116</v>
      </c>
      <c r="F1978" s="9" t="s">
        <v>4096</v>
      </c>
      <c r="G1978" s="9" t="s">
        <v>142</v>
      </c>
      <c r="H1978" s="9" t="s">
        <v>139</v>
      </c>
      <c r="I1978" s="9" t="s">
        <v>411</v>
      </c>
      <c r="J1978" s="9" t="s">
        <v>139</v>
      </c>
      <c r="K1978" s="10">
        <v>39717.553738425922</v>
      </c>
    </row>
    <row r="1979" spans="1:11" x14ac:dyDescent="0.25">
      <c r="A1979" s="8">
        <v>3137</v>
      </c>
      <c r="B1979" s="9" t="s">
        <v>6336</v>
      </c>
      <c r="C1979" s="9" t="s">
        <v>4097</v>
      </c>
      <c r="D1979" s="9" t="s">
        <v>139</v>
      </c>
      <c r="E1979" s="9" t="s">
        <v>934</v>
      </c>
      <c r="F1979" s="9" t="s">
        <v>935</v>
      </c>
      <c r="G1979" s="9" t="s">
        <v>142</v>
      </c>
      <c r="H1979" s="9" t="s">
        <v>139</v>
      </c>
      <c r="I1979" s="9" t="s">
        <v>411</v>
      </c>
      <c r="J1979" s="9" t="s">
        <v>139</v>
      </c>
      <c r="K1979" s="10">
        <v>39717.554745370369</v>
      </c>
    </row>
    <row r="1980" spans="1:11" x14ac:dyDescent="0.25">
      <c r="A1980" s="8">
        <v>3138</v>
      </c>
      <c r="B1980" s="9" t="s">
        <v>6337</v>
      </c>
      <c r="C1980" s="9" t="s">
        <v>4098</v>
      </c>
      <c r="D1980" s="9" t="s">
        <v>139</v>
      </c>
      <c r="E1980" s="9" t="s">
        <v>4099</v>
      </c>
      <c r="F1980" s="9" t="s">
        <v>4100</v>
      </c>
      <c r="G1980" s="9" t="s">
        <v>142</v>
      </c>
      <c r="H1980" s="9" t="s">
        <v>139</v>
      </c>
      <c r="I1980" s="9" t="s">
        <v>411</v>
      </c>
      <c r="J1980" s="9" t="s">
        <v>139</v>
      </c>
      <c r="K1980" s="10">
        <v>39717.555763888886</v>
      </c>
    </row>
    <row r="1981" spans="1:11" x14ac:dyDescent="0.25">
      <c r="A1981" s="8">
        <v>3140</v>
      </c>
      <c r="B1981" s="9" t="s">
        <v>6338</v>
      </c>
      <c r="C1981" s="9" t="s">
        <v>4101</v>
      </c>
      <c r="D1981" s="9" t="s">
        <v>139</v>
      </c>
      <c r="E1981" s="9" t="s">
        <v>4102</v>
      </c>
      <c r="F1981" s="9" t="s">
        <v>4103</v>
      </c>
      <c r="G1981" s="9" t="s">
        <v>142</v>
      </c>
      <c r="H1981" s="9" t="s">
        <v>139</v>
      </c>
      <c r="I1981" s="9" t="s">
        <v>411</v>
      </c>
      <c r="J1981" s="9" t="s">
        <v>139</v>
      </c>
      <c r="K1981" s="10">
        <v>39717.557997685188</v>
      </c>
    </row>
    <row r="1982" spans="1:11" x14ac:dyDescent="0.25">
      <c r="A1982" s="8">
        <v>3141</v>
      </c>
      <c r="B1982" s="9" t="s">
        <v>6339</v>
      </c>
      <c r="C1982" s="9" t="s">
        <v>4104</v>
      </c>
      <c r="D1982" s="9" t="s">
        <v>139</v>
      </c>
      <c r="E1982" s="9" t="s">
        <v>4105</v>
      </c>
      <c r="F1982" s="9" t="s">
        <v>4106</v>
      </c>
      <c r="G1982" s="9" t="s">
        <v>142</v>
      </c>
      <c r="H1982" s="9" t="s">
        <v>139</v>
      </c>
      <c r="I1982" s="9" t="s">
        <v>411</v>
      </c>
      <c r="J1982" s="9" t="s">
        <v>139</v>
      </c>
      <c r="K1982" s="10">
        <v>39717.559641203705</v>
      </c>
    </row>
    <row r="1983" spans="1:11" x14ac:dyDescent="0.25">
      <c r="A1983" s="8">
        <v>3142</v>
      </c>
      <c r="B1983" s="9" t="s">
        <v>6340</v>
      </c>
      <c r="C1983" s="9" t="s">
        <v>4107</v>
      </c>
      <c r="D1983" s="9" t="s">
        <v>139</v>
      </c>
      <c r="E1983" s="9" t="s">
        <v>1258</v>
      </c>
      <c r="F1983" s="9" t="s">
        <v>1259</v>
      </c>
      <c r="G1983" s="9" t="s">
        <v>142</v>
      </c>
      <c r="H1983" s="9" t="s">
        <v>139</v>
      </c>
      <c r="I1983" s="9" t="s">
        <v>411</v>
      </c>
      <c r="J1983" s="9" t="s">
        <v>139</v>
      </c>
      <c r="K1983" s="10">
        <v>39717.563194444447</v>
      </c>
    </row>
    <row r="1984" spans="1:11" x14ac:dyDescent="0.25">
      <c r="A1984" s="8">
        <v>3143</v>
      </c>
      <c r="B1984" s="9" t="s">
        <v>6341</v>
      </c>
      <c r="C1984" s="9" t="s">
        <v>4108</v>
      </c>
      <c r="D1984" s="9" t="s">
        <v>139</v>
      </c>
      <c r="E1984" s="9" t="s">
        <v>2810</v>
      </c>
      <c r="F1984" s="9" t="s">
        <v>4109</v>
      </c>
      <c r="G1984" s="9" t="s">
        <v>142</v>
      </c>
      <c r="H1984" s="9" t="s">
        <v>139</v>
      </c>
      <c r="I1984" s="9" t="s">
        <v>411</v>
      </c>
      <c r="J1984" s="9" t="s">
        <v>139</v>
      </c>
      <c r="K1984" s="10">
        <v>39717.564560185187</v>
      </c>
    </row>
    <row r="1985" spans="1:11" x14ac:dyDescent="0.25">
      <c r="A1985" s="8">
        <v>3144</v>
      </c>
      <c r="B1985" s="9" t="s">
        <v>6342</v>
      </c>
      <c r="C1985" s="9" t="s">
        <v>4110</v>
      </c>
      <c r="D1985" s="9" t="s">
        <v>139</v>
      </c>
      <c r="E1985" s="9" t="s">
        <v>3356</v>
      </c>
      <c r="F1985" s="9" t="s">
        <v>3034</v>
      </c>
      <c r="G1985" s="9" t="s">
        <v>142</v>
      </c>
      <c r="H1985" s="9" t="s">
        <v>139</v>
      </c>
      <c r="I1985" s="9" t="s">
        <v>411</v>
      </c>
      <c r="J1985" s="9" t="s">
        <v>139</v>
      </c>
      <c r="K1985" s="10">
        <v>39717.566377314812</v>
      </c>
    </row>
    <row r="1986" spans="1:11" x14ac:dyDescent="0.25">
      <c r="A1986" s="8">
        <v>3145</v>
      </c>
      <c r="B1986" s="9" t="s">
        <v>6343</v>
      </c>
      <c r="C1986" s="9" t="s">
        <v>4111</v>
      </c>
      <c r="D1986" s="9" t="s">
        <v>139</v>
      </c>
      <c r="E1986" s="9" t="s">
        <v>967</v>
      </c>
      <c r="F1986" s="9" t="s">
        <v>968</v>
      </c>
      <c r="G1986" s="9" t="s">
        <v>142</v>
      </c>
      <c r="H1986" s="9" t="s">
        <v>139</v>
      </c>
      <c r="I1986" s="9" t="s">
        <v>411</v>
      </c>
      <c r="J1986" s="9" t="s">
        <v>139</v>
      </c>
      <c r="K1986" s="10">
        <v>39717.568020833336</v>
      </c>
    </row>
    <row r="1987" spans="1:11" x14ac:dyDescent="0.25">
      <c r="A1987" s="8">
        <v>3146</v>
      </c>
      <c r="B1987" s="9" t="s">
        <v>6344</v>
      </c>
      <c r="C1987" s="9" t="s">
        <v>4112</v>
      </c>
      <c r="D1987" s="9" t="s">
        <v>139</v>
      </c>
      <c r="E1987" s="9" t="s">
        <v>4113</v>
      </c>
      <c r="F1987" s="9" t="s">
        <v>4114</v>
      </c>
      <c r="G1987" s="9" t="s">
        <v>142</v>
      </c>
      <c r="H1987" s="9" t="s">
        <v>139</v>
      </c>
      <c r="I1987" s="9" t="s">
        <v>411</v>
      </c>
      <c r="J1987" s="9" t="s">
        <v>139</v>
      </c>
      <c r="K1987" s="10">
        <v>39717.569236111114</v>
      </c>
    </row>
    <row r="1988" spans="1:11" x14ac:dyDescent="0.25">
      <c r="A1988" s="8">
        <v>3147</v>
      </c>
      <c r="B1988" s="9" t="s">
        <v>6345</v>
      </c>
      <c r="C1988" s="9" t="s">
        <v>4115</v>
      </c>
      <c r="D1988" s="9" t="s">
        <v>139</v>
      </c>
      <c r="E1988" s="9" t="s">
        <v>2481</v>
      </c>
      <c r="F1988" s="9" t="s">
        <v>4116</v>
      </c>
      <c r="G1988" s="9" t="s">
        <v>142</v>
      </c>
      <c r="H1988" s="9" t="s">
        <v>139</v>
      </c>
      <c r="I1988" s="9" t="s">
        <v>411</v>
      </c>
      <c r="J1988" s="9" t="s">
        <v>139</v>
      </c>
      <c r="K1988" s="10">
        <v>39717.570983796293</v>
      </c>
    </row>
    <row r="1989" spans="1:11" x14ac:dyDescent="0.25">
      <c r="A1989" s="8">
        <v>3148</v>
      </c>
      <c r="B1989" s="9" t="s">
        <v>6346</v>
      </c>
      <c r="C1989" s="9" t="s">
        <v>4117</v>
      </c>
      <c r="D1989" s="9" t="s">
        <v>139</v>
      </c>
      <c r="E1989" s="9" t="s">
        <v>4118</v>
      </c>
      <c r="F1989" s="9" t="s">
        <v>4119</v>
      </c>
      <c r="G1989" s="9" t="s">
        <v>142</v>
      </c>
      <c r="H1989" s="9" t="s">
        <v>139</v>
      </c>
      <c r="I1989" s="9" t="s">
        <v>411</v>
      </c>
      <c r="J1989" s="9" t="s">
        <v>139</v>
      </c>
      <c r="K1989" s="10">
        <v>39717.571898148148</v>
      </c>
    </row>
    <row r="1990" spans="1:11" x14ac:dyDescent="0.25">
      <c r="A1990" s="8">
        <v>3149</v>
      </c>
      <c r="B1990" s="9" t="s">
        <v>6347</v>
      </c>
      <c r="C1990" s="9" t="s">
        <v>4120</v>
      </c>
      <c r="D1990" s="9" t="s">
        <v>139</v>
      </c>
      <c r="E1990" s="9" t="s">
        <v>1893</v>
      </c>
      <c r="F1990" s="9" t="s">
        <v>1894</v>
      </c>
      <c r="G1990" s="9" t="s">
        <v>142</v>
      </c>
      <c r="H1990" s="9" t="s">
        <v>139</v>
      </c>
      <c r="I1990" s="9" t="s">
        <v>411</v>
      </c>
      <c r="J1990" s="9" t="s">
        <v>139</v>
      </c>
      <c r="K1990" s="10">
        <v>39717.572777777779</v>
      </c>
    </row>
    <row r="1991" spans="1:11" x14ac:dyDescent="0.25">
      <c r="A1991" s="8">
        <v>3150</v>
      </c>
      <c r="B1991" s="9" t="s">
        <v>6348</v>
      </c>
      <c r="C1991" s="9" t="s">
        <v>4121</v>
      </c>
      <c r="D1991" s="9" t="s">
        <v>139</v>
      </c>
      <c r="E1991" s="9" t="s">
        <v>2283</v>
      </c>
      <c r="F1991" s="9" t="s">
        <v>3037</v>
      </c>
      <c r="G1991" s="9" t="s">
        <v>142</v>
      </c>
      <c r="H1991" s="9" t="s">
        <v>139</v>
      </c>
      <c r="I1991" s="9" t="s">
        <v>411</v>
      </c>
      <c r="J1991" s="9" t="s">
        <v>139</v>
      </c>
      <c r="K1991" s="10">
        <v>39717.574074074073</v>
      </c>
    </row>
    <row r="1992" spans="1:11" x14ac:dyDescent="0.25">
      <c r="A1992" s="8">
        <v>3151</v>
      </c>
      <c r="B1992" s="9" t="s">
        <v>6349</v>
      </c>
      <c r="C1992" s="9" t="s">
        <v>4122</v>
      </c>
      <c r="D1992" s="9" t="s">
        <v>139</v>
      </c>
      <c r="E1992" s="9" t="s">
        <v>1871</v>
      </c>
      <c r="F1992" s="9" t="s">
        <v>1872</v>
      </c>
      <c r="G1992" s="9" t="s">
        <v>142</v>
      </c>
      <c r="H1992" s="9" t="s">
        <v>139</v>
      </c>
      <c r="I1992" s="9" t="s">
        <v>411</v>
      </c>
      <c r="J1992" s="9" t="s">
        <v>139</v>
      </c>
      <c r="K1992" s="10">
        <v>39717.575300925928</v>
      </c>
    </row>
    <row r="1993" spans="1:11" x14ac:dyDescent="0.25">
      <c r="A1993" s="8">
        <v>3152</v>
      </c>
      <c r="B1993" s="9" t="s">
        <v>6350</v>
      </c>
      <c r="C1993" s="9" t="s">
        <v>4123</v>
      </c>
      <c r="D1993" s="9" t="s">
        <v>139</v>
      </c>
      <c r="E1993" s="9" t="s">
        <v>4124</v>
      </c>
      <c r="F1993" s="9" t="s">
        <v>4125</v>
      </c>
      <c r="G1993" s="9" t="s">
        <v>142</v>
      </c>
      <c r="H1993" s="9" t="s">
        <v>139</v>
      </c>
      <c r="I1993" s="9" t="s">
        <v>411</v>
      </c>
      <c r="J1993" s="9" t="s">
        <v>139</v>
      </c>
      <c r="K1993" s="10">
        <v>39717.622118055559</v>
      </c>
    </row>
    <row r="1994" spans="1:11" x14ac:dyDescent="0.25">
      <c r="A1994" s="8">
        <v>3153</v>
      </c>
      <c r="B1994" s="9" t="s">
        <v>6351</v>
      </c>
      <c r="C1994" s="9" t="s">
        <v>4126</v>
      </c>
      <c r="D1994" s="9" t="s">
        <v>139</v>
      </c>
      <c r="E1994" s="9" t="s">
        <v>4127</v>
      </c>
      <c r="F1994" s="9" t="s">
        <v>4128</v>
      </c>
      <c r="G1994" s="9" t="s">
        <v>142</v>
      </c>
      <c r="H1994" s="9" t="s">
        <v>139</v>
      </c>
      <c r="I1994" s="9" t="s">
        <v>411</v>
      </c>
      <c r="J1994" s="9" t="s">
        <v>139</v>
      </c>
      <c r="K1994" s="10">
        <v>39717.623171296298</v>
      </c>
    </row>
    <row r="1995" spans="1:11" x14ac:dyDescent="0.25">
      <c r="A1995" s="8">
        <v>3154</v>
      </c>
      <c r="B1995" s="9" t="s">
        <v>6352</v>
      </c>
      <c r="C1995" s="9" t="s">
        <v>4129</v>
      </c>
      <c r="D1995" s="9" t="s">
        <v>139</v>
      </c>
      <c r="E1995" s="9" t="s">
        <v>4130</v>
      </c>
      <c r="F1995" s="9" t="s">
        <v>4131</v>
      </c>
      <c r="G1995" s="9" t="s">
        <v>142</v>
      </c>
      <c r="H1995" s="9" t="s">
        <v>139</v>
      </c>
      <c r="I1995" s="9" t="s">
        <v>411</v>
      </c>
      <c r="J1995" s="9" t="s">
        <v>139</v>
      </c>
      <c r="K1995" s="10">
        <v>39717.62431712963</v>
      </c>
    </row>
    <row r="1996" spans="1:11" x14ac:dyDescent="0.25">
      <c r="A1996" s="8">
        <v>3155</v>
      </c>
      <c r="B1996" s="9" t="s">
        <v>6353</v>
      </c>
      <c r="C1996" s="9" t="s">
        <v>4132</v>
      </c>
      <c r="D1996" s="9" t="s">
        <v>139</v>
      </c>
      <c r="E1996" s="9" t="s">
        <v>1198</v>
      </c>
      <c r="F1996" s="9" t="s">
        <v>1199</v>
      </c>
      <c r="G1996" s="9" t="s">
        <v>142</v>
      </c>
      <c r="H1996" s="9" t="s">
        <v>139</v>
      </c>
      <c r="I1996" s="9" t="s">
        <v>411</v>
      </c>
      <c r="J1996" s="9" t="s">
        <v>139</v>
      </c>
      <c r="K1996" s="10">
        <v>39717.626168981478</v>
      </c>
    </row>
    <row r="1997" spans="1:11" x14ac:dyDescent="0.25">
      <c r="A1997" s="8">
        <v>3156</v>
      </c>
      <c r="B1997" s="9" t="s">
        <v>6354</v>
      </c>
      <c r="C1997" s="9" t="s">
        <v>4133</v>
      </c>
      <c r="D1997" s="9" t="s">
        <v>139</v>
      </c>
      <c r="E1997" s="9" t="s">
        <v>1198</v>
      </c>
      <c r="F1997" s="9" t="s">
        <v>1199</v>
      </c>
      <c r="G1997" s="9" t="s">
        <v>142</v>
      </c>
      <c r="H1997" s="9" t="s">
        <v>139</v>
      </c>
      <c r="I1997" s="9" t="s">
        <v>411</v>
      </c>
      <c r="J1997" s="9" t="s">
        <v>139</v>
      </c>
      <c r="K1997" s="10">
        <v>39717.626898148148</v>
      </c>
    </row>
    <row r="1998" spans="1:11" x14ac:dyDescent="0.25">
      <c r="A1998" s="8">
        <v>3157</v>
      </c>
      <c r="B1998" s="9" t="s">
        <v>6355</v>
      </c>
      <c r="C1998" s="9" t="s">
        <v>4134</v>
      </c>
      <c r="D1998" s="9" t="s">
        <v>139</v>
      </c>
      <c r="E1998" s="9" t="s">
        <v>1198</v>
      </c>
      <c r="F1998" s="9" t="s">
        <v>1199</v>
      </c>
      <c r="G1998" s="9" t="s">
        <v>142</v>
      </c>
      <c r="H1998" s="9" t="s">
        <v>139</v>
      </c>
      <c r="I1998" s="9" t="s">
        <v>411</v>
      </c>
      <c r="J1998" s="9" t="s">
        <v>139</v>
      </c>
      <c r="K1998" s="10">
        <v>39717.627766203703</v>
      </c>
    </row>
    <row r="1999" spans="1:11" x14ac:dyDescent="0.25">
      <c r="A1999" s="8">
        <v>3158</v>
      </c>
      <c r="B1999" s="9" t="s">
        <v>6356</v>
      </c>
      <c r="C1999" s="9" t="s">
        <v>4135</v>
      </c>
      <c r="D1999" s="9" t="s">
        <v>139</v>
      </c>
      <c r="E1999" s="9" t="s">
        <v>4136</v>
      </c>
      <c r="F1999" s="9" t="s">
        <v>4137</v>
      </c>
      <c r="G1999" s="9" t="s">
        <v>142</v>
      </c>
      <c r="H1999" s="9" t="s">
        <v>139</v>
      </c>
      <c r="I1999" s="9" t="s">
        <v>411</v>
      </c>
      <c r="J1999" s="9" t="s">
        <v>139</v>
      </c>
      <c r="K1999" s="10">
        <v>39717.628506944442</v>
      </c>
    </row>
    <row r="2000" spans="1:11" x14ac:dyDescent="0.25">
      <c r="A2000" s="8">
        <v>3159</v>
      </c>
      <c r="B2000" s="9" t="s">
        <v>6357</v>
      </c>
      <c r="C2000" s="9" t="s">
        <v>4138</v>
      </c>
      <c r="D2000" s="9" t="s">
        <v>139</v>
      </c>
      <c r="E2000" s="9" t="s">
        <v>4139</v>
      </c>
      <c r="F2000" s="9" t="s">
        <v>4140</v>
      </c>
      <c r="G2000" s="9" t="s">
        <v>142</v>
      </c>
      <c r="H2000" s="9" t="s">
        <v>139</v>
      </c>
      <c r="I2000" s="9" t="s">
        <v>411</v>
      </c>
      <c r="J2000" s="9" t="s">
        <v>139</v>
      </c>
      <c r="K2000" s="10">
        <v>39717.630983796298</v>
      </c>
    </row>
    <row r="2001" spans="1:11" x14ac:dyDescent="0.25">
      <c r="A2001" s="8">
        <v>3160</v>
      </c>
      <c r="B2001" s="9" t="s">
        <v>6358</v>
      </c>
      <c r="C2001" s="9" t="s">
        <v>4141</v>
      </c>
      <c r="D2001" s="9" t="s">
        <v>139</v>
      </c>
      <c r="E2001" s="9" t="s">
        <v>4142</v>
      </c>
      <c r="F2001" s="9" t="s">
        <v>4143</v>
      </c>
      <c r="G2001" s="9" t="s">
        <v>142</v>
      </c>
      <c r="H2001" s="9" t="s">
        <v>139</v>
      </c>
      <c r="I2001" s="9" t="s">
        <v>411</v>
      </c>
      <c r="J2001" s="9" t="s">
        <v>139</v>
      </c>
      <c r="K2001" s="10">
        <v>39717.640925925924</v>
      </c>
    </row>
    <row r="2002" spans="1:11" x14ac:dyDescent="0.25">
      <c r="A2002" s="8">
        <v>3161</v>
      </c>
      <c r="B2002" s="9" t="s">
        <v>6359</v>
      </c>
      <c r="C2002" s="9" t="s">
        <v>4144</v>
      </c>
      <c r="D2002" s="9" t="s">
        <v>139</v>
      </c>
      <c r="E2002" s="9" t="s">
        <v>4145</v>
      </c>
      <c r="F2002" s="9" t="s">
        <v>4146</v>
      </c>
      <c r="G2002" s="9" t="s">
        <v>142</v>
      </c>
      <c r="H2002" s="9" t="s">
        <v>139</v>
      </c>
      <c r="I2002" s="9" t="s">
        <v>411</v>
      </c>
      <c r="J2002" s="9" t="s">
        <v>139</v>
      </c>
      <c r="K2002" s="10">
        <v>39717.641956018517</v>
      </c>
    </row>
    <row r="2003" spans="1:11" x14ac:dyDescent="0.25">
      <c r="A2003" s="8">
        <v>3162</v>
      </c>
      <c r="B2003" s="9" t="s">
        <v>6360</v>
      </c>
      <c r="C2003" s="9" t="s">
        <v>4147</v>
      </c>
      <c r="D2003" s="9" t="s">
        <v>139</v>
      </c>
      <c r="E2003" s="9" t="s">
        <v>4148</v>
      </c>
      <c r="F2003" s="9" t="s">
        <v>4149</v>
      </c>
      <c r="G2003" s="9" t="s">
        <v>142</v>
      </c>
      <c r="H2003" s="9" t="s">
        <v>139</v>
      </c>
      <c r="I2003" s="9" t="s">
        <v>411</v>
      </c>
      <c r="J2003" s="9" t="s">
        <v>139</v>
      </c>
      <c r="K2003" s="10">
        <v>39717.64371527778</v>
      </c>
    </row>
    <row r="2004" spans="1:11" x14ac:dyDescent="0.25">
      <c r="A2004" s="8">
        <v>3164</v>
      </c>
      <c r="B2004" s="9" t="s">
        <v>6361</v>
      </c>
      <c r="C2004" s="9" t="s">
        <v>4150</v>
      </c>
      <c r="D2004" s="9" t="s">
        <v>139</v>
      </c>
      <c r="E2004" s="9" t="s">
        <v>3685</v>
      </c>
      <c r="F2004" s="9" t="s">
        <v>3686</v>
      </c>
      <c r="G2004" s="9" t="s">
        <v>142</v>
      </c>
      <c r="H2004" s="9" t="s">
        <v>139</v>
      </c>
      <c r="I2004" s="9" t="s">
        <v>411</v>
      </c>
      <c r="J2004" s="9" t="s">
        <v>139</v>
      </c>
      <c r="K2004" s="10">
        <v>39717.64671296296</v>
      </c>
    </row>
    <row r="2005" spans="1:11" x14ac:dyDescent="0.25">
      <c r="A2005" s="8">
        <v>3165</v>
      </c>
      <c r="B2005" s="9" t="s">
        <v>6362</v>
      </c>
      <c r="C2005" s="9" t="s">
        <v>4151</v>
      </c>
      <c r="D2005" s="9" t="s">
        <v>139</v>
      </c>
      <c r="E2005" s="9" t="s">
        <v>4152</v>
      </c>
      <c r="F2005" s="9" t="s">
        <v>4153</v>
      </c>
      <c r="G2005" s="9" t="s">
        <v>142</v>
      </c>
      <c r="H2005" s="9" t="s">
        <v>139</v>
      </c>
      <c r="I2005" s="9" t="s">
        <v>411</v>
      </c>
      <c r="J2005" s="9" t="s">
        <v>139</v>
      </c>
      <c r="K2005" s="10">
        <v>39717.648611111108</v>
      </c>
    </row>
    <row r="2006" spans="1:11" x14ac:dyDescent="0.25">
      <c r="A2006" s="8">
        <v>3166</v>
      </c>
      <c r="B2006" s="9" t="s">
        <v>6363</v>
      </c>
      <c r="C2006" s="9" t="s">
        <v>4154</v>
      </c>
      <c r="D2006" s="9" t="s">
        <v>139</v>
      </c>
      <c r="E2006" s="9" t="s">
        <v>2831</v>
      </c>
      <c r="F2006" s="9" t="s">
        <v>4155</v>
      </c>
      <c r="G2006" s="9" t="s">
        <v>142</v>
      </c>
      <c r="H2006" s="9" t="s">
        <v>139</v>
      </c>
      <c r="I2006" s="9" t="s">
        <v>411</v>
      </c>
      <c r="J2006" s="9" t="s">
        <v>139</v>
      </c>
      <c r="K2006" s="10">
        <v>39717.649687500001</v>
      </c>
    </row>
    <row r="2007" spans="1:11" x14ac:dyDescent="0.25">
      <c r="A2007" s="8">
        <v>3167</v>
      </c>
      <c r="B2007" s="9" t="s">
        <v>6364</v>
      </c>
      <c r="C2007" s="9" t="s">
        <v>4156</v>
      </c>
      <c r="D2007" s="9" t="s">
        <v>139</v>
      </c>
      <c r="E2007" s="9" t="s">
        <v>4157</v>
      </c>
      <c r="F2007" s="9" t="s">
        <v>4158</v>
      </c>
      <c r="G2007" s="9" t="s">
        <v>142</v>
      </c>
      <c r="H2007" s="9" t="s">
        <v>139</v>
      </c>
      <c r="I2007" s="9" t="s">
        <v>411</v>
      </c>
      <c r="J2007" s="9" t="s">
        <v>139</v>
      </c>
      <c r="K2007" s="10">
        <v>39717.656736111108</v>
      </c>
    </row>
    <row r="2008" spans="1:11" x14ac:dyDescent="0.25">
      <c r="A2008" s="8">
        <v>3168</v>
      </c>
      <c r="B2008" s="9" t="s">
        <v>6365</v>
      </c>
      <c r="C2008" s="9" t="s">
        <v>4159</v>
      </c>
      <c r="D2008" s="9" t="s">
        <v>139</v>
      </c>
      <c r="E2008" s="9" t="s">
        <v>1286</v>
      </c>
      <c r="F2008" s="9" t="s">
        <v>1287</v>
      </c>
      <c r="G2008" s="9" t="s">
        <v>142</v>
      </c>
      <c r="H2008" s="9" t="s">
        <v>139</v>
      </c>
      <c r="I2008" s="9" t="s">
        <v>411</v>
      </c>
      <c r="J2008" s="9" t="s">
        <v>139</v>
      </c>
      <c r="K2008" s="10">
        <v>39717.657523148147</v>
      </c>
    </row>
    <row r="2009" spans="1:11" x14ac:dyDescent="0.25">
      <c r="A2009" s="8">
        <v>3169</v>
      </c>
      <c r="B2009" s="9" t="s">
        <v>6366</v>
      </c>
      <c r="C2009" s="9" t="s">
        <v>4160</v>
      </c>
      <c r="D2009" s="9" t="s">
        <v>139</v>
      </c>
      <c r="E2009" s="9" t="s">
        <v>3138</v>
      </c>
      <c r="F2009" s="9" t="s">
        <v>3139</v>
      </c>
      <c r="G2009" s="9" t="s">
        <v>142</v>
      </c>
      <c r="H2009" s="9" t="s">
        <v>139</v>
      </c>
      <c r="I2009" s="9" t="s">
        <v>411</v>
      </c>
      <c r="J2009" s="9" t="s">
        <v>139</v>
      </c>
      <c r="K2009" s="10">
        <v>39717.658692129633</v>
      </c>
    </row>
    <row r="2010" spans="1:11" x14ac:dyDescent="0.25">
      <c r="A2010" s="8">
        <v>3170</v>
      </c>
      <c r="B2010" s="9" t="s">
        <v>6367</v>
      </c>
      <c r="C2010" s="9" t="s">
        <v>4161</v>
      </c>
      <c r="D2010" s="9" t="s">
        <v>139</v>
      </c>
      <c r="E2010" s="9" t="s">
        <v>4162</v>
      </c>
      <c r="F2010" s="9" t="s">
        <v>4163</v>
      </c>
      <c r="G2010" s="9" t="s">
        <v>142</v>
      </c>
      <c r="H2010" s="9" t="s">
        <v>139</v>
      </c>
      <c r="I2010" s="9" t="s">
        <v>411</v>
      </c>
      <c r="J2010" s="9" t="s">
        <v>139</v>
      </c>
      <c r="K2010" s="10">
        <v>39717.659444444442</v>
      </c>
    </row>
    <row r="2011" spans="1:11" x14ac:dyDescent="0.25">
      <c r="A2011" s="8">
        <v>3171</v>
      </c>
      <c r="B2011" s="9" t="s">
        <v>6368</v>
      </c>
      <c r="C2011" s="9" t="s">
        <v>4164</v>
      </c>
      <c r="D2011" s="9" t="s">
        <v>139</v>
      </c>
      <c r="E2011" s="9" t="s">
        <v>4165</v>
      </c>
      <c r="F2011" s="9" t="s">
        <v>4166</v>
      </c>
      <c r="G2011" s="9" t="s">
        <v>142</v>
      </c>
      <c r="H2011" s="9" t="s">
        <v>139</v>
      </c>
      <c r="I2011" s="9" t="s">
        <v>411</v>
      </c>
      <c r="J2011" s="9" t="s">
        <v>139</v>
      </c>
      <c r="K2011" s="10">
        <v>39717.660254629627</v>
      </c>
    </row>
    <row r="2012" spans="1:11" x14ac:dyDescent="0.25">
      <c r="A2012" s="8">
        <v>3172</v>
      </c>
      <c r="B2012" s="9" t="s">
        <v>6369</v>
      </c>
      <c r="C2012" s="9" t="s">
        <v>4167</v>
      </c>
      <c r="D2012" s="9" t="s">
        <v>139</v>
      </c>
      <c r="E2012" s="9" t="s">
        <v>4168</v>
      </c>
      <c r="F2012" s="9" t="s">
        <v>4169</v>
      </c>
      <c r="G2012" s="9" t="s">
        <v>142</v>
      </c>
      <c r="H2012" s="9" t="s">
        <v>139</v>
      </c>
      <c r="I2012" s="9" t="s">
        <v>411</v>
      </c>
      <c r="J2012" s="9" t="s">
        <v>139</v>
      </c>
      <c r="K2012" s="10">
        <v>39717.661053240743</v>
      </c>
    </row>
    <row r="2013" spans="1:11" x14ac:dyDescent="0.25">
      <c r="A2013" s="8">
        <v>3173</v>
      </c>
      <c r="B2013" s="9" t="s">
        <v>6370</v>
      </c>
      <c r="C2013" s="9" t="s">
        <v>4170</v>
      </c>
      <c r="D2013" s="9" t="s">
        <v>139</v>
      </c>
      <c r="E2013" s="9" t="s">
        <v>4171</v>
      </c>
      <c r="F2013" s="9" t="s">
        <v>4172</v>
      </c>
      <c r="G2013" s="9" t="s">
        <v>142</v>
      </c>
      <c r="H2013" s="9" t="s">
        <v>139</v>
      </c>
      <c r="I2013" s="9" t="s">
        <v>411</v>
      </c>
      <c r="J2013" s="9" t="s">
        <v>139</v>
      </c>
      <c r="K2013" s="10">
        <v>39717.662129629629</v>
      </c>
    </row>
    <row r="2014" spans="1:11" x14ac:dyDescent="0.25">
      <c r="A2014" s="8">
        <v>3174</v>
      </c>
      <c r="B2014" s="9" t="s">
        <v>6371</v>
      </c>
      <c r="C2014" s="9" t="s">
        <v>4173</v>
      </c>
      <c r="D2014" s="9" t="s">
        <v>139</v>
      </c>
      <c r="E2014" s="9" t="s">
        <v>4174</v>
      </c>
      <c r="F2014" s="9" t="s">
        <v>4175</v>
      </c>
      <c r="G2014" s="9" t="s">
        <v>142</v>
      </c>
      <c r="H2014" s="9" t="s">
        <v>139</v>
      </c>
      <c r="I2014" s="9" t="s">
        <v>411</v>
      </c>
      <c r="J2014" s="9" t="s">
        <v>139</v>
      </c>
      <c r="K2014" s="10">
        <v>39717.663425925923</v>
      </c>
    </row>
    <row r="2015" spans="1:11" x14ac:dyDescent="0.25">
      <c r="A2015" s="8">
        <v>3175</v>
      </c>
      <c r="B2015" s="9" t="s">
        <v>6372</v>
      </c>
      <c r="C2015" s="9" t="s">
        <v>4176</v>
      </c>
      <c r="D2015" s="9" t="s">
        <v>139</v>
      </c>
      <c r="E2015" s="9" t="s">
        <v>4177</v>
      </c>
      <c r="F2015" s="9" t="s">
        <v>4178</v>
      </c>
      <c r="G2015" s="9" t="s">
        <v>142</v>
      </c>
      <c r="H2015" s="9" t="s">
        <v>139</v>
      </c>
      <c r="I2015" s="9" t="s">
        <v>411</v>
      </c>
      <c r="J2015" s="9" t="s">
        <v>139</v>
      </c>
      <c r="K2015" s="10">
        <v>39717.664641203701</v>
      </c>
    </row>
    <row r="2016" spans="1:11" x14ac:dyDescent="0.25">
      <c r="A2016" s="8">
        <v>3176</v>
      </c>
      <c r="B2016" s="9" t="s">
        <v>6373</v>
      </c>
      <c r="C2016" s="9" t="s">
        <v>4179</v>
      </c>
      <c r="D2016" s="9" t="s">
        <v>139</v>
      </c>
      <c r="E2016" s="9" t="s">
        <v>4180</v>
      </c>
      <c r="F2016" s="9" t="s">
        <v>4181</v>
      </c>
      <c r="G2016" s="9" t="s">
        <v>142</v>
      </c>
      <c r="H2016" s="9" t="s">
        <v>139</v>
      </c>
      <c r="I2016" s="9" t="s">
        <v>411</v>
      </c>
      <c r="J2016" s="9" t="s">
        <v>139</v>
      </c>
      <c r="K2016" s="10">
        <v>39717.665486111109</v>
      </c>
    </row>
    <row r="2017" spans="1:11" x14ac:dyDescent="0.25">
      <c r="A2017" s="8">
        <v>3177</v>
      </c>
      <c r="B2017" s="9" t="s">
        <v>6374</v>
      </c>
      <c r="C2017" s="9" t="s">
        <v>4182</v>
      </c>
      <c r="D2017" s="9" t="s">
        <v>139</v>
      </c>
      <c r="E2017" s="9" t="s">
        <v>1523</v>
      </c>
      <c r="F2017" s="9" t="s">
        <v>3055</v>
      </c>
      <c r="G2017" s="9" t="s">
        <v>142</v>
      </c>
      <c r="H2017" s="9" t="s">
        <v>139</v>
      </c>
      <c r="I2017" s="9" t="s">
        <v>411</v>
      </c>
      <c r="J2017" s="9" t="s">
        <v>139</v>
      </c>
      <c r="K2017" s="10">
        <v>39717.666284722225</v>
      </c>
    </row>
    <row r="2018" spans="1:11" x14ac:dyDescent="0.25">
      <c r="A2018" s="8">
        <v>3179</v>
      </c>
      <c r="B2018" s="9" t="s">
        <v>6375</v>
      </c>
      <c r="C2018" s="9" t="s">
        <v>4183</v>
      </c>
      <c r="D2018" s="9" t="s">
        <v>139</v>
      </c>
      <c r="E2018" s="9" t="s">
        <v>3049</v>
      </c>
      <c r="F2018" s="9" t="s">
        <v>3050</v>
      </c>
      <c r="G2018" s="9" t="s">
        <v>142</v>
      </c>
      <c r="H2018" s="9" t="s">
        <v>139</v>
      </c>
      <c r="I2018" s="9" t="s">
        <v>411</v>
      </c>
      <c r="J2018" s="9" t="s">
        <v>139</v>
      </c>
      <c r="K2018" s="10">
        <v>39717.668368055558</v>
      </c>
    </row>
    <row r="2019" spans="1:11" x14ac:dyDescent="0.25">
      <c r="A2019" s="8">
        <v>3180</v>
      </c>
      <c r="B2019" s="9" t="s">
        <v>6376</v>
      </c>
      <c r="C2019" s="9" t="s">
        <v>4184</v>
      </c>
      <c r="D2019" s="9" t="s">
        <v>139</v>
      </c>
      <c r="E2019" s="9" t="s">
        <v>4185</v>
      </c>
      <c r="F2019" s="9" t="s">
        <v>4186</v>
      </c>
      <c r="G2019" s="9" t="s">
        <v>142</v>
      </c>
      <c r="H2019" s="9" t="s">
        <v>139</v>
      </c>
      <c r="I2019" s="9" t="s">
        <v>411</v>
      </c>
      <c r="J2019" s="9" t="s">
        <v>139</v>
      </c>
      <c r="K2019" s="10">
        <v>39717.66946759259</v>
      </c>
    </row>
    <row r="2020" spans="1:11" x14ac:dyDescent="0.25">
      <c r="A2020" s="8">
        <v>3181</v>
      </c>
      <c r="B2020" s="9" t="s">
        <v>6377</v>
      </c>
      <c r="C2020" s="9" t="s">
        <v>4187</v>
      </c>
      <c r="D2020" s="9" t="s">
        <v>139</v>
      </c>
      <c r="E2020" s="9" t="s">
        <v>2746</v>
      </c>
      <c r="F2020" s="9" t="s">
        <v>471</v>
      </c>
      <c r="G2020" s="9" t="s">
        <v>142</v>
      </c>
      <c r="H2020" s="9" t="s">
        <v>139</v>
      </c>
      <c r="I2020" s="9" t="s">
        <v>411</v>
      </c>
      <c r="J2020" s="9" t="s">
        <v>139</v>
      </c>
      <c r="K2020" s="10">
        <v>39717.67119212963</v>
      </c>
    </row>
    <row r="2021" spans="1:11" x14ac:dyDescent="0.25">
      <c r="A2021" s="8">
        <v>3182</v>
      </c>
      <c r="B2021" s="9" t="s">
        <v>6378</v>
      </c>
      <c r="C2021" s="9" t="s">
        <v>4188</v>
      </c>
      <c r="D2021" s="9" t="s">
        <v>139</v>
      </c>
      <c r="E2021" s="9" t="s">
        <v>2746</v>
      </c>
      <c r="F2021" s="9" t="s">
        <v>471</v>
      </c>
      <c r="G2021" s="9" t="s">
        <v>142</v>
      </c>
      <c r="H2021" s="9" t="s">
        <v>139</v>
      </c>
      <c r="I2021" s="9" t="s">
        <v>411</v>
      </c>
      <c r="J2021" s="9" t="s">
        <v>139</v>
      </c>
      <c r="K2021" s="10">
        <v>39717.6719212963</v>
      </c>
    </row>
    <row r="2022" spans="1:11" x14ac:dyDescent="0.25">
      <c r="A2022" s="8">
        <v>3183</v>
      </c>
      <c r="B2022" s="9" t="s">
        <v>6379</v>
      </c>
      <c r="C2022" s="9" t="s">
        <v>4189</v>
      </c>
      <c r="D2022" s="9" t="s">
        <v>139</v>
      </c>
      <c r="E2022" s="9" t="s">
        <v>2746</v>
      </c>
      <c r="F2022" s="9" t="s">
        <v>471</v>
      </c>
      <c r="G2022" s="9" t="s">
        <v>142</v>
      </c>
      <c r="H2022" s="9" t="s">
        <v>139</v>
      </c>
      <c r="I2022" s="9" t="s">
        <v>411</v>
      </c>
      <c r="J2022" s="9" t="s">
        <v>139</v>
      </c>
      <c r="K2022" s="10">
        <v>39717.672546296293</v>
      </c>
    </row>
    <row r="2023" spans="1:11" x14ac:dyDescent="0.25">
      <c r="A2023" s="8">
        <v>3184</v>
      </c>
      <c r="B2023" s="9" t="s">
        <v>6380</v>
      </c>
      <c r="C2023" s="9" t="s">
        <v>4190</v>
      </c>
      <c r="D2023" s="9" t="s">
        <v>139</v>
      </c>
      <c r="E2023" s="9" t="s">
        <v>2746</v>
      </c>
      <c r="F2023" s="9" t="s">
        <v>471</v>
      </c>
      <c r="G2023" s="9" t="s">
        <v>142</v>
      </c>
      <c r="H2023" s="9" t="s">
        <v>139</v>
      </c>
      <c r="I2023" s="9" t="s">
        <v>411</v>
      </c>
      <c r="J2023" s="9" t="s">
        <v>139</v>
      </c>
      <c r="K2023" s="10">
        <v>39717.673229166663</v>
      </c>
    </row>
    <row r="2024" spans="1:11" x14ac:dyDescent="0.25">
      <c r="A2024" s="8">
        <v>3186</v>
      </c>
      <c r="B2024" s="9" t="s">
        <v>6381</v>
      </c>
      <c r="C2024" s="9" t="s">
        <v>4191</v>
      </c>
      <c r="D2024" s="9" t="s">
        <v>139</v>
      </c>
      <c r="E2024" s="9" t="s">
        <v>4192</v>
      </c>
      <c r="F2024" s="9" t="s">
        <v>4193</v>
      </c>
      <c r="G2024" s="9" t="s">
        <v>142</v>
      </c>
      <c r="H2024" s="9" t="s">
        <v>139</v>
      </c>
      <c r="I2024" s="9" t="s">
        <v>411</v>
      </c>
      <c r="J2024" s="9" t="s">
        <v>139</v>
      </c>
      <c r="K2024" s="10">
        <v>39717.675081018519</v>
      </c>
    </row>
    <row r="2025" spans="1:11" x14ac:dyDescent="0.25">
      <c r="A2025" s="8">
        <v>3187</v>
      </c>
      <c r="B2025" s="9" t="s">
        <v>6382</v>
      </c>
      <c r="C2025" s="9" t="s">
        <v>4194</v>
      </c>
      <c r="D2025" s="9" t="s">
        <v>139</v>
      </c>
      <c r="E2025" s="9" t="s">
        <v>4195</v>
      </c>
      <c r="F2025" s="9" t="s">
        <v>4196</v>
      </c>
      <c r="G2025" s="9" t="s">
        <v>142</v>
      </c>
      <c r="H2025" s="9" t="s">
        <v>139</v>
      </c>
      <c r="I2025" s="9" t="s">
        <v>411</v>
      </c>
      <c r="J2025" s="9" t="s">
        <v>139</v>
      </c>
      <c r="K2025" s="10">
        <v>39717.676018518519</v>
      </c>
    </row>
    <row r="2026" spans="1:11" x14ac:dyDescent="0.25">
      <c r="A2026" s="8">
        <v>3188</v>
      </c>
      <c r="B2026" s="9" t="s">
        <v>6383</v>
      </c>
      <c r="C2026" s="9" t="s">
        <v>4197</v>
      </c>
      <c r="D2026" s="9" t="s">
        <v>139</v>
      </c>
      <c r="E2026" s="9" t="s">
        <v>4198</v>
      </c>
      <c r="F2026" s="9" t="s">
        <v>2847</v>
      </c>
      <c r="G2026" s="9" t="s">
        <v>142</v>
      </c>
      <c r="H2026" s="9" t="s">
        <v>139</v>
      </c>
      <c r="I2026" s="9" t="s">
        <v>411</v>
      </c>
      <c r="J2026" s="9" t="s">
        <v>139</v>
      </c>
      <c r="K2026" s="10">
        <v>39717.677187499998</v>
      </c>
    </row>
    <row r="2027" spans="1:11" x14ac:dyDescent="0.25">
      <c r="A2027" s="8">
        <v>3189</v>
      </c>
      <c r="B2027" s="9" t="s">
        <v>6384</v>
      </c>
      <c r="C2027" s="9" t="s">
        <v>4199</v>
      </c>
      <c r="D2027" s="9" t="s">
        <v>139</v>
      </c>
      <c r="E2027" s="9" t="s">
        <v>3193</v>
      </c>
      <c r="F2027" s="9" t="s">
        <v>3194</v>
      </c>
      <c r="G2027" s="9" t="s">
        <v>142</v>
      </c>
      <c r="H2027" s="9" t="s">
        <v>139</v>
      </c>
      <c r="I2027" s="9" t="s">
        <v>411</v>
      </c>
      <c r="J2027" s="9" t="s">
        <v>139</v>
      </c>
      <c r="K2027" s="10">
        <v>39717.678391203706</v>
      </c>
    </row>
    <row r="2028" spans="1:11" x14ac:dyDescent="0.25">
      <c r="A2028" s="8">
        <v>3190</v>
      </c>
      <c r="B2028" s="9" t="s">
        <v>6385</v>
      </c>
      <c r="C2028" s="9" t="s">
        <v>4200</v>
      </c>
      <c r="D2028" s="9" t="s">
        <v>139</v>
      </c>
      <c r="E2028" s="9" t="s">
        <v>3802</v>
      </c>
      <c r="F2028" s="9" t="s">
        <v>3803</v>
      </c>
      <c r="G2028" s="9" t="s">
        <v>142</v>
      </c>
      <c r="H2028" s="9" t="s">
        <v>139</v>
      </c>
      <c r="I2028" s="9" t="s">
        <v>411</v>
      </c>
      <c r="J2028" s="9" t="s">
        <v>139</v>
      </c>
      <c r="K2028" s="10">
        <v>39717.679884259262</v>
      </c>
    </row>
    <row r="2029" spans="1:11" x14ac:dyDescent="0.25">
      <c r="A2029" s="8">
        <v>3191</v>
      </c>
      <c r="B2029" s="9" t="s">
        <v>6386</v>
      </c>
      <c r="C2029" s="9" t="s">
        <v>4201</v>
      </c>
      <c r="D2029" s="9" t="s">
        <v>139</v>
      </c>
      <c r="E2029" s="9" t="s">
        <v>3238</v>
      </c>
      <c r="F2029" s="9" t="s">
        <v>3239</v>
      </c>
      <c r="G2029" s="9" t="s">
        <v>142</v>
      </c>
      <c r="H2029" s="9" t="s">
        <v>139</v>
      </c>
      <c r="I2029" s="9" t="s">
        <v>411</v>
      </c>
      <c r="J2029" s="9" t="s">
        <v>139</v>
      </c>
      <c r="K2029" s="10">
        <v>39717.681168981479</v>
      </c>
    </row>
    <row r="2030" spans="1:11" x14ac:dyDescent="0.25">
      <c r="A2030" s="8">
        <v>3192</v>
      </c>
      <c r="B2030" s="9" t="s">
        <v>6387</v>
      </c>
      <c r="C2030" s="9" t="s">
        <v>4202</v>
      </c>
      <c r="D2030" s="9" t="s">
        <v>139</v>
      </c>
      <c r="E2030" s="9" t="s">
        <v>4203</v>
      </c>
      <c r="F2030" s="9" t="s">
        <v>4204</v>
      </c>
      <c r="G2030" s="9" t="s">
        <v>142</v>
      </c>
      <c r="H2030" s="9" t="s">
        <v>139</v>
      </c>
      <c r="I2030" s="9" t="s">
        <v>411</v>
      </c>
      <c r="J2030" s="9" t="s">
        <v>139</v>
      </c>
      <c r="K2030" s="10">
        <v>39717.682118055556</v>
      </c>
    </row>
    <row r="2031" spans="1:11" x14ac:dyDescent="0.25">
      <c r="A2031" s="8">
        <v>3193</v>
      </c>
      <c r="B2031" s="9" t="s">
        <v>6388</v>
      </c>
      <c r="C2031" s="9" t="s">
        <v>4205</v>
      </c>
      <c r="D2031" s="9" t="s">
        <v>139</v>
      </c>
      <c r="E2031" s="9" t="s">
        <v>4203</v>
      </c>
      <c r="F2031" s="9" t="s">
        <v>4206</v>
      </c>
      <c r="G2031" s="9" t="s">
        <v>142</v>
      </c>
      <c r="H2031" s="9" t="s">
        <v>139</v>
      </c>
      <c r="I2031" s="9" t="s">
        <v>411</v>
      </c>
      <c r="J2031" s="9" t="s">
        <v>139</v>
      </c>
      <c r="K2031" s="10">
        <v>39717.68310185185</v>
      </c>
    </row>
    <row r="2032" spans="1:11" x14ac:dyDescent="0.25">
      <c r="A2032" s="8">
        <v>3194</v>
      </c>
      <c r="B2032" s="9" t="s">
        <v>6389</v>
      </c>
      <c r="C2032" s="9" t="s">
        <v>4207</v>
      </c>
      <c r="D2032" s="9" t="s">
        <v>139</v>
      </c>
      <c r="E2032" s="9" t="s">
        <v>1250</v>
      </c>
      <c r="F2032" s="9" t="s">
        <v>1252</v>
      </c>
      <c r="G2032" s="9" t="s">
        <v>142</v>
      </c>
      <c r="H2032" s="9" t="s">
        <v>139</v>
      </c>
      <c r="I2032" s="9" t="s">
        <v>411</v>
      </c>
      <c r="J2032" s="9" t="s">
        <v>139</v>
      </c>
      <c r="K2032" s="10">
        <v>39717.684074074074</v>
      </c>
    </row>
    <row r="2033" spans="1:11" x14ac:dyDescent="0.25">
      <c r="A2033" s="8">
        <v>3195</v>
      </c>
      <c r="B2033" s="9" t="s">
        <v>6390</v>
      </c>
      <c r="C2033" s="9" t="s">
        <v>4208</v>
      </c>
      <c r="D2033" s="9" t="s">
        <v>139</v>
      </c>
      <c r="E2033" s="9" t="s">
        <v>4209</v>
      </c>
      <c r="F2033" s="9" t="s">
        <v>4210</v>
      </c>
      <c r="G2033" s="9" t="s">
        <v>142</v>
      </c>
      <c r="H2033" s="9" t="s">
        <v>139</v>
      </c>
      <c r="I2033" s="9" t="s">
        <v>411</v>
      </c>
      <c r="J2033" s="9" t="s">
        <v>139</v>
      </c>
      <c r="K2033" s="10">
        <v>39717.684999999998</v>
      </c>
    </row>
    <row r="2034" spans="1:11" x14ac:dyDescent="0.25">
      <c r="A2034" s="8">
        <v>3197</v>
      </c>
      <c r="B2034" s="9" t="s">
        <v>6391</v>
      </c>
      <c r="C2034" s="9" t="s">
        <v>4211</v>
      </c>
      <c r="D2034" s="9" t="s">
        <v>139</v>
      </c>
      <c r="E2034" s="9" t="s">
        <v>3771</v>
      </c>
      <c r="F2034" s="9" t="s">
        <v>3772</v>
      </c>
      <c r="G2034" s="9" t="s">
        <v>142</v>
      </c>
      <c r="H2034" s="9" t="s">
        <v>139</v>
      </c>
      <c r="I2034" s="9" t="s">
        <v>411</v>
      </c>
      <c r="J2034" s="9" t="s">
        <v>139</v>
      </c>
      <c r="K2034" s="10">
        <v>39717.686932870369</v>
      </c>
    </row>
    <row r="2035" spans="1:11" x14ac:dyDescent="0.25">
      <c r="A2035" s="8">
        <v>3198</v>
      </c>
      <c r="B2035" s="9" t="s">
        <v>6392</v>
      </c>
      <c r="C2035" s="9" t="s">
        <v>4212</v>
      </c>
      <c r="D2035" s="9" t="s">
        <v>139</v>
      </c>
      <c r="E2035" s="9" t="s">
        <v>4213</v>
      </c>
      <c r="F2035" s="9" t="s">
        <v>4214</v>
      </c>
      <c r="G2035" s="9" t="s">
        <v>142</v>
      </c>
      <c r="H2035" s="9" t="s">
        <v>139</v>
      </c>
      <c r="I2035" s="9" t="s">
        <v>411</v>
      </c>
      <c r="J2035" s="9" t="s">
        <v>139</v>
      </c>
      <c r="K2035" s="10">
        <v>39717.688090277778</v>
      </c>
    </row>
    <row r="2036" spans="1:11" x14ac:dyDescent="0.25">
      <c r="A2036" s="8">
        <v>3199</v>
      </c>
      <c r="B2036" s="9" t="s">
        <v>6393</v>
      </c>
      <c r="C2036" s="9" t="s">
        <v>4215</v>
      </c>
      <c r="D2036" s="9" t="s">
        <v>139</v>
      </c>
      <c r="E2036" s="9" t="s">
        <v>3572</v>
      </c>
      <c r="F2036" s="9" t="s">
        <v>4216</v>
      </c>
      <c r="G2036" s="9" t="s">
        <v>142</v>
      </c>
      <c r="H2036" s="9" t="s">
        <v>139</v>
      </c>
      <c r="I2036" s="9" t="s">
        <v>411</v>
      </c>
      <c r="J2036" s="9" t="s">
        <v>139</v>
      </c>
      <c r="K2036" s="10">
        <v>39717.689201388886</v>
      </c>
    </row>
    <row r="2037" spans="1:11" x14ac:dyDescent="0.25">
      <c r="A2037" s="8">
        <v>3200</v>
      </c>
      <c r="B2037" s="9" t="s">
        <v>6394</v>
      </c>
      <c r="C2037" s="9" t="s">
        <v>4217</v>
      </c>
      <c r="D2037" s="9" t="s">
        <v>139</v>
      </c>
      <c r="E2037" s="9" t="s">
        <v>4218</v>
      </c>
      <c r="F2037" s="9" t="s">
        <v>4219</v>
      </c>
      <c r="G2037" s="9" t="s">
        <v>142</v>
      </c>
      <c r="H2037" s="9" t="s">
        <v>139</v>
      </c>
      <c r="I2037" s="9" t="s">
        <v>411</v>
      </c>
      <c r="J2037" s="9" t="s">
        <v>139</v>
      </c>
      <c r="K2037" s="10">
        <v>39717.690868055557</v>
      </c>
    </row>
    <row r="2038" spans="1:11" x14ac:dyDescent="0.25">
      <c r="A2038" s="8">
        <v>3201</v>
      </c>
      <c r="B2038" s="9" t="s">
        <v>6395</v>
      </c>
      <c r="C2038" s="9" t="s">
        <v>4220</v>
      </c>
      <c r="D2038" s="9" t="s">
        <v>139</v>
      </c>
      <c r="E2038" s="9" t="s">
        <v>4221</v>
      </c>
      <c r="F2038" s="9" t="s">
        <v>4222</v>
      </c>
      <c r="G2038" s="9" t="s">
        <v>142</v>
      </c>
      <c r="H2038" s="9" t="s">
        <v>139</v>
      </c>
      <c r="I2038" s="9" t="s">
        <v>411</v>
      </c>
      <c r="J2038" s="9" t="s">
        <v>139</v>
      </c>
      <c r="K2038" s="10">
        <v>39717.691886574074</v>
      </c>
    </row>
    <row r="2039" spans="1:11" x14ac:dyDescent="0.25">
      <c r="A2039" s="8">
        <v>3202</v>
      </c>
      <c r="B2039" s="9" t="s">
        <v>6396</v>
      </c>
      <c r="C2039" s="9" t="s">
        <v>4223</v>
      </c>
      <c r="D2039" s="9" t="s">
        <v>139</v>
      </c>
      <c r="E2039" s="9" t="s">
        <v>4224</v>
      </c>
      <c r="F2039" s="9" t="s">
        <v>4225</v>
      </c>
      <c r="G2039" s="9" t="s">
        <v>142</v>
      </c>
      <c r="H2039" s="9" t="s">
        <v>139</v>
      </c>
      <c r="I2039" s="9" t="s">
        <v>411</v>
      </c>
      <c r="J2039" s="9" t="s">
        <v>139</v>
      </c>
      <c r="K2039" s="10">
        <v>39717.692835648151</v>
      </c>
    </row>
    <row r="2040" spans="1:11" x14ac:dyDescent="0.25">
      <c r="A2040" s="8">
        <v>3203</v>
      </c>
      <c r="B2040" s="9" t="s">
        <v>6397</v>
      </c>
      <c r="C2040" s="9" t="s">
        <v>4226</v>
      </c>
      <c r="D2040" s="9" t="s">
        <v>139</v>
      </c>
      <c r="E2040" s="9" t="s">
        <v>4227</v>
      </c>
      <c r="F2040" s="9" t="s">
        <v>4228</v>
      </c>
      <c r="G2040" s="9" t="s">
        <v>142</v>
      </c>
      <c r="H2040" s="9" t="s">
        <v>139</v>
      </c>
      <c r="I2040" s="9" t="s">
        <v>411</v>
      </c>
      <c r="J2040" s="9" t="s">
        <v>139</v>
      </c>
      <c r="K2040" s="10">
        <v>39717.693553240744</v>
      </c>
    </row>
    <row r="2041" spans="1:11" x14ac:dyDescent="0.25">
      <c r="A2041" s="8">
        <v>3204</v>
      </c>
      <c r="B2041" s="9" t="s">
        <v>6398</v>
      </c>
      <c r="C2041" s="9" t="s">
        <v>4229</v>
      </c>
      <c r="D2041" s="9" t="s">
        <v>139</v>
      </c>
      <c r="E2041" s="9" t="s">
        <v>2438</v>
      </c>
      <c r="F2041" s="9" t="s">
        <v>2999</v>
      </c>
      <c r="G2041" s="9" t="s">
        <v>142</v>
      </c>
      <c r="H2041" s="9" t="s">
        <v>139</v>
      </c>
      <c r="I2041" s="9" t="s">
        <v>411</v>
      </c>
      <c r="J2041" s="9" t="s">
        <v>139</v>
      </c>
      <c r="K2041" s="10">
        <v>39717.694351851853</v>
      </c>
    </row>
    <row r="2042" spans="1:11" x14ac:dyDescent="0.25">
      <c r="A2042" s="8">
        <v>3205</v>
      </c>
      <c r="B2042" s="9" t="s">
        <v>6399</v>
      </c>
      <c r="C2042" s="9" t="s">
        <v>4230</v>
      </c>
      <c r="D2042" s="9" t="s">
        <v>139</v>
      </c>
      <c r="E2042" s="9" t="s">
        <v>4231</v>
      </c>
      <c r="F2042" s="9" t="s">
        <v>4232</v>
      </c>
      <c r="G2042" s="9" t="s">
        <v>142</v>
      </c>
      <c r="H2042" s="9" t="s">
        <v>139</v>
      </c>
      <c r="I2042" s="9" t="s">
        <v>411</v>
      </c>
      <c r="J2042" s="9" t="s">
        <v>139</v>
      </c>
      <c r="K2042" s="10">
        <v>39717.695335648146</v>
      </c>
    </row>
    <row r="2043" spans="1:11" x14ac:dyDescent="0.25">
      <c r="A2043" s="8">
        <v>3206</v>
      </c>
      <c r="B2043" s="9" t="s">
        <v>6400</v>
      </c>
      <c r="C2043" s="9" t="s">
        <v>4233</v>
      </c>
      <c r="D2043" s="9" t="s">
        <v>139</v>
      </c>
      <c r="E2043" s="9" t="s">
        <v>4231</v>
      </c>
      <c r="F2043" s="9" t="s">
        <v>4232</v>
      </c>
      <c r="G2043" s="9" t="s">
        <v>142</v>
      </c>
      <c r="H2043" s="9" t="s">
        <v>139</v>
      </c>
      <c r="I2043" s="9" t="s">
        <v>411</v>
      </c>
      <c r="J2043" s="9" t="s">
        <v>139</v>
      </c>
      <c r="K2043" s="10">
        <v>39717.696296296293</v>
      </c>
    </row>
    <row r="2044" spans="1:11" x14ac:dyDescent="0.25">
      <c r="A2044" s="8">
        <v>3207</v>
      </c>
      <c r="B2044" s="9" t="s">
        <v>6401</v>
      </c>
      <c r="C2044" s="9" t="s">
        <v>4234</v>
      </c>
      <c r="D2044" s="9" t="s">
        <v>139</v>
      </c>
      <c r="E2044" s="9" t="s">
        <v>4235</v>
      </c>
      <c r="F2044" s="9" t="s">
        <v>4236</v>
      </c>
      <c r="G2044" s="9" t="s">
        <v>142</v>
      </c>
      <c r="H2044" s="9" t="s">
        <v>139</v>
      </c>
      <c r="I2044" s="9" t="s">
        <v>411</v>
      </c>
      <c r="J2044" s="9" t="s">
        <v>139</v>
      </c>
      <c r="K2044" s="10">
        <v>39717.697222222225</v>
      </c>
    </row>
    <row r="2045" spans="1:11" x14ac:dyDescent="0.25">
      <c r="A2045" s="8">
        <v>3208</v>
      </c>
      <c r="B2045" s="9" t="s">
        <v>6402</v>
      </c>
      <c r="C2045" s="9" t="s">
        <v>4237</v>
      </c>
      <c r="D2045" s="9" t="s">
        <v>139</v>
      </c>
      <c r="E2045" s="9" t="s">
        <v>4238</v>
      </c>
      <c r="F2045" s="9" t="s">
        <v>4239</v>
      </c>
      <c r="G2045" s="9" t="s">
        <v>142</v>
      </c>
      <c r="H2045" s="9" t="s">
        <v>139</v>
      </c>
      <c r="I2045" s="9" t="s">
        <v>411</v>
      </c>
      <c r="J2045" s="9" t="s">
        <v>139</v>
      </c>
      <c r="K2045" s="10">
        <v>39717.698321759257</v>
      </c>
    </row>
    <row r="2046" spans="1:11" x14ac:dyDescent="0.25">
      <c r="A2046" s="8">
        <v>3209</v>
      </c>
      <c r="B2046" s="9" t="s">
        <v>6403</v>
      </c>
      <c r="C2046" s="9" t="s">
        <v>4240</v>
      </c>
      <c r="D2046" s="9" t="s">
        <v>139</v>
      </c>
      <c r="E2046" s="9" t="s">
        <v>1550</v>
      </c>
      <c r="F2046" s="9" t="s">
        <v>1346</v>
      </c>
      <c r="G2046" s="9" t="s">
        <v>142</v>
      </c>
      <c r="H2046" s="9" t="s">
        <v>139</v>
      </c>
      <c r="I2046" s="9" t="s">
        <v>411</v>
      </c>
      <c r="J2046" s="9" t="s">
        <v>139</v>
      </c>
      <c r="K2046" s="10">
        <v>39717.699259259258</v>
      </c>
    </row>
    <row r="2047" spans="1:11" x14ac:dyDescent="0.25">
      <c r="A2047" s="8">
        <v>3211</v>
      </c>
      <c r="B2047" s="9" t="s">
        <v>6404</v>
      </c>
      <c r="C2047" s="9" t="s">
        <v>4241</v>
      </c>
      <c r="D2047" s="9" t="s">
        <v>139</v>
      </c>
      <c r="E2047" s="9" t="s">
        <v>4242</v>
      </c>
      <c r="F2047" s="9" t="s">
        <v>4243</v>
      </c>
      <c r="G2047" s="9" t="s">
        <v>142</v>
      </c>
      <c r="H2047" s="9" t="s">
        <v>139</v>
      </c>
      <c r="I2047" s="9" t="s">
        <v>411</v>
      </c>
      <c r="J2047" s="9" t="s">
        <v>139</v>
      </c>
      <c r="K2047" s="10">
        <v>39717.701157407406</v>
      </c>
    </row>
    <row r="2048" spans="1:11" x14ac:dyDescent="0.25">
      <c r="A2048" s="8">
        <v>3212</v>
      </c>
      <c r="B2048" s="9" t="s">
        <v>6405</v>
      </c>
      <c r="C2048" s="9" t="s">
        <v>4244</v>
      </c>
      <c r="D2048" s="9" t="s">
        <v>139</v>
      </c>
      <c r="E2048" s="9" t="s">
        <v>4245</v>
      </c>
      <c r="F2048" s="9" t="s">
        <v>4246</v>
      </c>
      <c r="G2048" s="9" t="s">
        <v>142</v>
      </c>
      <c r="H2048" s="9" t="s">
        <v>139</v>
      </c>
      <c r="I2048" s="9" t="s">
        <v>411</v>
      </c>
      <c r="J2048" s="9" t="s">
        <v>139</v>
      </c>
      <c r="K2048" s="10">
        <v>39717.70925925926</v>
      </c>
    </row>
    <row r="2049" spans="1:11" x14ac:dyDescent="0.25">
      <c r="A2049" s="8">
        <v>3213</v>
      </c>
      <c r="B2049" s="9" t="s">
        <v>6406</v>
      </c>
      <c r="C2049" s="9" t="s">
        <v>4247</v>
      </c>
      <c r="D2049" s="9" t="s">
        <v>139</v>
      </c>
      <c r="E2049" s="9" t="s">
        <v>4248</v>
      </c>
      <c r="F2049" s="9" t="s">
        <v>4249</v>
      </c>
      <c r="G2049" s="9" t="s">
        <v>142</v>
      </c>
      <c r="H2049" s="9" t="s">
        <v>139</v>
      </c>
      <c r="I2049" s="9" t="s">
        <v>411</v>
      </c>
      <c r="J2049" s="9" t="s">
        <v>139</v>
      </c>
      <c r="K2049" s="10">
        <v>39717.710277777776</v>
      </c>
    </row>
    <row r="2050" spans="1:11" x14ac:dyDescent="0.25">
      <c r="A2050" s="8">
        <v>3214</v>
      </c>
      <c r="B2050" s="9" t="s">
        <v>6407</v>
      </c>
      <c r="C2050" s="9" t="s">
        <v>4250</v>
      </c>
      <c r="D2050" s="9" t="s">
        <v>139</v>
      </c>
      <c r="E2050" s="9" t="s">
        <v>3748</v>
      </c>
      <c r="F2050" s="9" t="s">
        <v>4251</v>
      </c>
      <c r="G2050" s="9" t="s">
        <v>142</v>
      </c>
      <c r="H2050" s="9" t="s">
        <v>139</v>
      </c>
      <c r="I2050" s="9" t="s">
        <v>411</v>
      </c>
      <c r="J2050" s="9" t="s">
        <v>139</v>
      </c>
      <c r="K2050" s="10">
        <v>39717.711354166669</v>
      </c>
    </row>
    <row r="2051" spans="1:11" x14ac:dyDescent="0.25">
      <c r="A2051" s="8">
        <v>3215</v>
      </c>
      <c r="B2051" s="9" t="s">
        <v>6408</v>
      </c>
      <c r="C2051" s="9" t="s">
        <v>4252</v>
      </c>
      <c r="D2051" s="9" t="s">
        <v>139</v>
      </c>
      <c r="E2051" s="9" t="s">
        <v>4253</v>
      </c>
      <c r="F2051" s="9" t="s">
        <v>4254</v>
      </c>
      <c r="G2051" s="9" t="s">
        <v>142</v>
      </c>
      <c r="H2051" s="9" t="s">
        <v>139</v>
      </c>
      <c r="I2051" s="9" t="s">
        <v>411</v>
      </c>
      <c r="J2051" s="9" t="s">
        <v>139</v>
      </c>
      <c r="K2051" s="10">
        <v>39717.712106481478</v>
      </c>
    </row>
    <row r="2052" spans="1:11" x14ac:dyDescent="0.25">
      <c r="A2052" s="8">
        <v>3216</v>
      </c>
      <c r="B2052" s="9" t="s">
        <v>6409</v>
      </c>
      <c r="C2052" s="9" t="s">
        <v>4255</v>
      </c>
      <c r="D2052" s="9" t="s">
        <v>139</v>
      </c>
      <c r="E2052" s="9" t="s">
        <v>1217</v>
      </c>
      <c r="F2052" s="9" t="s">
        <v>1218</v>
      </c>
      <c r="G2052" s="9" t="s">
        <v>142</v>
      </c>
      <c r="H2052" s="9" t="s">
        <v>139</v>
      </c>
      <c r="I2052" s="9" t="s">
        <v>411</v>
      </c>
      <c r="J2052" s="9" t="s">
        <v>139</v>
      </c>
      <c r="K2052" s="10">
        <v>39717.712962962964</v>
      </c>
    </row>
    <row r="2053" spans="1:11" x14ac:dyDescent="0.25">
      <c r="A2053" s="8">
        <v>3217</v>
      </c>
      <c r="B2053" s="9" t="s">
        <v>6410</v>
      </c>
      <c r="C2053" s="9" t="s">
        <v>4256</v>
      </c>
      <c r="D2053" s="9" t="s">
        <v>139</v>
      </c>
      <c r="E2053" s="9" t="s">
        <v>1532</v>
      </c>
      <c r="F2053" s="9" t="s">
        <v>1533</v>
      </c>
      <c r="G2053" s="9" t="s">
        <v>142</v>
      </c>
      <c r="H2053" s="9" t="s">
        <v>139</v>
      </c>
      <c r="I2053" s="9" t="s">
        <v>411</v>
      </c>
      <c r="J2053" s="9" t="s">
        <v>139</v>
      </c>
      <c r="K2053" s="10">
        <v>39717.714039351849</v>
      </c>
    </row>
    <row r="2054" spans="1:11" x14ac:dyDescent="0.25">
      <c r="A2054" s="8">
        <v>3218</v>
      </c>
      <c r="B2054" s="9" t="s">
        <v>6411</v>
      </c>
      <c r="C2054" s="9" t="s">
        <v>4257</v>
      </c>
      <c r="D2054" s="9" t="s">
        <v>139</v>
      </c>
      <c r="E2054" s="9" t="s">
        <v>3031</v>
      </c>
      <c r="F2054" s="9" t="s">
        <v>4258</v>
      </c>
      <c r="G2054" s="9" t="s">
        <v>142</v>
      </c>
      <c r="H2054" s="9" t="s">
        <v>139</v>
      </c>
      <c r="I2054" s="9" t="s">
        <v>411</v>
      </c>
      <c r="J2054" s="9" t="s">
        <v>139</v>
      </c>
      <c r="K2054" s="10">
        <v>39717.714791666665</v>
      </c>
    </row>
    <row r="2055" spans="1:11" x14ac:dyDescent="0.25">
      <c r="A2055" s="8">
        <v>3219</v>
      </c>
      <c r="B2055" s="9" t="s">
        <v>6412</v>
      </c>
      <c r="C2055" s="9" t="s">
        <v>4259</v>
      </c>
      <c r="D2055" s="9" t="s">
        <v>139</v>
      </c>
      <c r="E2055" s="9" t="s">
        <v>4260</v>
      </c>
      <c r="F2055" s="9" t="s">
        <v>4261</v>
      </c>
      <c r="G2055" s="9" t="s">
        <v>142</v>
      </c>
      <c r="H2055" s="9" t="s">
        <v>139</v>
      </c>
      <c r="I2055" s="9" t="s">
        <v>411</v>
      </c>
      <c r="J2055" s="9" t="s">
        <v>139</v>
      </c>
      <c r="K2055" s="10">
        <v>39717.716412037036</v>
      </c>
    </row>
    <row r="2056" spans="1:11" x14ac:dyDescent="0.25">
      <c r="A2056" s="8">
        <v>3220</v>
      </c>
      <c r="B2056" s="9" t="s">
        <v>6413</v>
      </c>
      <c r="C2056" s="9" t="s">
        <v>4262</v>
      </c>
      <c r="D2056" s="9" t="s">
        <v>139</v>
      </c>
      <c r="E2056" s="9" t="s">
        <v>4263</v>
      </c>
      <c r="F2056" s="9" t="s">
        <v>4264</v>
      </c>
      <c r="G2056" s="9" t="s">
        <v>142</v>
      </c>
      <c r="H2056" s="9" t="s">
        <v>139</v>
      </c>
      <c r="I2056" s="9" t="s">
        <v>411</v>
      </c>
      <c r="J2056" s="9" t="s">
        <v>139</v>
      </c>
      <c r="K2056" s="10">
        <v>39717.717499999999</v>
      </c>
    </row>
    <row r="2057" spans="1:11" x14ac:dyDescent="0.25">
      <c r="A2057" s="8">
        <v>3221</v>
      </c>
      <c r="B2057" s="9" t="s">
        <v>6414</v>
      </c>
      <c r="C2057" s="9" t="s">
        <v>4265</v>
      </c>
      <c r="D2057" s="9" t="s">
        <v>139</v>
      </c>
      <c r="E2057" s="9" t="s">
        <v>4266</v>
      </c>
      <c r="F2057" s="9" t="s">
        <v>4267</v>
      </c>
      <c r="G2057" s="9" t="s">
        <v>142</v>
      </c>
      <c r="H2057" s="9" t="s">
        <v>139</v>
      </c>
      <c r="I2057" s="9" t="s">
        <v>411</v>
      </c>
      <c r="J2057" s="9" t="s">
        <v>139</v>
      </c>
      <c r="K2057" s="10">
        <v>39717.718414351853</v>
      </c>
    </row>
    <row r="2058" spans="1:11" x14ac:dyDescent="0.25">
      <c r="A2058" s="8">
        <v>3222</v>
      </c>
      <c r="B2058" s="9" t="s">
        <v>6415</v>
      </c>
      <c r="C2058" s="9" t="s">
        <v>4268</v>
      </c>
      <c r="D2058" s="9" t="s">
        <v>139</v>
      </c>
      <c r="E2058" s="9" t="s">
        <v>1980</v>
      </c>
      <c r="F2058" s="9" t="s">
        <v>4269</v>
      </c>
      <c r="G2058" s="9" t="s">
        <v>142</v>
      </c>
      <c r="H2058" s="9" t="s">
        <v>139</v>
      </c>
      <c r="I2058" s="9" t="s">
        <v>411</v>
      </c>
      <c r="J2058" s="9" t="s">
        <v>139</v>
      </c>
      <c r="K2058" s="10">
        <v>39717.719224537039</v>
      </c>
    </row>
    <row r="2059" spans="1:11" x14ac:dyDescent="0.25">
      <c r="A2059" s="8">
        <v>3223</v>
      </c>
      <c r="B2059" s="9" t="s">
        <v>6416</v>
      </c>
      <c r="C2059" s="9" t="s">
        <v>4270</v>
      </c>
      <c r="D2059" s="9" t="s">
        <v>139</v>
      </c>
      <c r="E2059" s="9" t="s">
        <v>4271</v>
      </c>
      <c r="F2059" s="9" t="s">
        <v>4272</v>
      </c>
      <c r="G2059" s="9" t="s">
        <v>142</v>
      </c>
      <c r="H2059" s="9" t="s">
        <v>139</v>
      </c>
      <c r="I2059" s="9" t="s">
        <v>411</v>
      </c>
      <c r="J2059" s="9" t="s">
        <v>139</v>
      </c>
      <c r="K2059" s="10">
        <v>39717.720370370371</v>
      </c>
    </row>
    <row r="2060" spans="1:11" x14ac:dyDescent="0.25">
      <c r="A2060" s="8">
        <v>3224</v>
      </c>
      <c r="B2060" s="9" t="s">
        <v>6417</v>
      </c>
      <c r="C2060" s="9" t="s">
        <v>4273</v>
      </c>
      <c r="D2060" s="9" t="s">
        <v>139</v>
      </c>
      <c r="E2060" s="9" t="s">
        <v>4274</v>
      </c>
      <c r="F2060" s="9" t="s">
        <v>1979</v>
      </c>
      <c r="G2060" s="9" t="s">
        <v>142</v>
      </c>
      <c r="H2060" s="9" t="s">
        <v>139</v>
      </c>
      <c r="I2060" s="9" t="s">
        <v>411</v>
      </c>
      <c r="J2060" s="9" t="s">
        <v>139</v>
      </c>
      <c r="K2060" s="10">
        <v>39717.721377314818</v>
      </c>
    </row>
    <row r="2061" spans="1:11" x14ac:dyDescent="0.25">
      <c r="A2061" s="8">
        <v>3225</v>
      </c>
      <c r="B2061" s="9" t="s">
        <v>6418</v>
      </c>
      <c r="C2061" s="9" t="s">
        <v>4275</v>
      </c>
      <c r="D2061" s="9" t="s">
        <v>139</v>
      </c>
      <c r="E2061" s="9" t="s">
        <v>1978</v>
      </c>
      <c r="F2061" s="9" t="s">
        <v>1979</v>
      </c>
      <c r="G2061" s="9" t="s">
        <v>142</v>
      </c>
      <c r="H2061" s="9" t="s">
        <v>139</v>
      </c>
      <c r="I2061" s="9" t="s">
        <v>411</v>
      </c>
      <c r="J2061" s="9" t="s">
        <v>139</v>
      </c>
      <c r="K2061" s="10">
        <v>39717.722418981481</v>
      </c>
    </row>
    <row r="2062" spans="1:11" x14ac:dyDescent="0.25">
      <c r="A2062" s="8">
        <v>3226</v>
      </c>
      <c r="B2062" s="9" t="s">
        <v>6419</v>
      </c>
      <c r="C2062" s="9" t="s">
        <v>4276</v>
      </c>
      <c r="D2062" s="9" t="s">
        <v>139</v>
      </c>
      <c r="E2062" s="9" t="s">
        <v>4277</v>
      </c>
      <c r="F2062" s="9" t="s">
        <v>4278</v>
      </c>
      <c r="G2062" s="9" t="s">
        <v>142</v>
      </c>
      <c r="H2062" s="9" t="s">
        <v>139</v>
      </c>
      <c r="I2062" s="9" t="s">
        <v>411</v>
      </c>
      <c r="J2062" s="9" t="s">
        <v>139</v>
      </c>
      <c r="K2062" s="10">
        <v>39717.72351851852</v>
      </c>
    </row>
    <row r="2063" spans="1:11" x14ac:dyDescent="0.25">
      <c r="A2063" s="8">
        <v>3227</v>
      </c>
      <c r="B2063" s="9" t="s">
        <v>6420</v>
      </c>
      <c r="C2063" s="9" t="s">
        <v>4279</v>
      </c>
      <c r="D2063" s="9" t="s">
        <v>139</v>
      </c>
      <c r="E2063" s="9" t="s">
        <v>4280</v>
      </c>
      <c r="F2063" s="9" t="s">
        <v>4281</v>
      </c>
      <c r="G2063" s="9" t="s">
        <v>142</v>
      </c>
      <c r="H2063" s="9" t="s">
        <v>139</v>
      </c>
      <c r="I2063" s="9" t="s">
        <v>411</v>
      </c>
      <c r="J2063" s="9" t="s">
        <v>139</v>
      </c>
      <c r="K2063" s="10">
        <v>39717.724930555552</v>
      </c>
    </row>
    <row r="2064" spans="1:11" x14ac:dyDescent="0.25">
      <c r="A2064" s="8">
        <v>3228</v>
      </c>
      <c r="B2064" s="9" t="s">
        <v>6421</v>
      </c>
      <c r="C2064" s="9" t="s">
        <v>4282</v>
      </c>
      <c r="D2064" s="9" t="s">
        <v>139</v>
      </c>
      <c r="E2064" s="9" t="s">
        <v>4283</v>
      </c>
      <c r="F2064" s="9" t="s">
        <v>4284</v>
      </c>
      <c r="G2064" s="9" t="s">
        <v>142</v>
      </c>
      <c r="H2064" s="9" t="s">
        <v>139</v>
      </c>
      <c r="I2064" s="9" t="s">
        <v>411</v>
      </c>
      <c r="J2064" s="9" t="s">
        <v>139</v>
      </c>
      <c r="K2064" s="10">
        <v>39717.72587962963</v>
      </c>
    </row>
    <row r="2065" spans="1:11" x14ac:dyDescent="0.25">
      <c r="A2065" s="8">
        <v>3229</v>
      </c>
      <c r="B2065" s="9" t="s">
        <v>6422</v>
      </c>
      <c r="C2065" s="9" t="s">
        <v>4285</v>
      </c>
      <c r="D2065" s="9" t="s">
        <v>139</v>
      </c>
      <c r="E2065" s="9" t="s">
        <v>4283</v>
      </c>
      <c r="F2065" s="9" t="s">
        <v>4284</v>
      </c>
      <c r="G2065" s="9" t="s">
        <v>142</v>
      </c>
      <c r="H2065" s="9" t="s">
        <v>139</v>
      </c>
      <c r="I2065" s="9" t="s">
        <v>411</v>
      </c>
      <c r="J2065" s="9" t="s">
        <v>139</v>
      </c>
      <c r="K2065" s="10">
        <v>39717.726979166669</v>
      </c>
    </row>
    <row r="2066" spans="1:11" x14ac:dyDescent="0.25">
      <c r="A2066" s="8">
        <v>3230</v>
      </c>
      <c r="B2066" s="9" t="s">
        <v>6423</v>
      </c>
      <c r="C2066" s="9" t="s">
        <v>4286</v>
      </c>
      <c r="D2066" s="9" t="s">
        <v>139</v>
      </c>
      <c r="E2066" s="9" t="s">
        <v>4287</v>
      </c>
      <c r="F2066" s="9" t="s">
        <v>4288</v>
      </c>
      <c r="G2066" s="9" t="s">
        <v>142</v>
      </c>
      <c r="H2066" s="9" t="s">
        <v>139</v>
      </c>
      <c r="I2066" s="9" t="s">
        <v>411</v>
      </c>
      <c r="J2066" s="9" t="s">
        <v>139</v>
      </c>
      <c r="K2066" s="10">
        <v>39717.727708333332</v>
      </c>
    </row>
    <row r="2067" spans="1:11" x14ac:dyDescent="0.25">
      <c r="A2067" s="8">
        <v>3231</v>
      </c>
      <c r="B2067" s="9" t="s">
        <v>6424</v>
      </c>
      <c r="C2067" s="9" t="s">
        <v>4289</v>
      </c>
      <c r="D2067" s="9" t="s">
        <v>139</v>
      </c>
      <c r="E2067" s="9" t="s">
        <v>4290</v>
      </c>
      <c r="F2067" s="9" t="s">
        <v>4291</v>
      </c>
      <c r="G2067" s="9" t="s">
        <v>142</v>
      </c>
      <c r="H2067" s="9" t="s">
        <v>139</v>
      </c>
      <c r="I2067" s="9" t="s">
        <v>411</v>
      </c>
      <c r="J2067" s="9" t="s">
        <v>139</v>
      </c>
      <c r="K2067" s="10">
        <v>39717.728865740741</v>
      </c>
    </row>
    <row r="2068" spans="1:11" x14ac:dyDescent="0.25">
      <c r="A2068" s="8">
        <v>3232</v>
      </c>
      <c r="B2068" s="9" t="s">
        <v>6425</v>
      </c>
      <c r="C2068" s="9" t="s">
        <v>4292</v>
      </c>
      <c r="D2068" s="9" t="s">
        <v>139</v>
      </c>
      <c r="E2068" s="9" t="s">
        <v>1262</v>
      </c>
      <c r="F2068" s="9" t="s">
        <v>1263</v>
      </c>
      <c r="G2068" s="9" t="s">
        <v>142</v>
      </c>
      <c r="H2068" s="9" t="s">
        <v>139</v>
      </c>
      <c r="I2068" s="9" t="s">
        <v>411</v>
      </c>
      <c r="J2068" s="9" t="s">
        <v>139</v>
      </c>
      <c r="K2068" s="10">
        <v>39717.729537037034</v>
      </c>
    </row>
    <row r="2069" spans="1:11" x14ac:dyDescent="0.25">
      <c r="A2069" s="8">
        <v>3233</v>
      </c>
      <c r="B2069" s="9" t="s">
        <v>6426</v>
      </c>
      <c r="C2069" s="9" t="s">
        <v>4293</v>
      </c>
      <c r="D2069" s="9" t="s">
        <v>139</v>
      </c>
      <c r="E2069" s="9" t="s">
        <v>4294</v>
      </c>
      <c r="F2069" s="9" t="s">
        <v>4295</v>
      </c>
      <c r="G2069" s="9" t="s">
        <v>142</v>
      </c>
      <c r="H2069" s="9" t="s">
        <v>139</v>
      </c>
      <c r="I2069" s="9" t="s">
        <v>411</v>
      </c>
      <c r="J2069" s="9" t="s">
        <v>139</v>
      </c>
      <c r="K2069" s="10">
        <v>39717.730358796296</v>
      </c>
    </row>
    <row r="2070" spans="1:11" x14ac:dyDescent="0.25">
      <c r="A2070" s="8">
        <v>3234</v>
      </c>
      <c r="B2070" s="9" t="s">
        <v>6427</v>
      </c>
      <c r="C2070" s="9" t="s">
        <v>4296</v>
      </c>
      <c r="D2070" s="9" t="s">
        <v>139</v>
      </c>
      <c r="E2070" s="9" t="s">
        <v>3605</v>
      </c>
      <c r="F2070" s="9" t="s">
        <v>3606</v>
      </c>
      <c r="G2070" s="9" t="s">
        <v>142</v>
      </c>
      <c r="H2070" s="9" t="s">
        <v>139</v>
      </c>
      <c r="I2070" s="9" t="s">
        <v>411</v>
      </c>
      <c r="J2070" s="9" t="s">
        <v>139</v>
      </c>
      <c r="K2070" s="10">
        <v>39717.731377314813</v>
      </c>
    </row>
    <row r="2071" spans="1:11" x14ac:dyDescent="0.25">
      <c r="A2071" s="8">
        <v>3235</v>
      </c>
      <c r="B2071" s="9" t="s">
        <v>6428</v>
      </c>
      <c r="C2071" s="9" t="s">
        <v>4297</v>
      </c>
      <c r="D2071" s="9" t="s">
        <v>139</v>
      </c>
      <c r="E2071" s="9" t="s">
        <v>4298</v>
      </c>
      <c r="F2071" s="9" t="s">
        <v>4299</v>
      </c>
      <c r="G2071" s="9" t="s">
        <v>142</v>
      </c>
      <c r="H2071" s="9" t="s">
        <v>139</v>
      </c>
      <c r="I2071" s="9" t="s">
        <v>411</v>
      </c>
      <c r="J2071" s="9" t="s">
        <v>139</v>
      </c>
      <c r="K2071" s="10">
        <v>39717.732164351852</v>
      </c>
    </row>
    <row r="2072" spans="1:11" x14ac:dyDescent="0.25">
      <c r="A2072" s="8">
        <v>3236</v>
      </c>
      <c r="B2072" s="9" t="s">
        <v>6429</v>
      </c>
      <c r="C2072" s="9" t="s">
        <v>4300</v>
      </c>
      <c r="D2072" s="9" t="s">
        <v>139</v>
      </c>
      <c r="E2072" s="9" t="s">
        <v>4301</v>
      </c>
      <c r="F2072" s="9" t="s">
        <v>4302</v>
      </c>
      <c r="G2072" s="9" t="s">
        <v>142</v>
      </c>
      <c r="H2072" s="9" t="s">
        <v>139</v>
      </c>
      <c r="I2072" s="9" t="s">
        <v>411</v>
      </c>
      <c r="J2072" s="9" t="s">
        <v>139</v>
      </c>
      <c r="K2072" s="10">
        <v>39717.732986111114</v>
      </c>
    </row>
    <row r="2073" spans="1:11" x14ac:dyDescent="0.25">
      <c r="A2073" s="8">
        <v>3237</v>
      </c>
      <c r="B2073" s="9" t="s">
        <v>6430</v>
      </c>
      <c r="C2073" s="9" t="s">
        <v>4303</v>
      </c>
      <c r="D2073" s="9" t="s">
        <v>139</v>
      </c>
      <c r="E2073" s="9" t="s">
        <v>4304</v>
      </c>
      <c r="F2073" s="9" t="s">
        <v>4305</v>
      </c>
      <c r="G2073" s="9" t="s">
        <v>142</v>
      </c>
      <c r="H2073" s="9" t="s">
        <v>139</v>
      </c>
      <c r="I2073" s="9" t="s">
        <v>411</v>
      </c>
      <c r="J2073" s="9" t="s">
        <v>139</v>
      </c>
      <c r="K2073" s="10">
        <v>39717.733900462961</v>
      </c>
    </row>
    <row r="2074" spans="1:11" x14ac:dyDescent="0.25">
      <c r="A2074" s="8">
        <v>3238</v>
      </c>
      <c r="B2074" s="9" t="s">
        <v>6431</v>
      </c>
      <c r="C2074" s="9" t="s">
        <v>4306</v>
      </c>
      <c r="D2074" s="9" t="s">
        <v>139</v>
      </c>
      <c r="E2074" s="9" t="s">
        <v>4307</v>
      </c>
      <c r="F2074" s="9" t="s">
        <v>4308</v>
      </c>
      <c r="G2074" s="9" t="s">
        <v>142</v>
      </c>
      <c r="H2074" s="9" t="s">
        <v>139</v>
      </c>
      <c r="I2074" s="9" t="s">
        <v>411</v>
      </c>
      <c r="J2074" s="9" t="s">
        <v>139</v>
      </c>
      <c r="K2074" s="10">
        <v>39717.734814814816</v>
      </c>
    </row>
    <row r="2075" spans="1:11" x14ac:dyDescent="0.25">
      <c r="A2075" s="8">
        <v>3240</v>
      </c>
      <c r="B2075" s="9" t="s">
        <v>6432</v>
      </c>
      <c r="C2075" s="9" t="s">
        <v>4309</v>
      </c>
      <c r="D2075" s="9" t="s">
        <v>139</v>
      </c>
      <c r="E2075" s="9" t="s">
        <v>3286</v>
      </c>
      <c r="F2075" s="9" t="s">
        <v>3287</v>
      </c>
      <c r="G2075" s="9" t="s">
        <v>142</v>
      </c>
      <c r="H2075" s="9" t="s">
        <v>139</v>
      </c>
      <c r="I2075" s="9" t="s">
        <v>411</v>
      </c>
      <c r="J2075" s="9" t="s">
        <v>139</v>
      </c>
      <c r="K2075" s="10">
        <v>39717.761377314811</v>
      </c>
    </row>
    <row r="2076" spans="1:11" x14ac:dyDescent="0.25">
      <c r="A2076" s="8">
        <v>3241</v>
      </c>
      <c r="B2076" s="9" t="s">
        <v>6433</v>
      </c>
      <c r="C2076" s="9" t="s">
        <v>4310</v>
      </c>
      <c r="D2076" s="9" t="s">
        <v>139</v>
      </c>
      <c r="E2076" s="9" t="s">
        <v>4311</v>
      </c>
      <c r="F2076" s="9" t="s">
        <v>4312</v>
      </c>
      <c r="G2076" s="9" t="s">
        <v>142</v>
      </c>
      <c r="H2076" s="9" t="s">
        <v>139</v>
      </c>
      <c r="I2076" s="9" t="s">
        <v>411</v>
      </c>
      <c r="J2076" s="9" t="s">
        <v>139</v>
      </c>
      <c r="K2076" s="10">
        <v>39717.762546296297</v>
      </c>
    </row>
    <row r="2077" spans="1:11" x14ac:dyDescent="0.25">
      <c r="A2077" s="8">
        <v>3242</v>
      </c>
      <c r="B2077" s="9" t="s">
        <v>6434</v>
      </c>
      <c r="C2077" s="9" t="s">
        <v>4313</v>
      </c>
      <c r="D2077" s="9" t="s">
        <v>139</v>
      </c>
      <c r="E2077" s="9" t="s">
        <v>4314</v>
      </c>
      <c r="F2077" s="9" t="s">
        <v>4315</v>
      </c>
      <c r="G2077" s="9" t="s">
        <v>142</v>
      </c>
      <c r="H2077" s="9" t="s">
        <v>139</v>
      </c>
      <c r="I2077" s="9" t="s">
        <v>411</v>
      </c>
      <c r="J2077" s="9" t="s">
        <v>139</v>
      </c>
      <c r="K2077" s="10">
        <v>39717.766527777778</v>
      </c>
    </row>
    <row r="2078" spans="1:11" x14ac:dyDescent="0.25">
      <c r="A2078" s="8">
        <v>3243</v>
      </c>
      <c r="B2078" s="9" t="s">
        <v>6435</v>
      </c>
      <c r="C2078" s="9" t="s">
        <v>4316</v>
      </c>
      <c r="D2078" s="9" t="s">
        <v>139</v>
      </c>
      <c r="E2078" s="9" t="s">
        <v>4317</v>
      </c>
      <c r="F2078" s="9" t="s">
        <v>4318</v>
      </c>
      <c r="G2078" s="9" t="s">
        <v>142</v>
      </c>
      <c r="H2078" s="9" t="s">
        <v>139</v>
      </c>
      <c r="I2078" s="9" t="s">
        <v>411</v>
      </c>
      <c r="J2078" s="9" t="s">
        <v>139</v>
      </c>
      <c r="K2078" s="10">
        <v>39717.767476851855</v>
      </c>
    </row>
    <row r="2079" spans="1:11" x14ac:dyDescent="0.25">
      <c r="A2079" s="8">
        <v>3244</v>
      </c>
      <c r="B2079" s="9" t="s">
        <v>6436</v>
      </c>
      <c r="C2079" s="9" t="s">
        <v>4319</v>
      </c>
      <c r="D2079" s="9" t="s">
        <v>139</v>
      </c>
      <c r="E2079" s="9" t="s">
        <v>4320</v>
      </c>
      <c r="F2079" s="9" t="s">
        <v>4321</v>
      </c>
      <c r="G2079" s="9" t="s">
        <v>142</v>
      </c>
      <c r="H2079" s="9" t="s">
        <v>139</v>
      </c>
      <c r="I2079" s="9" t="s">
        <v>411</v>
      </c>
      <c r="J2079" s="9" t="s">
        <v>139</v>
      </c>
      <c r="K2079" s="10">
        <v>39717.768229166664</v>
      </c>
    </row>
    <row r="2080" spans="1:11" x14ac:dyDescent="0.25">
      <c r="A2080" s="8">
        <v>3245</v>
      </c>
      <c r="B2080" s="9" t="s">
        <v>6437</v>
      </c>
      <c r="C2080" s="9" t="s">
        <v>4322</v>
      </c>
      <c r="D2080" s="9" t="s">
        <v>139</v>
      </c>
      <c r="E2080" s="9" t="s">
        <v>589</v>
      </c>
      <c r="F2080" s="9" t="s">
        <v>3713</v>
      </c>
      <c r="G2080" s="9" t="s">
        <v>142</v>
      </c>
      <c r="H2080" s="9" t="s">
        <v>139</v>
      </c>
      <c r="I2080" s="9" t="s">
        <v>411</v>
      </c>
      <c r="J2080" s="9" t="s">
        <v>139</v>
      </c>
      <c r="K2080" s="10">
        <v>39717.769097222219</v>
      </c>
    </row>
    <row r="2081" spans="1:11" x14ac:dyDescent="0.25">
      <c r="A2081" s="8">
        <v>3246</v>
      </c>
      <c r="B2081" s="9" t="s">
        <v>6438</v>
      </c>
      <c r="C2081" s="9" t="s">
        <v>4323</v>
      </c>
      <c r="D2081" s="9" t="s">
        <v>139</v>
      </c>
      <c r="E2081" s="9" t="s">
        <v>4324</v>
      </c>
      <c r="F2081" s="9" t="s">
        <v>4325</v>
      </c>
      <c r="G2081" s="9" t="s">
        <v>142</v>
      </c>
      <c r="H2081" s="9" t="s">
        <v>139</v>
      </c>
      <c r="I2081" s="9" t="s">
        <v>411</v>
      </c>
      <c r="J2081" s="9" t="s">
        <v>139</v>
      </c>
      <c r="K2081" s="10">
        <v>39717.771099537036</v>
      </c>
    </row>
    <row r="2082" spans="1:11" x14ac:dyDescent="0.25">
      <c r="A2082" s="8">
        <v>3247</v>
      </c>
      <c r="B2082" s="9" t="s">
        <v>6439</v>
      </c>
      <c r="C2082" s="9" t="s">
        <v>4326</v>
      </c>
      <c r="D2082" s="9" t="s">
        <v>139</v>
      </c>
      <c r="E2082" s="9" t="s">
        <v>1414</v>
      </c>
      <c r="F2082" s="9" t="s">
        <v>1415</v>
      </c>
      <c r="G2082" s="9" t="s">
        <v>142</v>
      </c>
      <c r="H2082" s="9" t="s">
        <v>139</v>
      </c>
      <c r="I2082" s="9" t="s">
        <v>411</v>
      </c>
      <c r="J2082" s="9" t="s">
        <v>139</v>
      </c>
      <c r="K2082" s="10">
        <v>39717.772268518522</v>
      </c>
    </row>
    <row r="2083" spans="1:11" x14ac:dyDescent="0.25">
      <c r="A2083" s="8">
        <v>3248</v>
      </c>
      <c r="B2083" s="9" t="s">
        <v>6440</v>
      </c>
      <c r="C2083" s="9" t="s">
        <v>4327</v>
      </c>
      <c r="D2083" s="9" t="s">
        <v>139</v>
      </c>
      <c r="E2083" s="9" t="s">
        <v>1414</v>
      </c>
      <c r="F2083" s="9" t="s">
        <v>1415</v>
      </c>
      <c r="G2083" s="9" t="s">
        <v>142</v>
      </c>
      <c r="H2083" s="9" t="s">
        <v>139</v>
      </c>
      <c r="I2083" s="9" t="s">
        <v>411</v>
      </c>
      <c r="J2083" s="9" t="s">
        <v>139</v>
      </c>
      <c r="K2083" s="10">
        <v>39717.773368055554</v>
      </c>
    </row>
    <row r="2084" spans="1:11" x14ac:dyDescent="0.25">
      <c r="A2084" s="8">
        <v>3249</v>
      </c>
      <c r="B2084" s="9" t="s">
        <v>6441</v>
      </c>
      <c r="C2084" s="9" t="s">
        <v>4328</v>
      </c>
      <c r="D2084" s="9" t="s">
        <v>139</v>
      </c>
      <c r="E2084" s="9" t="s">
        <v>4329</v>
      </c>
      <c r="F2084" s="9" t="s">
        <v>4330</v>
      </c>
      <c r="G2084" s="9" t="s">
        <v>142</v>
      </c>
      <c r="H2084" s="9" t="s">
        <v>139</v>
      </c>
      <c r="I2084" s="9" t="s">
        <v>411</v>
      </c>
      <c r="J2084" s="9" t="s">
        <v>139</v>
      </c>
      <c r="K2084" s="10">
        <v>39717.784745370373</v>
      </c>
    </row>
    <row r="2085" spans="1:11" x14ac:dyDescent="0.25">
      <c r="A2085" s="8">
        <v>3250</v>
      </c>
      <c r="B2085" s="9" t="s">
        <v>6442</v>
      </c>
      <c r="C2085" s="9" t="s">
        <v>4331</v>
      </c>
      <c r="D2085" s="9" t="s">
        <v>139</v>
      </c>
      <c r="E2085" s="9" t="s">
        <v>3062</v>
      </c>
      <c r="F2085" s="9" t="s">
        <v>3063</v>
      </c>
      <c r="G2085" s="9" t="s">
        <v>142</v>
      </c>
      <c r="H2085" s="9" t="s">
        <v>139</v>
      </c>
      <c r="I2085" s="9" t="s">
        <v>411</v>
      </c>
      <c r="J2085" s="9" t="s">
        <v>139</v>
      </c>
      <c r="K2085" s="10">
        <v>39717.786122685182</v>
      </c>
    </row>
    <row r="2086" spans="1:11" x14ac:dyDescent="0.25">
      <c r="A2086" s="8">
        <v>3252</v>
      </c>
      <c r="B2086" s="9" t="s">
        <v>6443</v>
      </c>
      <c r="C2086" s="9" t="s">
        <v>4332</v>
      </c>
      <c r="D2086" s="9" t="s">
        <v>139</v>
      </c>
      <c r="E2086" s="9" t="s">
        <v>2506</v>
      </c>
      <c r="F2086" s="9" t="s">
        <v>2507</v>
      </c>
      <c r="G2086" s="9" t="s">
        <v>142</v>
      </c>
      <c r="H2086" s="9" t="s">
        <v>139</v>
      </c>
      <c r="I2086" s="9" t="s">
        <v>411</v>
      </c>
      <c r="J2086" s="9" t="s">
        <v>139</v>
      </c>
      <c r="K2086" s="10">
        <v>39718.525023148148</v>
      </c>
    </row>
    <row r="2087" spans="1:11" x14ac:dyDescent="0.25">
      <c r="A2087" s="8">
        <v>3253</v>
      </c>
      <c r="B2087" s="9" t="s">
        <v>6444</v>
      </c>
      <c r="C2087" s="9" t="s">
        <v>4333</v>
      </c>
      <c r="D2087" s="9" t="s">
        <v>139</v>
      </c>
      <c r="E2087" s="9" t="s">
        <v>4334</v>
      </c>
      <c r="F2087" s="9" t="s">
        <v>4335</v>
      </c>
      <c r="G2087" s="9" t="s">
        <v>142</v>
      </c>
      <c r="H2087" s="9" t="s">
        <v>139</v>
      </c>
      <c r="I2087" s="9" t="s">
        <v>411</v>
      </c>
      <c r="J2087" s="9" t="s">
        <v>139</v>
      </c>
      <c r="K2087" s="10">
        <v>39718.525937500002</v>
      </c>
    </row>
    <row r="2088" spans="1:11" x14ac:dyDescent="0.25">
      <c r="A2088" s="8">
        <v>3254</v>
      </c>
      <c r="B2088" s="9" t="s">
        <v>6445</v>
      </c>
      <c r="C2088" s="9" t="s">
        <v>4336</v>
      </c>
      <c r="D2088" s="9" t="s">
        <v>139</v>
      </c>
      <c r="E2088" s="9" t="s">
        <v>4337</v>
      </c>
      <c r="F2088" s="9" t="s">
        <v>4338</v>
      </c>
      <c r="G2088" s="9" t="s">
        <v>142</v>
      </c>
      <c r="H2088" s="9" t="s">
        <v>139</v>
      </c>
      <c r="I2088" s="9" t="s">
        <v>411</v>
      </c>
      <c r="J2088" s="9" t="s">
        <v>139</v>
      </c>
      <c r="K2088" s="10">
        <v>39718.527245370373</v>
      </c>
    </row>
    <row r="2089" spans="1:11" x14ac:dyDescent="0.25">
      <c r="A2089" s="8">
        <v>3255</v>
      </c>
      <c r="B2089" s="9" t="s">
        <v>6446</v>
      </c>
      <c r="C2089" s="9" t="s">
        <v>4339</v>
      </c>
      <c r="D2089" s="9" t="s">
        <v>139</v>
      </c>
      <c r="E2089" s="9" t="s">
        <v>3610</v>
      </c>
      <c r="F2089" s="9" t="s">
        <v>2291</v>
      </c>
      <c r="G2089" s="9" t="s">
        <v>142</v>
      </c>
      <c r="H2089" s="9" t="s">
        <v>139</v>
      </c>
      <c r="I2089" s="9" t="s">
        <v>411</v>
      </c>
      <c r="J2089" s="9" t="s">
        <v>139</v>
      </c>
      <c r="K2089" s="10">
        <v>39718.528194444443</v>
      </c>
    </row>
    <row r="2090" spans="1:11" x14ac:dyDescent="0.25">
      <c r="A2090" s="8">
        <v>3256</v>
      </c>
      <c r="B2090" s="9" t="s">
        <v>6447</v>
      </c>
      <c r="C2090" s="9" t="s">
        <v>4340</v>
      </c>
      <c r="D2090" s="9" t="s">
        <v>139</v>
      </c>
      <c r="E2090" s="9" t="s">
        <v>4341</v>
      </c>
      <c r="F2090" s="9" t="s">
        <v>4342</v>
      </c>
      <c r="G2090" s="9" t="s">
        <v>142</v>
      </c>
      <c r="H2090" s="9" t="s">
        <v>139</v>
      </c>
      <c r="I2090" s="9" t="s">
        <v>411</v>
      </c>
      <c r="J2090" s="9" t="s">
        <v>139</v>
      </c>
      <c r="K2090" s="10">
        <v>39718.529039351852</v>
      </c>
    </row>
    <row r="2091" spans="1:11" x14ac:dyDescent="0.25">
      <c r="A2091" s="8">
        <v>3257</v>
      </c>
      <c r="B2091" s="9" t="s">
        <v>6448</v>
      </c>
      <c r="C2091" s="9" t="s">
        <v>4343</v>
      </c>
      <c r="D2091" s="9" t="s">
        <v>139</v>
      </c>
      <c r="E2091" s="9" t="s">
        <v>4344</v>
      </c>
      <c r="F2091" s="9" t="s">
        <v>4345</v>
      </c>
      <c r="G2091" s="9" t="s">
        <v>142</v>
      </c>
      <c r="H2091" s="9" t="s">
        <v>139</v>
      </c>
      <c r="I2091" s="9" t="s">
        <v>411</v>
      </c>
      <c r="J2091" s="9" t="s">
        <v>139</v>
      </c>
      <c r="K2091" s="10">
        <v>39718.529965277776</v>
      </c>
    </row>
    <row r="2092" spans="1:11" x14ac:dyDescent="0.25">
      <c r="A2092" s="8">
        <v>3258</v>
      </c>
      <c r="B2092" s="9" t="s">
        <v>6449</v>
      </c>
      <c r="C2092" s="9" t="s">
        <v>4346</v>
      </c>
      <c r="D2092" s="9" t="s">
        <v>139</v>
      </c>
      <c r="E2092" s="9" t="s">
        <v>4347</v>
      </c>
      <c r="F2092" s="9" t="s">
        <v>4348</v>
      </c>
      <c r="G2092" s="9" t="s">
        <v>142</v>
      </c>
      <c r="H2092" s="9" t="s">
        <v>139</v>
      </c>
      <c r="I2092" s="9" t="s">
        <v>411</v>
      </c>
      <c r="J2092" s="9" t="s">
        <v>139</v>
      </c>
      <c r="K2092" s="10">
        <v>39718.530729166669</v>
      </c>
    </row>
    <row r="2093" spans="1:11" x14ac:dyDescent="0.25">
      <c r="A2093" s="8">
        <v>3259</v>
      </c>
      <c r="B2093" s="9" t="s">
        <v>6450</v>
      </c>
      <c r="C2093" s="9" t="s">
        <v>4349</v>
      </c>
      <c r="D2093" s="9" t="s">
        <v>139</v>
      </c>
      <c r="E2093" s="9" t="s">
        <v>4350</v>
      </c>
      <c r="F2093" s="9" t="s">
        <v>4351</v>
      </c>
      <c r="G2093" s="9" t="s">
        <v>142</v>
      </c>
      <c r="H2093" s="9" t="s">
        <v>139</v>
      </c>
      <c r="I2093" s="9" t="s">
        <v>411</v>
      </c>
      <c r="J2093" s="9" t="s">
        <v>139</v>
      </c>
      <c r="K2093" s="10">
        <v>39718.531701388885</v>
      </c>
    </row>
    <row r="2094" spans="1:11" x14ac:dyDescent="0.25">
      <c r="A2094" s="8">
        <v>3260</v>
      </c>
      <c r="B2094" s="9" t="s">
        <v>6451</v>
      </c>
      <c r="C2094" s="9" t="s">
        <v>4352</v>
      </c>
      <c r="D2094" s="9" t="s">
        <v>139</v>
      </c>
      <c r="E2094" s="9" t="s">
        <v>4353</v>
      </c>
      <c r="F2094" s="9" t="s">
        <v>4354</v>
      </c>
      <c r="G2094" s="9" t="s">
        <v>142</v>
      </c>
      <c r="H2094" s="9" t="s">
        <v>139</v>
      </c>
      <c r="I2094" s="9" t="s">
        <v>411</v>
      </c>
      <c r="J2094" s="9" t="s">
        <v>139</v>
      </c>
      <c r="K2094" s="10">
        <v>39718.532708333332</v>
      </c>
    </row>
    <row r="2095" spans="1:11" x14ac:dyDescent="0.25">
      <c r="A2095" s="8">
        <v>3261</v>
      </c>
      <c r="B2095" s="9" t="s">
        <v>6452</v>
      </c>
      <c r="C2095" s="9" t="s">
        <v>4355</v>
      </c>
      <c r="D2095" s="9" t="s">
        <v>139</v>
      </c>
      <c r="E2095" s="9" t="s">
        <v>1225</v>
      </c>
      <c r="F2095" s="9" t="s">
        <v>4356</v>
      </c>
      <c r="G2095" s="9" t="s">
        <v>142</v>
      </c>
      <c r="H2095" s="9" t="s">
        <v>139</v>
      </c>
      <c r="I2095" s="9" t="s">
        <v>411</v>
      </c>
      <c r="J2095" s="9" t="s">
        <v>139</v>
      </c>
      <c r="K2095" s="10">
        <v>39718.534386574072</v>
      </c>
    </row>
    <row r="2096" spans="1:11" x14ac:dyDescent="0.25">
      <c r="A2096" s="8">
        <v>3262</v>
      </c>
      <c r="B2096" s="9" t="s">
        <v>6453</v>
      </c>
      <c r="C2096" s="9" t="s">
        <v>4357</v>
      </c>
      <c r="D2096" s="9" t="s">
        <v>139</v>
      </c>
      <c r="E2096" s="9" t="s">
        <v>4358</v>
      </c>
      <c r="F2096" s="9" t="s">
        <v>4359</v>
      </c>
      <c r="G2096" s="9" t="s">
        <v>142</v>
      </c>
      <c r="H2096" s="9" t="s">
        <v>139</v>
      </c>
      <c r="I2096" s="9" t="s">
        <v>411</v>
      </c>
      <c r="J2096" s="9" t="s">
        <v>139</v>
      </c>
      <c r="K2096" s="10">
        <v>39718.541354166664</v>
      </c>
    </row>
    <row r="2097" spans="1:11" x14ac:dyDescent="0.25">
      <c r="A2097" s="8">
        <v>3263</v>
      </c>
      <c r="B2097" s="9" t="s">
        <v>6454</v>
      </c>
      <c r="C2097" s="9" t="s">
        <v>4360</v>
      </c>
      <c r="D2097" s="9" t="s">
        <v>139</v>
      </c>
      <c r="E2097" s="9" t="s">
        <v>4361</v>
      </c>
      <c r="F2097" s="9" t="s">
        <v>4362</v>
      </c>
      <c r="G2097" s="9" t="s">
        <v>142</v>
      </c>
      <c r="H2097" s="9" t="s">
        <v>139</v>
      </c>
      <c r="I2097" s="9" t="s">
        <v>411</v>
      </c>
      <c r="J2097" s="9" t="s">
        <v>139</v>
      </c>
      <c r="K2097" s="10">
        <v>39718.542210648149</v>
      </c>
    </row>
    <row r="2098" spans="1:11" x14ac:dyDescent="0.25">
      <c r="A2098" s="8">
        <v>3264</v>
      </c>
      <c r="B2098" s="9" t="s">
        <v>6455</v>
      </c>
      <c r="C2098" s="9" t="s">
        <v>4363</v>
      </c>
      <c r="D2098" s="9" t="s">
        <v>139</v>
      </c>
      <c r="E2098" s="9" t="s">
        <v>4364</v>
      </c>
      <c r="F2098" s="9" t="s">
        <v>4365</v>
      </c>
      <c r="G2098" s="9" t="s">
        <v>142</v>
      </c>
      <c r="H2098" s="9" t="s">
        <v>139</v>
      </c>
      <c r="I2098" s="9" t="s">
        <v>411</v>
      </c>
      <c r="J2098" s="9" t="s">
        <v>139</v>
      </c>
      <c r="K2098" s="10">
        <v>39718.54314814815</v>
      </c>
    </row>
    <row r="2099" spans="1:11" x14ac:dyDescent="0.25">
      <c r="A2099" s="8">
        <v>3265</v>
      </c>
      <c r="B2099" s="9" t="s">
        <v>6456</v>
      </c>
      <c r="C2099" s="9" t="s">
        <v>4366</v>
      </c>
      <c r="D2099" s="9" t="s">
        <v>139</v>
      </c>
      <c r="E2099" s="9" t="s">
        <v>4367</v>
      </c>
      <c r="F2099" s="9" t="s">
        <v>4368</v>
      </c>
      <c r="G2099" s="9" t="s">
        <v>142</v>
      </c>
      <c r="H2099" s="9" t="s">
        <v>139</v>
      </c>
      <c r="I2099" s="9" t="s">
        <v>411</v>
      </c>
      <c r="J2099" s="9" t="s">
        <v>139</v>
      </c>
      <c r="K2099" s="10">
        <v>39718.543993055559</v>
      </c>
    </row>
    <row r="2100" spans="1:11" x14ac:dyDescent="0.25">
      <c r="A2100" s="8">
        <v>3266</v>
      </c>
      <c r="B2100" s="9" t="s">
        <v>6457</v>
      </c>
      <c r="C2100" s="9" t="s">
        <v>4369</v>
      </c>
      <c r="D2100" s="9" t="s">
        <v>139</v>
      </c>
      <c r="E2100" s="9" t="s">
        <v>4370</v>
      </c>
      <c r="F2100" s="9" t="s">
        <v>4371</v>
      </c>
      <c r="G2100" s="9" t="s">
        <v>142</v>
      </c>
      <c r="H2100" s="9" t="s">
        <v>139</v>
      </c>
      <c r="I2100" s="9" t="s">
        <v>411</v>
      </c>
      <c r="J2100" s="9" t="s">
        <v>139</v>
      </c>
      <c r="K2100" s="10">
        <v>39718.545254629629</v>
      </c>
    </row>
    <row r="2101" spans="1:11" x14ac:dyDescent="0.25">
      <c r="A2101" s="8">
        <v>3268</v>
      </c>
      <c r="B2101" s="9" t="s">
        <v>6458</v>
      </c>
      <c r="C2101" s="9" t="s">
        <v>4372</v>
      </c>
      <c r="D2101" s="9" t="s">
        <v>139</v>
      </c>
      <c r="E2101" s="9" t="s">
        <v>4373</v>
      </c>
      <c r="F2101" s="9" t="s">
        <v>4374</v>
      </c>
      <c r="G2101" s="9" t="s">
        <v>142</v>
      </c>
      <c r="H2101" s="9" t="s">
        <v>139</v>
      </c>
      <c r="I2101" s="9" t="s">
        <v>411</v>
      </c>
      <c r="J2101" s="9" t="s">
        <v>139</v>
      </c>
      <c r="K2101" s="10">
        <v>39718.547326388885</v>
      </c>
    </row>
    <row r="2102" spans="1:11" x14ac:dyDescent="0.25">
      <c r="A2102" s="8">
        <v>3269</v>
      </c>
      <c r="B2102" s="9" t="s">
        <v>6459</v>
      </c>
      <c r="C2102" s="9" t="s">
        <v>4375</v>
      </c>
      <c r="D2102" s="9" t="s">
        <v>139</v>
      </c>
      <c r="E2102" s="9" t="s">
        <v>4376</v>
      </c>
      <c r="F2102" s="9" t="s">
        <v>4377</v>
      </c>
      <c r="G2102" s="9" t="s">
        <v>142</v>
      </c>
      <c r="H2102" s="9" t="s">
        <v>139</v>
      </c>
      <c r="I2102" s="9" t="s">
        <v>411</v>
      </c>
      <c r="J2102" s="9" t="s">
        <v>139</v>
      </c>
      <c r="K2102" s="10">
        <v>39718.548368055555</v>
      </c>
    </row>
    <row r="2103" spans="1:11" x14ac:dyDescent="0.25">
      <c r="A2103" s="8">
        <v>3270</v>
      </c>
      <c r="B2103" s="9" t="s">
        <v>6460</v>
      </c>
      <c r="C2103" s="9" t="s">
        <v>4378</v>
      </c>
      <c r="D2103" s="9" t="s">
        <v>139</v>
      </c>
      <c r="E2103" s="9" t="s">
        <v>1274</v>
      </c>
      <c r="F2103" s="9" t="s">
        <v>4379</v>
      </c>
      <c r="G2103" s="9" t="s">
        <v>142</v>
      </c>
      <c r="H2103" s="9" t="s">
        <v>139</v>
      </c>
      <c r="I2103" s="9" t="s">
        <v>411</v>
      </c>
      <c r="J2103" s="9" t="s">
        <v>139</v>
      </c>
      <c r="K2103" s="10">
        <v>39718.54928240741</v>
      </c>
    </row>
    <row r="2104" spans="1:11" x14ac:dyDescent="0.25">
      <c r="A2104" s="8">
        <v>3271</v>
      </c>
      <c r="B2104" s="9" t="s">
        <v>6461</v>
      </c>
      <c r="C2104" s="9" t="s">
        <v>4380</v>
      </c>
      <c r="D2104" s="9" t="s">
        <v>139</v>
      </c>
      <c r="E2104" s="9" t="s">
        <v>4381</v>
      </c>
      <c r="F2104" s="9" t="s">
        <v>4382</v>
      </c>
      <c r="G2104" s="9" t="s">
        <v>142</v>
      </c>
      <c r="H2104" s="9" t="s">
        <v>139</v>
      </c>
      <c r="I2104" s="9" t="s">
        <v>411</v>
      </c>
      <c r="J2104" s="9" t="s">
        <v>139</v>
      </c>
      <c r="K2104" s="10">
        <v>39718.550034722219</v>
      </c>
    </row>
    <row r="2105" spans="1:11" x14ac:dyDescent="0.25">
      <c r="A2105" s="8">
        <v>3272</v>
      </c>
      <c r="B2105" s="9" t="s">
        <v>6462</v>
      </c>
      <c r="C2105" s="9" t="s">
        <v>4383</v>
      </c>
      <c r="D2105" s="9" t="s">
        <v>139</v>
      </c>
      <c r="E2105" s="9" t="s">
        <v>4384</v>
      </c>
      <c r="F2105" s="9" t="s">
        <v>4385</v>
      </c>
      <c r="G2105" s="9" t="s">
        <v>142</v>
      </c>
      <c r="H2105" s="9" t="s">
        <v>139</v>
      </c>
      <c r="I2105" s="9" t="s">
        <v>411</v>
      </c>
      <c r="J2105" s="9" t="s">
        <v>139</v>
      </c>
      <c r="K2105" s="10">
        <v>39718.550995370373</v>
      </c>
    </row>
    <row r="2106" spans="1:11" x14ac:dyDescent="0.25">
      <c r="A2106" s="8">
        <v>3273</v>
      </c>
      <c r="B2106" s="9" t="s">
        <v>6463</v>
      </c>
      <c r="C2106" s="9" t="s">
        <v>4386</v>
      </c>
      <c r="D2106" s="9" t="s">
        <v>139</v>
      </c>
      <c r="E2106" s="9" t="s">
        <v>775</v>
      </c>
      <c r="F2106" s="9" t="s">
        <v>776</v>
      </c>
      <c r="G2106" s="9" t="s">
        <v>142</v>
      </c>
      <c r="H2106" s="9" t="s">
        <v>139</v>
      </c>
      <c r="I2106" s="9" t="s">
        <v>411</v>
      </c>
      <c r="J2106" s="9" t="s">
        <v>139</v>
      </c>
      <c r="K2106" s="10">
        <v>39718.551874999997</v>
      </c>
    </row>
    <row r="2107" spans="1:11" x14ac:dyDescent="0.25">
      <c r="A2107" s="8">
        <v>3274</v>
      </c>
      <c r="B2107" s="9" t="s">
        <v>6464</v>
      </c>
      <c r="C2107" s="9" t="s">
        <v>4387</v>
      </c>
      <c r="D2107" s="9" t="s">
        <v>139</v>
      </c>
      <c r="E2107" s="9" t="s">
        <v>775</v>
      </c>
      <c r="F2107" s="9" t="s">
        <v>776</v>
      </c>
      <c r="G2107" s="9" t="s">
        <v>142</v>
      </c>
      <c r="H2107" s="9" t="s">
        <v>139</v>
      </c>
      <c r="I2107" s="9" t="s">
        <v>411</v>
      </c>
      <c r="J2107" s="9" t="s">
        <v>139</v>
      </c>
      <c r="K2107" s="10">
        <v>39718.552800925929</v>
      </c>
    </row>
    <row r="2108" spans="1:11" x14ac:dyDescent="0.25">
      <c r="A2108" s="8">
        <v>3276</v>
      </c>
      <c r="B2108" s="9" t="s">
        <v>6465</v>
      </c>
      <c r="C2108" s="9" t="s">
        <v>4388</v>
      </c>
      <c r="D2108" s="9" t="s">
        <v>139</v>
      </c>
      <c r="E2108" s="9" t="s">
        <v>1114</v>
      </c>
      <c r="F2108" s="9" t="s">
        <v>1115</v>
      </c>
      <c r="G2108" s="9" t="s">
        <v>142</v>
      </c>
      <c r="H2108" s="9" t="s">
        <v>139</v>
      </c>
      <c r="I2108" s="9" t="s">
        <v>411</v>
      </c>
      <c r="J2108" s="9" t="s">
        <v>139</v>
      </c>
      <c r="K2108" s="10">
        <v>39718.557233796295</v>
      </c>
    </row>
    <row r="2109" spans="1:11" x14ac:dyDescent="0.25">
      <c r="A2109" s="8">
        <v>3277</v>
      </c>
      <c r="B2109" s="9" t="s">
        <v>6466</v>
      </c>
      <c r="C2109" s="9" t="s">
        <v>4389</v>
      </c>
      <c r="D2109" s="9" t="s">
        <v>139</v>
      </c>
      <c r="E2109" s="9" t="s">
        <v>4390</v>
      </c>
      <c r="F2109" s="9" t="s">
        <v>4391</v>
      </c>
      <c r="G2109" s="9" t="s">
        <v>142</v>
      </c>
      <c r="H2109" s="9" t="s">
        <v>139</v>
      </c>
      <c r="I2109" s="9" t="s">
        <v>411</v>
      </c>
      <c r="J2109" s="9" t="s">
        <v>139</v>
      </c>
      <c r="K2109" s="10">
        <v>39718.597581018519</v>
      </c>
    </row>
    <row r="2110" spans="1:11" x14ac:dyDescent="0.25">
      <c r="A2110" s="8">
        <v>3278</v>
      </c>
      <c r="B2110" s="9" t="s">
        <v>6467</v>
      </c>
      <c r="C2110" s="9" t="s">
        <v>4392</v>
      </c>
      <c r="D2110" s="9" t="s">
        <v>139</v>
      </c>
      <c r="E2110" s="9" t="s">
        <v>4393</v>
      </c>
      <c r="F2110" s="9" t="s">
        <v>4394</v>
      </c>
      <c r="G2110" s="9" t="s">
        <v>142</v>
      </c>
      <c r="H2110" s="9" t="s">
        <v>139</v>
      </c>
      <c r="I2110" s="9" t="s">
        <v>411</v>
      </c>
      <c r="J2110" s="9" t="s">
        <v>139</v>
      </c>
      <c r="K2110" s="10">
        <v>39718.598287037035</v>
      </c>
    </row>
    <row r="2111" spans="1:11" x14ac:dyDescent="0.25">
      <c r="A2111" s="8">
        <v>3279</v>
      </c>
      <c r="B2111" s="9" t="s">
        <v>6468</v>
      </c>
      <c r="C2111" s="9" t="s">
        <v>4395</v>
      </c>
      <c r="D2111" s="9" t="s">
        <v>139</v>
      </c>
      <c r="E2111" s="9" t="s">
        <v>4396</v>
      </c>
      <c r="F2111" s="9" t="s">
        <v>4397</v>
      </c>
      <c r="G2111" s="9" t="s">
        <v>142</v>
      </c>
      <c r="H2111" s="9" t="s">
        <v>139</v>
      </c>
      <c r="I2111" s="9" t="s">
        <v>411</v>
      </c>
      <c r="J2111" s="9" t="s">
        <v>139</v>
      </c>
      <c r="K2111" s="10">
        <v>39718.599328703705</v>
      </c>
    </row>
    <row r="2112" spans="1:11" x14ac:dyDescent="0.25">
      <c r="A2112" s="8">
        <v>3280</v>
      </c>
      <c r="B2112" s="9" t="s">
        <v>6469</v>
      </c>
      <c r="C2112" s="9" t="s">
        <v>4398</v>
      </c>
      <c r="D2112" s="9" t="s">
        <v>139</v>
      </c>
      <c r="E2112" s="9" t="s">
        <v>4399</v>
      </c>
      <c r="F2112" s="9" t="s">
        <v>4400</v>
      </c>
      <c r="G2112" s="9" t="s">
        <v>142</v>
      </c>
      <c r="H2112" s="9" t="s">
        <v>139</v>
      </c>
      <c r="I2112" s="9" t="s">
        <v>411</v>
      </c>
      <c r="J2112" s="9" t="s">
        <v>139</v>
      </c>
      <c r="K2112" s="10">
        <v>39718.600393518522</v>
      </c>
    </row>
    <row r="2113" spans="1:11" x14ac:dyDescent="0.25">
      <c r="A2113" s="8">
        <v>3281</v>
      </c>
      <c r="B2113" s="9" t="s">
        <v>6470</v>
      </c>
      <c r="C2113" s="9" t="s">
        <v>4401</v>
      </c>
      <c r="D2113" s="9" t="s">
        <v>139</v>
      </c>
      <c r="E2113" s="9" t="s">
        <v>4402</v>
      </c>
      <c r="F2113" s="9" t="s">
        <v>4403</v>
      </c>
      <c r="G2113" s="9" t="s">
        <v>142</v>
      </c>
      <c r="H2113" s="9" t="s">
        <v>139</v>
      </c>
      <c r="I2113" s="9" t="s">
        <v>411</v>
      </c>
      <c r="J2113" s="9" t="s">
        <v>139</v>
      </c>
      <c r="K2113" s="10">
        <v>39718.601875</v>
      </c>
    </row>
    <row r="2114" spans="1:11" x14ac:dyDescent="0.25">
      <c r="A2114" s="8">
        <v>3282</v>
      </c>
      <c r="B2114" s="9" t="s">
        <v>6471</v>
      </c>
      <c r="C2114" s="9" t="s">
        <v>4404</v>
      </c>
      <c r="D2114" s="9" t="s">
        <v>139</v>
      </c>
      <c r="E2114" s="9" t="s">
        <v>4405</v>
      </c>
      <c r="F2114" s="9" t="s">
        <v>4406</v>
      </c>
      <c r="G2114" s="9" t="s">
        <v>142</v>
      </c>
      <c r="H2114" s="9" t="s">
        <v>139</v>
      </c>
      <c r="I2114" s="9" t="s">
        <v>411</v>
      </c>
      <c r="J2114" s="9" t="s">
        <v>139</v>
      </c>
      <c r="K2114" s="10">
        <v>39718.603252314817</v>
      </c>
    </row>
    <row r="2115" spans="1:11" x14ac:dyDescent="0.25">
      <c r="A2115" s="8">
        <v>3283</v>
      </c>
      <c r="B2115" s="9" t="s">
        <v>6472</v>
      </c>
      <c r="C2115" s="9" t="s">
        <v>4407</v>
      </c>
      <c r="D2115" s="9" t="s">
        <v>139</v>
      </c>
      <c r="E2115" s="9" t="s">
        <v>4408</v>
      </c>
      <c r="F2115" s="9" t="s">
        <v>4409</v>
      </c>
      <c r="G2115" s="9" t="s">
        <v>142</v>
      </c>
      <c r="H2115" s="9" t="s">
        <v>139</v>
      </c>
      <c r="I2115" s="9" t="s">
        <v>411</v>
      </c>
      <c r="J2115" s="9" t="s">
        <v>139</v>
      </c>
      <c r="K2115" s="10">
        <v>39718.604490740741</v>
      </c>
    </row>
    <row r="2116" spans="1:11" x14ac:dyDescent="0.25">
      <c r="A2116" s="8">
        <v>3284</v>
      </c>
      <c r="B2116" s="9" t="s">
        <v>6473</v>
      </c>
      <c r="C2116" s="9" t="s">
        <v>4410</v>
      </c>
      <c r="D2116" s="9" t="s">
        <v>139</v>
      </c>
      <c r="E2116" s="9" t="s">
        <v>1695</v>
      </c>
      <c r="F2116" s="9" t="s">
        <v>4411</v>
      </c>
      <c r="G2116" s="9" t="s">
        <v>142</v>
      </c>
      <c r="H2116" s="9" t="s">
        <v>139</v>
      </c>
      <c r="I2116" s="9" t="s">
        <v>411</v>
      </c>
      <c r="J2116" s="9" t="s">
        <v>139</v>
      </c>
      <c r="K2116" s="10">
        <v>39718.605624999997</v>
      </c>
    </row>
    <row r="2117" spans="1:11" x14ac:dyDescent="0.25">
      <c r="A2117" s="8">
        <v>3285</v>
      </c>
      <c r="B2117" s="9" t="s">
        <v>6474</v>
      </c>
      <c r="C2117" s="9" t="s">
        <v>4412</v>
      </c>
      <c r="D2117" s="9" t="s">
        <v>139</v>
      </c>
      <c r="E2117" s="9" t="s">
        <v>4413</v>
      </c>
      <c r="F2117" s="9" t="s">
        <v>4414</v>
      </c>
      <c r="G2117" s="9" t="s">
        <v>142</v>
      </c>
      <c r="H2117" s="9" t="s">
        <v>139</v>
      </c>
      <c r="I2117" s="9" t="s">
        <v>411</v>
      </c>
      <c r="J2117" s="9" t="s">
        <v>139</v>
      </c>
      <c r="K2117" s="10">
        <v>39718.606631944444</v>
      </c>
    </row>
    <row r="2118" spans="1:11" x14ac:dyDescent="0.25">
      <c r="A2118" s="8">
        <v>3286</v>
      </c>
      <c r="B2118" s="9" t="s">
        <v>6475</v>
      </c>
      <c r="C2118" s="9" t="s">
        <v>4415</v>
      </c>
      <c r="D2118" s="9" t="s">
        <v>139</v>
      </c>
      <c r="E2118" s="9" t="s">
        <v>3099</v>
      </c>
      <c r="F2118" s="9" t="s">
        <v>3100</v>
      </c>
      <c r="G2118" s="9" t="s">
        <v>142</v>
      </c>
      <c r="H2118" s="9" t="s">
        <v>139</v>
      </c>
      <c r="I2118" s="9" t="s">
        <v>411</v>
      </c>
      <c r="J2118" s="9" t="s">
        <v>139</v>
      </c>
      <c r="K2118" s="10">
        <v>39718.607523148145</v>
      </c>
    </row>
    <row r="2119" spans="1:11" x14ac:dyDescent="0.25">
      <c r="A2119" s="8">
        <v>3287</v>
      </c>
      <c r="B2119" s="9" t="s">
        <v>6476</v>
      </c>
      <c r="C2119" s="9" t="s">
        <v>4416</v>
      </c>
      <c r="D2119" s="9" t="s">
        <v>139</v>
      </c>
      <c r="E2119" s="9" t="s">
        <v>4417</v>
      </c>
      <c r="F2119" s="9" t="s">
        <v>4418</v>
      </c>
      <c r="G2119" s="9" t="s">
        <v>142</v>
      </c>
      <c r="H2119" s="9" t="s">
        <v>139</v>
      </c>
      <c r="I2119" s="9" t="s">
        <v>411</v>
      </c>
      <c r="J2119" s="9" t="s">
        <v>139</v>
      </c>
      <c r="K2119" s="10">
        <v>39718.609074074076</v>
      </c>
    </row>
    <row r="2120" spans="1:11" x14ac:dyDescent="0.25">
      <c r="A2120" s="8">
        <v>3288</v>
      </c>
      <c r="B2120" s="9" t="s">
        <v>6477</v>
      </c>
      <c r="C2120" s="9" t="s">
        <v>4419</v>
      </c>
      <c r="D2120" s="9" t="s">
        <v>139</v>
      </c>
      <c r="E2120" s="9" t="s">
        <v>2190</v>
      </c>
      <c r="F2120" s="9" t="s">
        <v>2191</v>
      </c>
      <c r="G2120" s="9" t="s">
        <v>142</v>
      </c>
      <c r="H2120" s="9" t="s">
        <v>139</v>
      </c>
      <c r="I2120" s="9" t="s">
        <v>411</v>
      </c>
      <c r="J2120" s="9" t="s">
        <v>139</v>
      </c>
      <c r="K2120" s="10">
        <v>39718.609953703701</v>
      </c>
    </row>
    <row r="2121" spans="1:11" x14ac:dyDescent="0.25">
      <c r="A2121" s="8">
        <v>3289</v>
      </c>
      <c r="B2121" s="9" t="s">
        <v>6478</v>
      </c>
      <c r="C2121" s="9" t="s">
        <v>4420</v>
      </c>
      <c r="D2121" s="9" t="s">
        <v>139</v>
      </c>
      <c r="E2121" s="9" t="s">
        <v>752</v>
      </c>
      <c r="F2121" s="9" t="s">
        <v>753</v>
      </c>
      <c r="G2121" s="9" t="s">
        <v>142</v>
      </c>
      <c r="H2121" s="9" t="s">
        <v>139</v>
      </c>
      <c r="I2121" s="9" t="s">
        <v>411</v>
      </c>
      <c r="J2121" s="9" t="s">
        <v>139</v>
      </c>
      <c r="K2121" s="10">
        <v>39718.610914351855</v>
      </c>
    </row>
    <row r="2122" spans="1:11" x14ac:dyDescent="0.25">
      <c r="A2122" s="8">
        <v>3290</v>
      </c>
      <c r="B2122" s="9" t="s">
        <v>6479</v>
      </c>
      <c r="C2122" s="9" t="s">
        <v>4421</v>
      </c>
      <c r="D2122" s="9" t="s">
        <v>139</v>
      </c>
      <c r="E2122" s="9" t="s">
        <v>4422</v>
      </c>
      <c r="F2122" s="9" t="s">
        <v>4423</v>
      </c>
      <c r="G2122" s="9" t="s">
        <v>142</v>
      </c>
      <c r="H2122" s="9" t="s">
        <v>139</v>
      </c>
      <c r="I2122" s="9" t="s">
        <v>411</v>
      </c>
      <c r="J2122" s="9" t="s">
        <v>4424</v>
      </c>
      <c r="K2122" s="10">
        <v>39718.612013888887</v>
      </c>
    </row>
    <row r="2123" spans="1:11" x14ac:dyDescent="0.25">
      <c r="A2123" s="8">
        <v>3291</v>
      </c>
      <c r="B2123" s="9" t="s">
        <v>6480</v>
      </c>
      <c r="C2123" s="9" t="s">
        <v>4425</v>
      </c>
      <c r="D2123" s="9" t="s">
        <v>139</v>
      </c>
      <c r="E2123" s="9" t="s">
        <v>4426</v>
      </c>
      <c r="F2123" s="9" t="s">
        <v>4427</v>
      </c>
      <c r="G2123" s="9" t="s">
        <v>142</v>
      </c>
      <c r="H2123" s="9" t="s">
        <v>139</v>
      </c>
      <c r="I2123" s="9" t="s">
        <v>411</v>
      </c>
      <c r="J2123" s="9" t="s">
        <v>139</v>
      </c>
      <c r="K2123" s="10">
        <v>39718.613009259258</v>
      </c>
    </row>
    <row r="2124" spans="1:11" x14ac:dyDescent="0.25">
      <c r="A2124" s="8">
        <v>3292</v>
      </c>
      <c r="B2124" s="9" t="s">
        <v>6481</v>
      </c>
      <c r="C2124" s="9" t="s">
        <v>4428</v>
      </c>
      <c r="D2124" s="9" t="s">
        <v>139</v>
      </c>
      <c r="E2124" s="9" t="s">
        <v>4429</v>
      </c>
      <c r="F2124" s="9" t="s">
        <v>4430</v>
      </c>
      <c r="G2124" s="9" t="s">
        <v>142</v>
      </c>
      <c r="H2124" s="9" t="s">
        <v>139</v>
      </c>
      <c r="I2124" s="9" t="s">
        <v>411</v>
      </c>
      <c r="J2124" s="9" t="s">
        <v>139</v>
      </c>
      <c r="K2124" s="10">
        <v>39718.614108796297</v>
      </c>
    </row>
    <row r="2125" spans="1:11" x14ac:dyDescent="0.25">
      <c r="A2125" s="8">
        <v>3293</v>
      </c>
      <c r="B2125" s="9" t="s">
        <v>6482</v>
      </c>
      <c r="C2125" s="9" t="s">
        <v>4431</v>
      </c>
      <c r="D2125" s="9" t="s">
        <v>139</v>
      </c>
      <c r="E2125" s="9" t="s">
        <v>4432</v>
      </c>
      <c r="F2125" s="9" t="s">
        <v>4433</v>
      </c>
      <c r="G2125" s="9" t="s">
        <v>142</v>
      </c>
      <c r="H2125" s="9" t="s">
        <v>139</v>
      </c>
      <c r="I2125" s="9" t="s">
        <v>411</v>
      </c>
      <c r="J2125" s="9" t="s">
        <v>139</v>
      </c>
      <c r="K2125" s="10">
        <v>39718.614965277775</v>
      </c>
    </row>
    <row r="2126" spans="1:11" x14ac:dyDescent="0.25">
      <c r="A2126" s="8">
        <v>3294</v>
      </c>
      <c r="B2126" s="9" t="s">
        <v>6483</v>
      </c>
      <c r="C2126" s="9" t="s">
        <v>4434</v>
      </c>
      <c r="D2126" s="9" t="s">
        <v>139</v>
      </c>
      <c r="E2126" s="9" t="s">
        <v>292</v>
      </c>
      <c r="F2126" s="9" t="s">
        <v>3164</v>
      </c>
      <c r="G2126" s="9" t="s">
        <v>142</v>
      </c>
      <c r="H2126" s="9" t="s">
        <v>139</v>
      </c>
      <c r="I2126" s="9" t="s">
        <v>411</v>
      </c>
      <c r="J2126" s="9" t="s">
        <v>139</v>
      </c>
      <c r="K2126" s="10">
        <v>39718.615868055553</v>
      </c>
    </row>
    <row r="2127" spans="1:11" x14ac:dyDescent="0.25">
      <c r="A2127" s="8">
        <v>3295</v>
      </c>
      <c r="B2127" s="9" t="s">
        <v>6484</v>
      </c>
      <c r="C2127" s="9" t="s">
        <v>4435</v>
      </c>
      <c r="D2127" s="9" t="s">
        <v>139</v>
      </c>
      <c r="E2127" s="9" t="s">
        <v>1508</v>
      </c>
      <c r="F2127" s="9" t="s">
        <v>4436</v>
      </c>
      <c r="G2127" s="9" t="s">
        <v>142</v>
      </c>
      <c r="H2127" s="9" t="s">
        <v>139</v>
      </c>
      <c r="I2127" s="9" t="s">
        <v>411</v>
      </c>
      <c r="J2127" s="9" t="s">
        <v>139</v>
      </c>
      <c r="K2127" s="10">
        <v>39718.616828703707</v>
      </c>
    </row>
    <row r="2128" spans="1:11" x14ac:dyDescent="0.25">
      <c r="A2128" s="8">
        <v>3296</v>
      </c>
      <c r="B2128" s="9" t="s">
        <v>6485</v>
      </c>
      <c r="C2128" s="9" t="s">
        <v>4437</v>
      </c>
      <c r="D2128" s="9" t="s">
        <v>139</v>
      </c>
      <c r="E2128" s="9" t="s">
        <v>3091</v>
      </c>
      <c r="F2128" s="9" t="s">
        <v>4438</v>
      </c>
      <c r="G2128" s="9" t="s">
        <v>142</v>
      </c>
      <c r="H2128" s="9" t="s">
        <v>139</v>
      </c>
      <c r="I2128" s="9" t="s">
        <v>411</v>
      </c>
      <c r="J2128" s="9" t="s">
        <v>139</v>
      </c>
      <c r="K2128" s="10">
        <v>39718.617719907408</v>
      </c>
    </row>
    <row r="2129" spans="1:11" x14ac:dyDescent="0.25">
      <c r="A2129" s="8">
        <v>3297</v>
      </c>
      <c r="B2129" s="9" t="s">
        <v>6486</v>
      </c>
      <c r="C2129" s="9" t="s">
        <v>4439</v>
      </c>
      <c r="D2129" s="9" t="s">
        <v>139</v>
      </c>
      <c r="E2129" s="9" t="s">
        <v>4440</v>
      </c>
      <c r="F2129" s="9" t="s">
        <v>4441</v>
      </c>
      <c r="G2129" s="9" t="s">
        <v>142</v>
      </c>
      <c r="H2129" s="9" t="s">
        <v>139</v>
      </c>
      <c r="I2129" s="9" t="s">
        <v>411</v>
      </c>
      <c r="J2129" s="9" t="s">
        <v>139</v>
      </c>
      <c r="K2129" s="10">
        <v>39718.618773148148</v>
      </c>
    </row>
    <row r="2130" spans="1:11" x14ac:dyDescent="0.25">
      <c r="A2130" s="8">
        <v>3298</v>
      </c>
      <c r="B2130" s="9" t="s">
        <v>6487</v>
      </c>
      <c r="C2130" s="9" t="s">
        <v>4442</v>
      </c>
      <c r="D2130" s="9" t="s">
        <v>139</v>
      </c>
      <c r="E2130" s="9" t="s">
        <v>2485</v>
      </c>
      <c r="F2130" s="9" t="s">
        <v>2486</v>
      </c>
      <c r="G2130" s="9" t="s">
        <v>142</v>
      </c>
      <c r="H2130" s="9" t="s">
        <v>139</v>
      </c>
      <c r="I2130" s="9" t="s">
        <v>411</v>
      </c>
      <c r="J2130" s="9" t="s">
        <v>139</v>
      </c>
      <c r="K2130" s="10">
        <v>39718.61959490741</v>
      </c>
    </row>
    <row r="2131" spans="1:11" x14ac:dyDescent="0.25">
      <c r="A2131" s="8">
        <v>3299</v>
      </c>
      <c r="B2131" s="9" t="s">
        <v>6488</v>
      </c>
      <c r="C2131" s="9" t="s">
        <v>4443</v>
      </c>
      <c r="D2131" s="9" t="s">
        <v>139</v>
      </c>
      <c r="E2131" s="9" t="s">
        <v>4444</v>
      </c>
      <c r="F2131" s="9" t="s">
        <v>4445</v>
      </c>
      <c r="G2131" s="9" t="s">
        <v>142</v>
      </c>
      <c r="H2131" s="9" t="s">
        <v>139</v>
      </c>
      <c r="I2131" s="9" t="s">
        <v>411</v>
      </c>
      <c r="J2131" s="9" t="s">
        <v>139</v>
      </c>
      <c r="K2131" s="10">
        <v>39718.620405092595</v>
      </c>
    </row>
    <row r="2132" spans="1:11" x14ac:dyDescent="0.25">
      <c r="A2132" s="8">
        <v>3300</v>
      </c>
      <c r="B2132" s="9" t="s">
        <v>6489</v>
      </c>
      <c r="C2132" s="9" t="s">
        <v>4446</v>
      </c>
      <c r="D2132" s="9" t="s">
        <v>139</v>
      </c>
      <c r="E2132" s="9" t="s">
        <v>161</v>
      </c>
      <c r="F2132" s="9" t="s">
        <v>9304</v>
      </c>
      <c r="G2132" s="9" t="s">
        <v>142</v>
      </c>
      <c r="H2132" s="9" t="s">
        <v>139</v>
      </c>
      <c r="I2132" s="9" t="s">
        <v>411</v>
      </c>
      <c r="J2132" s="9" t="s">
        <v>139</v>
      </c>
      <c r="K2132" s="10">
        <v>39718.621203703704</v>
      </c>
    </row>
    <row r="2133" spans="1:11" x14ac:dyDescent="0.25">
      <c r="A2133" s="8">
        <v>3301</v>
      </c>
      <c r="B2133" s="9" t="s">
        <v>6490</v>
      </c>
      <c r="C2133" s="9" t="s">
        <v>4447</v>
      </c>
      <c r="D2133" s="9" t="s">
        <v>139</v>
      </c>
      <c r="E2133" s="9" t="s">
        <v>253</v>
      </c>
      <c r="F2133" s="9" t="s">
        <v>254</v>
      </c>
      <c r="G2133" s="9" t="s">
        <v>142</v>
      </c>
      <c r="H2133" s="9" t="s">
        <v>139</v>
      </c>
      <c r="I2133" s="9" t="s">
        <v>411</v>
      </c>
      <c r="J2133" s="9" t="s">
        <v>139</v>
      </c>
      <c r="K2133" s="10">
        <v>39718.622256944444</v>
      </c>
    </row>
    <row r="2134" spans="1:11" x14ac:dyDescent="0.25">
      <c r="A2134" s="8">
        <v>3302</v>
      </c>
      <c r="B2134" s="9" t="s">
        <v>6491</v>
      </c>
      <c r="C2134" s="9" t="s">
        <v>4448</v>
      </c>
      <c r="D2134" s="9" t="s">
        <v>139</v>
      </c>
      <c r="E2134" s="9" t="s">
        <v>194</v>
      </c>
      <c r="F2134" s="9" t="s">
        <v>195</v>
      </c>
      <c r="G2134" s="9" t="s">
        <v>142</v>
      </c>
      <c r="H2134" s="9" t="s">
        <v>139</v>
      </c>
      <c r="I2134" s="9" t="s">
        <v>411</v>
      </c>
      <c r="J2134" s="9" t="s">
        <v>139</v>
      </c>
      <c r="K2134" s="10">
        <v>39718.623113425929</v>
      </c>
    </row>
    <row r="2135" spans="1:11" x14ac:dyDescent="0.25">
      <c r="A2135" s="8">
        <v>3303</v>
      </c>
      <c r="B2135" s="9" t="s">
        <v>6492</v>
      </c>
      <c r="C2135" s="9" t="s">
        <v>4449</v>
      </c>
      <c r="D2135" s="9" t="s">
        <v>139</v>
      </c>
      <c r="E2135" s="9" t="s">
        <v>260</v>
      </c>
      <c r="F2135" s="9" t="s">
        <v>1944</v>
      </c>
      <c r="G2135" s="9" t="s">
        <v>142</v>
      </c>
      <c r="H2135" s="9" t="s">
        <v>139</v>
      </c>
      <c r="I2135" s="9" t="s">
        <v>411</v>
      </c>
      <c r="J2135" s="9" t="s">
        <v>139</v>
      </c>
      <c r="K2135" s="10">
        <v>39718.624050925922</v>
      </c>
    </row>
    <row r="2136" spans="1:11" x14ac:dyDescent="0.25">
      <c r="A2136" s="8">
        <v>3304</v>
      </c>
      <c r="B2136" s="9" t="s">
        <v>6493</v>
      </c>
      <c r="C2136" s="9" t="s">
        <v>4450</v>
      </c>
      <c r="D2136" s="9" t="s">
        <v>139</v>
      </c>
      <c r="E2136" s="9" t="s">
        <v>260</v>
      </c>
      <c r="F2136" s="9" t="s">
        <v>1944</v>
      </c>
      <c r="G2136" s="9" t="s">
        <v>142</v>
      </c>
      <c r="H2136" s="9" t="s">
        <v>139</v>
      </c>
      <c r="I2136" s="9" t="s">
        <v>411</v>
      </c>
      <c r="J2136" s="9" t="s">
        <v>139</v>
      </c>
      <c r="K2136" s="10">
        <v>39718.624930555554</v>
      </c>
    </row>
    <row r="2137" spans="1:11" x14ac:dyDescent="0.25">
      <c r="A2137" s="8">
        <v>3305</v>
      </c>
      <c r="B2137" s="9" t="s">
        <v>6494</v>
      </c>
      <c r="C2137" s="9" t="s">
        <v>4451</v>
      </c>
      <c r="D2137" s="9" t="s">
        <v>139</v>
      </c>
      <c r="E2137" s="9" t="s">
        <v>4452</v>
      </c>
      <c r="F2137" s="9" t="s">
        <v>4453</v>
      </c>
      <c r="G2137" s="9" t="s">
        <v>142</v>
      </c>
      <c r="H2137" s="9" t="s">
        <v>139</v>
      </c>
      <c r="I2137" s="9" t="s">
        <v>411</v>
      </c>
      <c r="J2137" s="9" t="s">
        <v>139</v>
      </c>
      <c r="K2137" s="10">
        <v>39718.625740740739</v>
      </c>
    </row>
    <row r="2138" spans="1:11" x14ac:dyDescent="0.25">
      <c r="A2138" s="8">
        <v>3306</v>
      </c>
      <c r="B2138" s="9" t="s">
        <v>6495</v>
      </c>
      <c r="C2138" s="9" t="s">
        <v>4454</v>
      </c>
      <c r="D2138" s="9" t="s">
        <v>139</v>
      </c>
      <c r="E2138" s="9" t="s">
        <v>4455</v>
      </c>
      <c r="F2138" s="9" t="s">
        <v>4453</v>
      </c>
      <c r="G2138" s="9" t="s">
        <v>142</v>
      </c>
      <c r="H2138" s="9" t="s">
        <v>139</v>
      </c>
      <c r="I2138" s="9" t="s">
        <v>411</v>
      </c>
      <c r="J2138" s="9" t="s">
        <v>139</v>
      </c>
      <c r="K2138" s="10">
        <v>39718.627314814818</v>
      </c>
    </row>
    <row r="2139" spans="1:11" x14ac:dyDescent="0.25">
      <c r="A2139" s="8">
        <v>3307</v>
      </c>
      <c r="B2139" s="9" t="s">
        <v>6496</v>
      </c>
      <c r="C2139" s="9" t="s">
        <v>4456</v>
      </c>
      <c r="D2139" s="9" t="s">
        <v>139</v>
      </c>
      <c r="E2139" s="9" t="s">
        <v>1422</v>
      </c>
      <c r="F2139" s="9" t="s">
        <v>4457</v>
      </c>
      <c r="G2139" s="9" t="s">
        <v>142</v>
      </c>
      <c r="H2139" s="9" t="s">
        <v>139</v>
      </c>
      <c r="I2139" s="9" t="s">
        <v>411</v>
      </c>
      <c r="J2139" s="9" t="s">
        <v>139</v>
      </c>
      <c r="K2139" s="10">
        <v>39718.628460648149</v>
      </c>
    </row>
    <row r="2140" spans="1:11" x14ac:dyDescent="0.25">
      <c r="A2140" s="8">
        <v>3308</v>
      </c>
      <c r="B2140" s="9" t="s">
        <v>6497</v>
      </c>
      <c r="C2140" s="9" t="s">
        <v>4458</v>
      </c>
      <c r="D2140" s="9" t="s">
        <v>139</v>
      </c>
      <c r="E2140" s="9" t="s">
        <v>4459</v>
      </c>
      <c r="F2140" s="9" t="s">
        <v>4460</v>
      </c>
      <c r="G2140" s="9" t="s">
        <v>142</v>
      </c>
      <c r="H2140" s="9" t="s">
        <v>139</v>
      </c>
      <c r="I2140" s="9" t="s">
        <v>411</v>
      </c>
      <c r="J2140" s="9" t="s">
        <v>139</v>
      </c>
      <c r="K2140" s="10">
        <v>39718.629513888889</v>
      </c>
    </row>
    <row r="2141" spans="1:11" x14ac:dyDescent="0.25">
      <c r="A2141" s="8">
        <v>3309</v>
      </c>
      <c r="B2141" s="9" t="s">
        <v>6498</v>
      </c>
      <c r="C2141" s="9" t="s">
        <v>4461</v>
      </c>
      <c r="D2141" s="9" t="s">
        <v>139</v>
      </c>
      <c r="E2141" s="9" t="s">
        <v>741</v>
      </c>
      <c r="F2141" s="9" t="s">
        <v>4462</v>
      </c>
      <c r="G2141" s="9" t="s">
        <v>142</v>
      </c>
      <c r="H2141" s="9" t="s">
        <v>139</v>
      </c>
      <c r="I2141" s="9" t="s">
        <v>411</v>
      </c>
      <c r="J2141" s="9" t="s">
        <v>139</v>
      </c>
      <c r="K2141" s="10">
        <v>39718.630277777775</v>
      </c>
    </row>
    <row r="2142" spans="1:11" x14ac:dyDescent="0.25">
      <c r="A2142" s="8">
        <v>3310</v>
      </c>
      <c r="B2142" s="9" t="s">
        <v>6499</v>
      </c>
      <c r="C2142" s="9" t="s">
        <v>4463</v>
      </c>
      <c r="D2142" s="9" t="s">
        <v>139</v>
      </c>
      <c r="E2142" s="9" t="s">
        <v>4464</v>
      </c>
      <c r="F2142" s="9" t="s">
        <v>4465</v>
      </c>
      <c r="G2142" s="9" t="s">
        <v>142</v>
      </c>
      <c r="H2142" s="9" t="s">
        <v>139</v>
      </c>
      <c r="I2142" s="9" t="s">
        <v>411</v>
      </c>
      <c r="J2142" s="9" t="s">
        <v>139</v>
      </c>
      <c r="K2142" s="10">
        <v>39718.631168981483</v>
      </c>
    </row>
    <row r="2143" spans="1:11" x14ac:dyDescent="0.25">
      <c r="A2143" s="8">
        <v>3311</v>
      </c>
      <c r="B2143" s="9" t="s">
        <v>6500</v>
      </c>
      <c r="C2143" s="9" t="s">
        <v>4466</v>
      </c>
      <c r="D2143" s="9" t="s">
        <v>139</v>
      </c>
      <c r="E2143" s="9" t="s">
        <v>310</v>
      </c>
      <c r="F2143" s="9" t="s">
        <v>3689</v>
      </c>
      <c r="G2143" s="9" t="s">
        <v>142</v>
      </c>
      <c r="H2143" s="9" t="s">
        <v>139</v>
      </c>
      <c r="I2143" s="9" t="s">
        <v>411</v>
      </c>
      <c r="J2143" s="9" t="s">
        <v>139</v>
      </c>
      <c r="K2143" s="10">
        <v>39718.632013888891</v>
      </c>
    </row>
    <row r="2144" spans="1:11" x14ac:dyDescent="0.25">
      <c r="A2144" s="8">
        <v>3312</v>
      </c>
      <c r="B2144" s="9" t="s">
        <v>6501</v>
      </c>
      <c r="C2144" s="9" t="s">
        <v>4467</v>
      </c>
      <c r="D2144" s="9" t="s">
        <v>139</v>
      </c>
      <c r="E2144" s="9" t="s">
        <v>4468</v>
      </c>
      <c r="F2144" s="9" t="s">
        <v>4469</v>
      </c>
      <c r="G2144" s="9" t="s">
        <v>142</v>
      </c>
      <c r="H2144" s="9" t="s">
        <v>139</v>
      </c>
      <c r="I2144" s="9" t="s">
        <v>411</v>
      </c>
      <c r="J2144" s="9" t="s">
        <v>139</v>
      </c>
      <c r="K2144" s="10">
        <v>39718.633344907408</v>
      </c>
    </row>
    <row r="2145" spans="1:11" x14ac:dyDescent="0.25">
      <c r="A2145" s="8">
        <v>3313</v>
      </c>
      <c r="B2145" s="9" t="s">
        <v>6502</v>
      </c>
      <c r="C2145" s="9" t="s">
        <v>4470</v>
      </c>
      <c r="D2145" s="9" t="s">
        <v>139</v>
      </c>
      <c r="E2145" s="9" t="s">
        <v>4471</v>
      </c>
      <c r="F2145" s="9" t="s">
        <v>3206</v>
      </c>
      <c r="G2145" s="9" t="s">
        <v>142</v>
      </c>
      <c r="H2145" s="9" t="s">
        <v>139</v>
      </c>
      <c r="I2145" s="9" t="s">
        <v>411</v>
      </c>
      <c r="J2145" s="9" t="s">
        <v>139</v>
      </c>
      <c r="K2145" s="10">
        <v>39718.634212962963</v>
      </c>
    </row>
    <row r="2146" spans="1:11" x14ac:dyDescent="0.25">
      <c r="A2146" s="8">
        <v>3314</v>
      </c>
      <c r="B2146" s="9" t="s">
        <v>6503</v>
      </c>
      <c r="C2146" s="9" t="s">
        <v>4472</v>
      </c>
      <c r="D2146" s="9" t="s">
        <v>139</v>
      </c>
      <c r="E2146" s="9" t="s">
        <v>4473</v>
      </c>
      <c r="F2146" s="9" t="s">
        <v>4474</v>
      </c>
      <c r="G2146" s="9" t="s">
        <v>142</v>
      </c>
      <c r="H2146" s="9" t="s">
        <v>139</v>
      </c>
      <c r="I2146" s="9" t="s">
        <v>411</v>
      </c>
      <c r="J2146" s="9" t="s">
        <v>139</v>
      </c>
      <c r="K2146" s="10">
        <v>39718.635300925926</v>
      </c>
    </row>
    <row r="2147" spans="1:11" x14ac:dyDescent="0.25">
      <c r="A2147" s="8">
        <v>3315</v>
      </c>
      <c r="B2147" s="9" t="s">
        <v>6504</v>
      </c>
      <c r="C2147" s="9" t="s">
        <v>4475</v>
      </c>
      <c r="D2147" s="9" t="s">
        <v>139</v>
      </c>
      <c r="E2147" s="9" t="s">
        <v>306</v>
      </c>
      <c r="F2147" s="9" t="s">
        <v>141</v>
      </c>
      <c r="G2147" s="9" t="s">
        <v>142</v>
      </c>
      <c r="H2147" s="9" t="s">
        <v>139</v>
      </c>
      <c r="I2147" s="9" t="s">
        <v>411</v>
      </c>
      <c r="J2147" s="9" t="s">
        <v>139</v>
      </c>
      <c r="K2147" s="10">
        <v>39718.636157407411</v>
      </c>
    </row>
    <row r="2148" spans="1:11" x14ac:dyDescent="0.25">
      <c r="A2148" s="8">
        <v>3316</v>
      </c>
      <c r="B2148" s="9" t="s">
        <v>6505</v>
      </c>
      <c r="C2148" s="9" t="s">
        <v>4476</v>
      </c>
      <c r="D2148" s="9" t="s">
        <v>139</v>
      </c>
      <c r="E2148" s="9" t="s">
        <v>149</v>
      </c>
      <c r="F2148" s="9" t="s">
        <v>141</v>
      </c>
      <c r="G2148" s="9" t="s">
        <v>142</v>
      </c>
      <c r="H2148" s="9" t="s">
        <v>139</v>
      </c>
      <c r="I2148" s="9" t="s">
        <v>411</v>
      </c>
      <c r="J2148" s="9" t="s">
        <v>139</v>
      </c>
      <c r="K2148" s="10">
        <v>39718.636944444443</v>
      </c>
    </row>
    <row r="2149" spans="1:11" x14ac:dyDescent="0.25">
      <c r="A2149" s="8">
        <v>3317</v>
      </c>
      <c r="B2149" s="9" t="s">
        <v>6506</v>
      </c>
      <c r="C2149" s="9" t="s">
        <v>4477</v>
      </c>
      <c r="D2149" s="9" t="s">
        <v>139</v>
      </c>
      <c r="E2149" s="9" t="s">
        <v>149</v>
      </c>
      <c r="F2149" s="9" t="s">
        <v>141</v>
      </c>
      <c r="G2149" s="9" t="s">
        <v>142</v>
      </c>
      <c r="H2149" s="9" t="s">
        <v>139</v>
      </c>
      <c r="I2149" s="9" t="s">
        <v>411</v>
      </c>
      <c r="J2149" s="9" t="s">
        <v>139</v>
      </c>
      <c r="K2149" s="10">
        <v>39718.637638888889</v>
      </c>
    </row>
    <row r="2150" spans="1:11" x14ac:dyDescent="0.25">
      <c r="A2150" s="8">
        <v>3318</v>
      </c>
      <c r="B2150" s="9" t="s">
        <v>6507</v>
      </c>
      <c r="C2150" s="9" t="s">
        <v>4478</v>
      </c>
      <c r="D2150" s="9" t="s">
        <v>139</v>
      </c>
      <c r="E2150" s="9" t="s">
        <v>202</v>
      </c>
      <c r="F2150" s="9" t="s">
        <v>141</v>
      </c>
      <c r="G2150" s="9" t="s">
        <v>142</v>
      </c>
      <c r="H2150" s="9" t="s">
        <v>139</v>
      </c>
      <c r="I2150" s="9" t="s">
        <v>411</v>
      </c>
      <c r="J2150" s="9" t="s">
        <v>139</v>
      </c>
      <c r="K2150" s="10">
        <v>39718.638518518521</v>
      </c>
    </row>
    <row r="2151" spans="1:11" x14ac:dyDescent="0.25">
      <c r="A2151" s="8">
        <v>3319</v>
      </c>
      <c r="B2151" s="9" t="s">
        <v>6508</v>
      </c>
      <c r="C2151" s="9" t="s">
        <v>4479</v>
      </c>
      <c r="D2151" s="9" t="s">
        <v>139</v>
      </c>
      <c r="E2151" s="9" t="s">
        <v>308</v>
      </c>
      <c r="F2151" s="9" t="s">
        <v>141</v>
      </c>
      <c r="G2151" s="9" t="s">
        <v>142</v>
      </c>
      <c r="H2151" s="9" t="s">
        <v>139</v>
      </c>
      <c r="I2151" s="9" t="s">
        <v>411</v>
      </c>
      <c r="J2151" s="9" t="s">
        <v>139</v>
      </c>
      <c r="K2151" s="10">
        <v>39718.639236111114</v>
      </c>
    </row>
    <row r="2152" spans="1:11" x14ac:dyDescent="0.25">
      <c r="A2152" s="8">
        <v>3320</v>
      </c>
      <c r="B2152" s="9" t="s">
        <v>6509</v>
      </c>
      <c r="C2152" s="9" t="s">
        <v>4480</v>
      </c>
      <c r="D2152" s="9" t="s">
        <v>139</v>
      </c>
      <c r="E2152" s="9" t="s">
        <v>263</v>
      </c>
      <c r="F2152" s="9" t="s">
        <v>141</v>
      </c>
      <c r="G2152" s="9" t="s">
        <v>142</v>
      </c>
      <c r="H2152" s="9" t="s">
        <v>139</v>
      </c>
      <c r="I2152" s="9" t="s">
        <v>411</v>
      </c>
      <c r="J2152" s="9" t="s">
        <v>139</v>
      </c>
      <c r="K2152" s="10">
        <v>39718.639849537038</v>
      </c>
    </row>
    <row r="2153" spans="1:11" x14ac:dyDescent="0.25">
      <c r="A2153" s="8">
        <v>3321</v>
      </c>
      <c r="B2153" s="9" t="s">
        <v>6510</v>
      </c>
      <c r="C2153" s="9" t="s">
        <v>4481</v>
      </c>
      <c r="D2153" s="9" t="s">
        <v>139</v>
      </c>
      <c r="E2153" s="9" t="s">
        <v>163</v>
      </c>
      <c r="F2153" s="9" t="s">
        <v>141</v>
      </c>
      <c r="G2153" s="9" t="s">
        <v>142</v>
      </c>
      <c r="H2153" s="9" t="s">
        <v>139</v>
      </c>
      <c r="I2153" s="9" t="s">
        <v>411</v>
      </c>
      <c r="J2153" s="9" t="s">
        <v>139</v>
      </c>
      <c r="K2153" s="10">
        <v>39718.640763888892</v>
      </c>
    </row>
    <row r="2154" spans="1:11" x14ac:dyDescent="0.25">
      <c r="A2154" s="8">
        <v>3322</v>
      </c>
      <c r="B2154" s="9" t="s">
        <v>6511</v>
      </c>
      <c r="C2154" s="9" t="s">
        <v>4482</v>
      </c>
      <c r="D2154" s="9" t="s">
        <v>139</v>
      </c>
      <c r="E2154" s="9" t="s">
        <v>163</v>
      </c>
      <c r="F2154" s="9" t="s">
        <v>141</v>
      </c>
      <c r="G2154" s="9" t="s">
        <v>142</v>
      </c>
      <c r="H2154" s="9" t="s">
        <v>139</v>
      </c>
      <c r="I2154" s="9" t="s">
        <v>411</v>
      </c>
      <c r="J2154" s="9" t="s">
        <v>139</v>
      </c>
      <c r="K2154" s="10">
        <v>39718.641851851855</v>
      </c>
    </row>
    <row r="2155" spans="1:11" x14ac:dyDescent="0.25">
      <c r="A2155" s="8">
        <v>3323</v>
      </c>
      <c r="B2155" s="9" t="s">
        <v>6512</v>
      </c>
      <c r="C2155" s="9" t="s">
        <v>4483</v>
      </c>
      <c r="D2155" s="9" t="s">
        <v>139</v>
      </c>
      <c r="E2155" s="9" t="s">
        <v>197</v>
      </c>
      <c r="F2155" s="9" t="s">
        <v>141</v>
      </c>
      <c r="G2155" s="9" t="s">
        <v>142</v>
      </c>
      <c r="H2155" s="9" t="s">
        <v>139</v>
      </c>
      <c r="I2155" s="9" t="s">
        <v>411</v>
      </c>
      <c r="J2155" s="9" t="s">
        <v>139</v>
      </c>
      <c r="K2155" s="10">
        <v>39718.643807870372</v>
      </c>
    </row>
    <row r="2156" spans="1:11" x14ac:dyDescent="0.25">
      <c r="A2156" s="8">
        <v>3324</v>
      </c>
      <c r="B2156" s="9" t="s">
        <v>6513</v>
      </c>
      <c r="C2156" s="9" t="s">
        <v>4484</v>
      </c>
      <c r="D2156" s="9" t="s">
        <v>139</v>
      </c>
      <c r="E2156" s="9" t="s">
        <v>263</v>
      </c>
      <c r="F2156" s="9" t="s">
        <v>141</v>
      </c>
      <c r="G2156" s="9" t="s">
        <v>142</v>
      </c>
      <c r="H2156" s="9" t="s">
        <v>139</v>
      </c>
      <c r="I2156" s="9" t="s">
        <v>411</v>
      </c>
      <c r="J2156" s="9" t="s">
        <v>139</v>
      </c>
      <c r="K2156" s="10">
        <v>39718.644618055558</v>
      </c>
    </row>
    <row r="2157" spans="1:11" x14ac:dyDescent="0.25">
      <c r="A2157" s="8">
        <v>3325</v>
      </c>
      <c r="B2157" s="9" t="s">
        <v>6514</v>
      </c>
      <c r="C2157" s="9" t="s">
        <v>4485</v>
      </c>
      <c r="D2157" s="9" t="s">
        <v>139</v>
      </c>
      <c r="E2157" s="9" t="s">
        <v>769</v>
      </c>
      <c r="F2157" s="9" t="s">
        <v>141</v>
      </c>
      <c r="G2157" s="9" t="s">
        <v>142</v>
      </c>
      <c r="H2157" s="9" t="s">
        <v>139</v>
      </c>
      <c r="I2157" s="9" t="s">
        <v>411</v>
      </c>
      <c r="J2157" s="9" t="s">
        <v>139</v>
      </c>
      <c r="K2157" s="10">
        <v>39718.645405092589</v>
      </c>
    </row>
    <row r="2158" spans="1:11" x14ac:dyDescent="0.25">
      <c r="A2158" s="8">
        <v>3326</v>
      </c>
      <c r="B2158" s="9" t="s">
        <v>6515</v>
      </c>
      <c r="C2158" s="9" t="s">
        <v>4486</v>
      </c>
      <c r="D2158" s="9" t="s">
        <v>139</v>
      </c>
      <c r="E2158" s="9" t="s">
        <v>4487</v>
      </c>
      <c r="F2158" s="9" t="s">
        <v>4489</v>
      </c>
      <c r="G2158" s="9" t="s">
        <v>142</v>
      </c>
      <c r="H2158" s="9" t="s">
        <v>139</v>
      </c>
      <c r="I2158" s="9" t="s">
        <v>411</v>
      </c>
      <c r="J2158" s="9" t="s">
        <v>139</v>
      </c>
      <c r="K2158" s="10">
        <v>39718.647280092591</v>
      </c>
    </row>
    <row r="2159" spans="1:11" x14ac:dyDescent="0.25">
      <c r="A2159" s="8">
        <v>3327</v>
      </c>
      <c r="B2159" s="9" t="s">
        <v>6516</v>
      </c>
      <c r="C2159" s="9" t="s">
        <v>4488</v>
      </c>
      <c r="D2159" s="9" t="s">
        <v>139</v>
      </c>
      <c r="E2159" s="9" t="s">
        <v>4487</v>
      </c>
      <c r="F2159" s="9" t="s">
        <v>4489</v>
      </c>
      <c r="G2159" s="9" t="s">
        <v>142</v>
      </c>
      <c r="H2159" s="9" t="s">
        <v>139</v>
      </c>
      <c r="I2159" s="9" t="s">
        <v>411</v>
      </c>
      <c r="J2159" s="9" t="s">
        <v>139</v>
      </c>
      <c r="K2159" s="10">
        <v>39718.648125</v>
      </c>
    </row>
    <row r="2160" spans="1:11" x14ac:dyDescent="0.25">
      <c r="A2160" s="8">
        <v>3328</v>
      </c>
      <c r="B2160" s="9" t="s">
        <v>6517</v>
      </c>
      <c r="C2160" s="9" t="s">
        <v>4490</v>
      </c>
      <c r="D2160" s="9" t="s">
        <v>139</v>
      </c>
      <c r="E2160" s="9" t="s">
        <v>4491</v>
      </c>
      <c r="F2160" s="9" t="s">
        <v>4492</v>
      </c>
      <c r="G2160" s="9" t="s">
        <v>142</v>
      </c>
      <c r="H2160" s="9" t="s">
        <v>139</v>
      </c>
      <c r="I2160" s="9" t="s">
        <v>411</v>
      </c>
      <c r="J2160" s="9" t="s">
        <v>139</v>
      </c>
      <c r="K2160" s="10">
        <v>39718.649027777778</v>
      </c>
    </row>
    <row r="2161" spans="1:11" x14ac:dyDescent="0.25">
      <c r="A2161" s="8">
        <v>3329</v>
      </c>
      <c r="B2161" s="9" t="s">
        <v>6518</v>
      </c>
      <c r="C2161" s="9" t="s">
        <v>4493</v>
      </c>
      <c r="D2161" s="9" t="s">
        <v>139</v>
      </c>
      <c r="E2161" s="9" t="s">
        <v>4494</v>
      </c>
      <c r="F2161" s="9" t="s">
        <v>4495</v>
      </c>
      <c r="G2161" s="9" t="s">
        <v>142</v>
      </c>
      <c r="H2161" s="9" t="s">
        <v>139</v>
      </c>
      <c r="I2161" s="9" t="s">
        <v>411</v>
      </c>
      <c r="J2161" s="9" t="s">
        <v>139</v>
      </c>
      <c r="K2161" s="10">
        <v>39718.649756944447</v>
      </c>
    </row>
    <row r="2162" spans="1:11" x14ac:dyDescent="0.25">
      <c r="A2162" s="8">
        <v>3330</v>
      </c>
      <c r="B2162" s="9" t="s">
        <v>6519</v>
      </c>
      <c r="C2162" s="9" t="s">
        <v>4496</v>
      </c>
      <c r="D2162" s="9" t="s">
        <v>139</v>
      </c>
      <c r="E2162" s="9" t="s">
        <v>1793</v>
      </c>
      <c r="F2162" s="9" t="s">
        <v>1794</v>
      </c>
      <c r="G2162" s="9" t="s">
        <v>142</v>
      </c>
      <c r="H2162" s="9" t="s">
        <v>139</v>
      </c>
      <c r="I2162" s="9" t="s">
        <v>411</v>
      </c>
      <c r="J2162" s="9" t="s">
        <v>139</v>
      </c>
      <c r="K2162" s="10">
        <v>39718.650763888887</v>
      </c>
    </row>
    <row r="2163" spans="1:11" x14ac:dyDescent="0.25">
      <c r="A2163" s="8">
        <v>3331</v>
      </c>
      <c r="B2163" s="9" t="s">
        <v>6520</v>
      </c>
      <c r="C2163" s="9" t="s">
        <v>4497</v>
      </c>
      <c r="D2163" s="9" t="s">
        <v>139</v>
      </c>
      <c r="E2163" s="9" t="s">
        <v>4498</v>
      </c>
      <c r="F2163" s="9" t="s">
        <v>4499</v>
      </c>
      <c r="G2163" s="9" t="s">
        <v>142</v>
      </c>
      <c r="H2163" s="9" t="s">
        <v>139</v>
      </c>
      <c r="I2163" s="9" t="s">
        <v>411</v>
      </c>
      <c r="J2163" s="9" t="s">
        <v>139</v>
      </c>
      <c r="K2163" s="10">
        <v>39718.651956018519</v>
      </c>
    </row>
    <row r="2164" spans="1:11" x14ac:dyDescent="0.25">
      <c r="A2164" s="8">
        <v>3332</v>
      </c>
      <c r="B2164" s="9" t="s">
        <v>6521</v>
      </c>
      <c r="C2164" s="9" t="s">
        <v>4500</v>
      </c>
      <c r="D2164" s="9" t="s">
        <v>139</v>
      </c>
      <c r="E2164" s="9" t="s">
        <v>2958</v>
      </c>
      <c r="F2164" s="9" t="s">
        <v>2959</v>
      </c>
      <c r="G2164" s="9" t="s">
        <v>142</v>
      </c>
      <c r="H2164" s="9" t="s">
        <v>139</v>
      </c>
      <c r="I2164" s="9" t="s">
        <v>411</v>
      </c>
      <c r="J2164" s="9" t="s">
        <v>139</v>
      </c>
      <c r="K2164" s="10">
        <v>39718.652708333335</v>
      </c>
    </row>
    <row r="2165" spans="1:11" x14ac:dyDescent="0.25">
      <c r="A2165" s="8">
        <v>3333</v>
      </c>
      <c r="B2165" s="9" t="s">
        <v>6522</v>
      </c>
      <c r="C2165" s="9" t="s">
        <v>4501</v>
      </c>
      <c r="D2165" s="9" t="s">
        <v>139</v>
      </c>
      <c r="E2165" s="9" t="s">
        <v>4502</v>
      </c>
      <c r="F2165" s="9" t="s">
        <v>4503</v>
      </c>
      <c r="G2165" s="9" t="s">
        <v>142</v>
      </c>
      <c r="H2165" s="9" t="s">
        <v>139</v>
      </c>
      <c r="I2165" s="9" t="s">
        <v>411</v>
      </c>
      <c r="J2165" s="9" t="s">
        <v>139</v>
      </c>
      <c r="K2165" s="10">
        <v>39718.65347222222</v>
      </c>
    </row>
    <row r="2166" spans="1:11" x14ac:dyDescent="0.25">
      <c r="A2166" s="8">
        <v>3334</v>
      </c>
      <c r="B2166" s="9" t="s">
        <v>6523</v>
      </c>
      <c r="C2166" s="9" t="s">
        <v>4504</v>
      </c>
      <c r="D2166" s="9" t="s">
        <v>139</v>
      </c>
      <c r="E2166" s="9" t="s">
        <v>2773</v>
      </c>
      <c r="F2166" s="9" t="s">
        <v>425</v>
      </c>
      <c r="G2166" s="9" t="s">
        <v>142</v>
      </c>
      <c r="H2166" s="9" t="s">
        <v>139</v>
      </c>
      <c r="I2166" s="9" t="s">
        <v>411</v>
      </c>
      <c r="J2166" s="9" t="s">
        <v>139</v>
      </c>
      <c r="K2166" s="10">
        <v>39718.654513888891</v>
      </c>
    </row>
    <row r="2167" spans="1:11" x14ac:dyDescent="0.25">
      <c r="A2167" s="8">
        <v>3335</v>
      </c>
      <c r="B2167" s="9" t="s">
        <v>6524</v>
      </c>
      <c r="C2167" s="9" t="s">
        <v>4505</v>
      </c>
      <c r="D2167" s="9" t="s">
        <v>139</v>
      </c>
      <c r="E2167" s="9" t="s">
        <v>3078</v>
      </c>
      <c r="F2167" s="9" t="s">
        <v>3611</v>
      </c>
      <c r="G2167" s="9" t="s">
        <v>142</v>
      </c>
      <c r="H2167" s="9" t="s">
        <v>139</v>
      </c>
      <c r="I2167" s="9" t="s">
        <v>411</v>
      </c>
      <c r="J2167" s="9" t="s">
        <v>139</v>
      </c>
      <c r="K2167" s="10">
        <v>39718.65519675926</v>
      </c>
    </row>
    <row r="2168" spans="1:11" x14ac:dyDescent="0.25">
      <c r="A2168" s="8">
        <v>3336</v>
      </c>
      <c r="B2168" s="9" t="s">
        <v>6525</v>
      </c>
      <c r="C2168" s="9" t="s">
        <v>4506</v>
      </c>
      <c r="D2168" s="9" t="s">
        <v>139</v>
      </c>
      <c r="E2168" s="9" t="s">
        <v>1643</v>
      </c>
      <c r="F2168" s="9" t="s">
        <v>1644</v>
      </c>
      <c r="G2168" s="9" t="s">
        <v>142</v>
      </c>
      <c r="H2168" s="9" t="s">
        <v>139</v>
      </c>
      <c r="I2168" s="9" t="s">
        <v>411</v>
      </c>
      <c r="J2168" s="9" t="s">
        <v>139</v>
      </c>
      <c r="K2168" s="10">
        <v>39718.656539351854</v>
      </c>
    </row>
    <row r="2169" spans="1:11" x14ac:dyDescent="0.25">
      <c r="A2169" s="8">
        <v>3337</v>
      </c>
      <c r="B2169" s="9" t="s">
        <v>6526</v>
      </c>
      <c r="C2169" s="9" t="s">
        <v>4507</v>
      </c>
      <c r="D2169" s="9" t="s">
        <v>139</v>
      </c>
      <c r="E2169" s="9" t="s">
        <v>4508</v>
      </c>
      <c r="F2169" s="9" t="s">
        <v>4509</v>
      </c>
      <c r="G2169" s="9" t="s">
        <v>142</v>
      </c>
      <c r="H2169" s="9" t="s">
        <v>139</v>
      </c>
      <c r="I2169" s="9" t="s">
        <v>411</v>
      </c>
      <c r="J2169" s="9" t="s">
        <v>139</v>
      </c>
      <c r="K2169" s="10">
        <v>39718.657569444447</v>
      </c>
    </row>
    <row r="2170" spans="1:11" x14ac:dyDescent="0.25">
      <c r="A2170" s="8">
        <v>3338</v>
      </c>
      <c r="B2170" s="9" t="s">
        <v>6527</v>
      </c>
      <c r="C2170" s="9" t="s">
        <v>4510</v>
      </c>
      <c r="D2170" s="9" t="s">
        <v>139</v>
      </c>
      <c r="E2170" s="9" t="s">
        <v>3071</v>
      </c>
      <c r="F2170" s="9" t="s">
        <v>3072</v>
      </c>
      <c r="G2170" s="9" t="s">
        <v>142</v>
      </c>
      <c r="H2170" s="9" t="s">
        <v>139</v>
      </c>
      <c r="I2170" s="9" t="s">
        <v>411</v>
      </c>
      <c r="J2170" s="9" t="s">
        <v>139</v>
      </c>
      <c r="K2170" s="10">
        <v>39718.658333333333</v>
      </c>
    </row>
    <row r="2171" spans="1:11" x14ac:dyDescent="0.25">
      <c r="A2171" s="8">
        <v>3339</v>
      </c>
      <c r="B2171" s="9" t="s">
        <v>6528</v>
      </c>
      <c r="C2171" s="9" t="s">
        <v>4511</v>
      </c>
      <c r="D2171" s="9" t="s">
        <v>139</v>
      </c>
      <c r="E2171" s="9" t="s">
        <v>4512</v>
      </c>
      <c r="F2171" s="9" t="s">
        <v>4513</v>
      </c>
      <c r="G2171" s="9" t="s">
        <v>142</v>
      </c>
      <c r="H2171" s="9" t="s">
        <v>139</v>
      </c>
      <c r="I2171" s="9" t="s">
        <v>411</v>
      </c>
      <c r="J2171" s="9" t="s">
        <v>139</v>
      </c>
      <c r="K2171" s="10">
        <v>39718.659282407411</v>
      </c>
    </row>
    <row r="2172" spans="1:11" x14ac:dyDescent="0.25">
      <c r="A2172" s="8">
        <v>3340</v>
      </c>
      <c r="B2172" s="9" t="s">
        <v>6529</v>
      </c>
      <c r="C2172" s="9" t="s">
        <v>4514</v>
      </c>
      <c r="D2172" s="9" t="s">
        <v>139</v>
      </c>
      <c r="E2172" s="9" t="s">
        <v>1280</v>
      </c>
      <c r="F2172" s="9" t="s">
        <v>4515</v>
      </c>
      <c r="G2172" s="9" t="s">
        <v>142</v>
      </c>
      <c r="H2172" s="9" t="s">
        <v>139</v>
      </c>
      <c r="I2172" s="9" t="s">
        <v>411</v>
      </c>
      <c r="J2172" s="9" t="s">
        <v>139</v>
      </c>
      <c r="K2172" s="10">
        <v>39718.663842592592</v>
      </c>
    </row>
    <row r="2173" spans="1:11" x14ac:dyDescent="0.25">
      <c r="A2173" s="8">
        <v>3341</v>
      </c>
      <c r="B2173" s="9" t="s">
        <v>6530</v>
      </c>
      <c r="C2173" s="9" t="s">
        <v>4516</v>
      </c>
      <c r="D2173" s="9" t="s">
        <v>139</v>
      </c>
      <c r="E2173" s="9" t="s">
        <v>4517</v>
      </c>
      <c r="F2173" s="9" t="s">
        <v>4518</v>
      </c>
      <c r="G2173" s="9" t="s">
        <v>142</v>
      </c>
      <c r="H2173" s="9" t="s">
        <v>139</v>
      </c>
      <c r="I2173" s="9" t="s">
        <v>411</v>
      </c>
      <c r="J2173" s="9" t="s">
        <v>139</v>
      </c>
      <c r="K2173" s="10">
        <v>39718.664699074077</v>
      </c>
    </row>
    <row r="2174" spans="1:11" x14ac:dyDescent="0.25">
      <c r="A2174" s="8">
        <v>3342</v>
      </c>
      <c r="B2174" s="9" t="s">
        <v>6531</v>
      </c>
      <c r="C2174" s="9" t="s">
        <v>4519</v>
      </c>
      <c r="D2174" s="9" t="s">
        <v>139</v>
      </c>
      <c r="E2174" s="9" t="s">
        <v>2901</v>
      </c>
      <c r="F2174" s="9" t="s">
        <v>2902</v>
      </c>
      <c r="G2174" s="9" t="s">
        <v>142</v>
      </c>
      <c r="H2174" s="9" t="s">
        <v>139</v>
      </c>
      <c r="I2174" s="9" t="s">
        <v>411</v>
      </c>
      <c r="J2174" s="9" t="s">
        <v>139</v>
      </c>
      <c r="K2174" s="10">
        <v>39718.665393518517</v>
      </c>
    </row>
    <row r="2175" spans="1:11" x14ac:dyDescent="0.25">
      <c r="A2175" s="8">
        <v>3343</v>
      </c>
      <c r="B2175" s="9" t="s">
        <v>6532</v>
      </c>
      <c r="C2175" s="9" t="s">
        <v>4520</v>
      </c>
      <c r="D2175" s="9" t="s">
        <v>139</v>
      </c>
      <c r="E2175" s="9" t="s">
        <v>2901</v>
      </c>
      <c r="F2175" s="9" t="s">
        <v>2902</v>
      </c>
      <c r="G2175" s="9" t="s">
        <v>142</v>
      </c>
      <c r="H2175" s="9" t="s">
        <v>139</v>
      </c>
      <c r="I2175" s="9" t="s">
        <v>411</v>
      </c>
      <c r="J2175" s="9" t="s">
        <v>139</v>
      </c>
      <c r="K2175" s="10">
        <v>39718.666400462964</v>
      </c>
    </row>
    <row r="2176" spans="1:11" x14ac:dyDescent="0.25">
      <c r="A2176" s="8">
        <v>3344</v>
      </c>
      <c r="B2176" s="9" t="s">
        <v>6533</v>
      </c>
      <c r="C2176" s="9" t="s">
        <v>4521</v>
      </c>
      <c r="D2176" s="9" t="s">
        <v>139</v>
      </c>
      <c r="E2176" s="9" t="s">
        <v>4522</v>
      </c>
      <c r="F2176" s="9" t="s">
        <v>4523</v>
      </c>
      <c r="G2176" s="9" t="s">
        <v>142</v>
      </c>
      <c r="H2176" s="9" t="s">
        <v>139</v>
      </c>
      <c r="I2176" s="9" t="s">
        <v>411</v>
      </c>
      <c r="J2176" s="9" t="s">
        <v>139</v>
      </c>
      <c r="K2176" s="10">
        <v>39718.667175925926</v>
      </c>
    </row>
    <row r="2177" spans="1:11" x14ac:dyDescent="0.25">
      <c r="A2177" s="8">
        <v>3345</v>
      </c>
      <c r="B2177" s="9" t="s">
        <v>6534</v>
      </c>
      <c r="C2177" s="9" t="s">
        <v>4524</v>
      </c>
      <c r="D2177" s="9" t="s">
        <v>139</v>
      </c>
      <c r="E2177" s="9" t="s">
        <v>1682</v>
      </c>
      <c r="F2177" s="9" t="s">
        <v>1683</v>
      </c>
      <c r="G2177" s="9" t="s">
        <v>142</v>
      </c>
      <c r="H2177" s="9" t="s">
        <v>139</v>
      </c>
      <c r="I2177" s="9" t="s">
        <v>411</v>
      </c>
      <c r="J2177" s="9" t="s">
        <v>139</v>
      </c>
      <c r="K2177" s="10">
        <v>39718.668680555558</v>
      </c>
    </row>
    <row r="2178" spans="1:11" x14ac:dyDescent="0.25">
      <c r="A2178" s="8">
        <v>3346</v>
      </c>
      <c r="B2178" s="9" t="s">
        <v>6535</v>
      </c>
      <c r="C2178" s="9" t="s">
        <v>4525</v>
      </c>
      <c r="D2178" s="9" t="s">
        <v>139</v>
      </c>
      <c r="E2178" s="9" t="s">
        <v>1654</v>
      </c>
      <c r="F2178" s="9" t="s">
        <v>4526</v>
      </c>
      <c r="G2178" s="9" t="s">
        <v>142</v>
      </c>
      <c r="H2178" s="9" t="s">
        <v>139</v>
      </c>
      <c r="I2178" s="9" t="s">
        <v>411</v>
      </c>
      <c r="J2178" s="9" t="s">
        <v>139</v>
      </c>
      <c r="K2178" s="10">
        <v>39718.669479166667</v>
      </c>
    </row>
    <row r="2179" spans="1:11" x14ac:dyDescent="0.25">
      <c r="A2179" s="8">
        <v>3347</v>
      </c>
      <c r="B2179" s="9" t="s">
        <v>6536</v>
      </c>
      <c r="C2179" s="9" t="s">
        <v>4527</v>
      </c>
      <c r="D2179" s="9" t="s">
        <v>139</v>
      </c>
      <c r="E2179" s="9" t="s">
        <v>4502</v>
      </c>
      <c r="F2179" s="9" t="s">
        <v>4528</v>
      </c>
      <c r="G2179" s="9" t="s">
        <v>142</v>
      </c>
      <c r="H2179" s="9" t="s">
        <v>139</v>
      </c>
      <c r="I2179" s="9" t="s">
        <v>411</v>
      </c>
      <c r="J2179" s="9" t="s">
        <v>139</v>
      </c>
      <c r="K2179" s="10">
        <v>39718.67087962963</v>
      </c>
    </row>
    <row r="2180" spans="1:11" x14ac:dyDescent="0.25">
      <c r="A2180" s="8">
        <v>3348</v>
      </c>
      <c r="B2180" s="9" t="s">
        <v>6537</v>
      </c>
      <c r="C2180" s="9" t="s">
        <v>4529</v>
      </c>
      <c r="D2180" s="9" t="s">
        <v>139</v>
      </c>
      <c r="E2180" s="9" t="s">
        <v>1649</v>
      </c>
      <c r="F2180" s="9" t="s">
        <v>4530</v>
      </c>
      <c r="G2180" s="9" t="s">
        <v>142</v>
      </c>
      <c r="H2180" s="9" t="s">
        <v>139</v>
      </c>
      <c r="I2180" s="9" t="s">
        <v>411</v>
      </c>
      <c r="J2180" s="9" t="s">
        <v>139</v>
      </c>
      <c r="K2180" s="10">
        <v>39718.672037037039</v>
      </c>
    </row>
    <row r="2181" spans="1:11" x14ac:dyDescent="0.25">
      <c r="A2181" s="8">
        <v>3349</v>
      </c>
      <c r="B2181" s="9" t="s">
        <v>6538</v>
      </c>
      <c r="C2181" s="9" t="s">
        <v>4531</v>
      </c>
      <c r="D2181" s="9" t="s">
        <v>139</v>
      </c>
      <c r="E2181" s="9" t="s">
        <v>1661</v>
      </c>
      <c r="F2181" s="9" t="s">
        <v>4532</v>
      </c>
      <c r="G2181" s="9" t="s">
        <v>142</v>
      </c>
      <c r="H2181" s="9" t="s">
        <v>139</v>
      </c>
      <c r="I2181" s="9" t="s">
        <v>411</v>
      </c>
      <c r="J2181" s="9" t="s">
        <v>139</v>
      </c>
      <c r="K2181" s="10">
        <v>39718.673344907409</v>
      </c>
    </row>
    <row r="2182" spans="1:11" x14ac:dyDescent="0.25">
      <c r="A2182" s="8">
        <v>3350</v>
      </c>
      <c r="B2182" s="9" t="s">
        <v>6539</v>
      </c>
      <c r="C2182" s="9" t="s">
        <v>4533</v>
      </c>
      <c r="D2182" s="9" t="s">
        <v>139</v>
      </c>
      <c r="E2182" s="9" t="s">
        <v>4534</v>
      </c>
      <c r="F2182" s="9" t="s">
        <v>4535</v>
      </c>
      <c r="G2182" s="9" t="s">
        <v>142</v>
      </c>
      <c r="H2182" s="9" t="s">
        <v>139</v>
      </c>
      <c r="I2182" s="9" t="s">
        <v>411</v>
      </c>
      <c r="J2182" s="9" t="s">
        <v>139</v>
      </c>
      <c r="K2182" s="10">
        <v>39718.674201388887</v>
      </c>
    </row>
    <row r="2183" spans="1:11" x14ac:dyDescent="0.25">
      <c r="A2183" s="8">
        <v>3351</v>
      </c>
      <c r="B2183" s="9" t="s">
        <v>6540</v>
      </c>
      <c r="C2183" s="9" t="s">
        <v>4536</v>
      </c>
      <c r="D2183" s="9" t="s">
        <v>139</v>
      </c>
      <c r="E2183" s="9" t="s">
        <v>1280</v>
      </c>
      <c r="F2183" s="9" t="s">
        <v>1281</v>
      </c>
      <c r="G2183" s="9" t="s">
        <v>142</v>
      </c>
      <c r="H2183" s="9" t="s">
        <v>139</v>
      </c>
      <c r="I2183" s="9" t="s">
        <v>411</v>
      </c>
      <c r="J2183" s="9" t="s">
        <v>139</v>
      </c>
      <c r="K2183" s="10">
        <v>39718.675185185188</v>
      </c>
    </row>
    <row r="2184" spans="1:11" x14ac:dyDescent="0.25">
      <c r="A2184" s="8">
        <v>3352</v>
      </c>
      <c r="B2184" s="9" t="s">
        <v>6541</v>
      </c>
      <c r="C2184" s="9" t="s">
        <v>4537</v>
      </c>
      <c r="D2184" s="9" t="s">
        <v>139</v>
      </c>
      <c r="E2184" s="9" t="s">
        <v>4534</v>
      </c>
      <c r="F2184" s="9" t="s">
        <v>4538</v>
      </c>
      <c r="G2184" s="9" t="s">
        <v>142</v>
      </c>
      <c r="H2184" s="9" t="s">
        <v>139</v>
      </c>
      <c r="I2184" s="9" t="s">
        <v>411</v>
      </c>
      <c r="J2184" s="9" t="s">
        <v>139</v>
      </c>
      <c r="K2184" s="10">
        <v>39718.676145833335</v>
      </c>
    </row>
    <row r="2185" spans="1:11" x14ac:dyDescent="0.25">
      <c r="A2185" s="8">
        <v>3353</v>
      </c>
      <c r="B2185" s="9" t="s">
        <v>6542</v>
      </c>
      <c r="C2185" s="9" t="s">
        <v>4539</v>
      </c>
      <c r="D2185" s="9" t="s">
        <v>139</v>
      </c>
      <c r="E2185" s="9" t="s">
        <v>1654</v>
      </c>
      <c r="F2185" s="9" t="s">
        <v>4540</v>
      </c>
      <c r="G2185" s="9" t="s">
        <v>142</v>
      </c>
      <c r="H2185" s="9" t="s">
        <v>139</v>
      </c>
      <c r="I2185" s="9" t="s">
        <v>411</v>
      </c>
      <c r="J2185" s="9" t="s">
        <v>139</v>
      </c>
      <c r="K2185" s="10">
        <v>39718.676979166667</v>
      </c>
    </row>
    <row r="2186" spans="1:11" x14ac:dyDescent="0.25">
      <c r="A2186" s="8">
        <v>3354</v>
      </c>
      <c r="B2186" s="9" t="s">
        <v>6543</v>
      </c>
      <c r="C2186" s="9" t="s">
        <v>4541</v>
      </c>
      <c r="D2186" s="9" t="s">
        <v>139</v>
      </c>
      <c r="E2186" s="9" t="s">
        <v>1133</v>
      </c>
      <c r="F2186" s="9" t="s">
        <v>1134</v>
      </c>
      <c r="G2186" s="9" t="s">
        <v>142</v>
      </c>
      <c r="H2186" s="9" t="s">
        <v>139</v>
      </c>
      <c r="I2186" s="9" t="s">
        <v>411</v>
      </c>
      <c r="J2186" s="9" t="s">
        <v>139</v>
      </c>
      <c r="K2186" s="10">
        <v>39718.679131944446</v>
      </c>
    </row>
    <row r="2187" spans="1:11" x14ac:dyDescent="0.25">
      <c r="A2187" s="8">
        <v>3355</v>
      </c>
      <c r="B2187" s="9" t="s">
        <v>6544</v>
      </c>
      <c r="C2187" s="9" t="s">
        <v>4542</v>
      </c>
      <c r="D2187" s="9" t="s">
        <v>139</v>
      </c>
      <c r="E2187" s="9" t="s">
        <v>4543</v>
      </c>
      <c r="F2187" s="9" t="s">
        <v>1735</v>
      </c>
      <c r="G2187" s="9" t="s">
        <v>142</v>
      </c>
      <c r="H2187" s="9" t="s">
        <v>139</v>
      </c>
      <c r="I2187" s="9" t="s">
        <v>411</v>
      </c>
      <c r="J2187" s="9" t="s">
        <v>139</v>
      </c>
      <c r="K2187" s="10">
        <v>39718.680277777778</v>
      </c>
    </row>
    <row r="2188" spans="1:11" x14ac:dyDescent="0.25">
      <c r="A2188" s="8">
        <v>3356</v>
      </c>
      <c r="B2188" s="9" t="s">
        <v>6545</v>
      </c>
      <c r="C2188" s="9" t="s">
        <v>4544</v>
      </c>
      <c r="D2188" s="9" t="s">
        <v>139</v>
      </c>
      <c r="E2188" s="9" t="s">
        <v>3634</v>
      </c>
      <c r="F2188" s="9" t="s">
        <v>3635</v>
      </c>
      <c r="G2188" s="9" t="s">
        <v>142</v>
      </c>
      <c r="H2188" s="9" t="s">
        <v>139</v>
      </c>
      <c r="I2188" s="9" t="s">
        <v>411</v>
      </c>
      <c r="J2188" s="9" t="s">
        <v>139</v>
      </c>
      <c r="K2188" s="10">
        <v>39718.681192129632</v>
      </c>
    </row>
    <row r="2189" spans="1:11" x14ac:dyDescent="0.25">
      <c r="A2189" s="8">
        <v>3357</v>
      </c>
      <c r="B2189" s="9" t="s">
        <v>6546</v>
      </c>
      <c r="C2189" s="9" t="s">
        <v>4545</v>
      </c>
      <c r="D2189" s="9" t="s">
        <v>139</v>
      </c>
      <c r="E2189" s="9" t="s">
        <v>4546</v>
      </c>
      <c r="F2189" s="9" t="s">
        <v>4547</v>
      </c>
      <c r="G2189" s="9" t="s">
        <v>142</v>
      </c>
      <c r="H2189" s="9" t="s">
        <v>139</v>
      </c>
      <c r="I2189" s="9" t="s">
        <v>411</v>
      </c>
      <c r="J2189" s="9" t="s">
        <v>139</v>
      </c>
      <c r="K2189" s="10">
        <v>39718.681886574072</v>
      </c>
    </row>
    <row r="2190" spans="1:11" x14ac:dyDescent="0.25">
      <c r="A2190" s="8">
        <v>3358</v>
      </c>
      <c r="B2190" s="9" t="s">
        <v>6547</v>
      </c>
      <c r="C2190" s="9" t="s">
        <v>4548</v>
      </c>
      <c r="D2190" s="9" t="s">
        <v>139</v>
      </c>
      <c r="E2190" s="9" t="s">
        <v>1886</v>
      </c>
      <c r="F2190" s="9" t="s">
        <v>1887</v>
      </c>
      <c r="G2190" s="9" t="s">
        <v>142</v>
      </c>
      <c r="H2190" s="9" t="s">
        <v>139</v>
      </c>
      <c r="I2190" s="9" t="s">
        <v>411</v>
      </c>
      <c r="J2190" s="9" t="s">
        <v>139</v>
      </c>
      <c r="K2190" s="10">
        <v>39718.683298611111</v>
      </c>
    </row>
    <row r="2191" spans="1:11" x14ac:dyDescent="0.25">
      <c r="A2191" s="8">
        <v>3359</v>
      </c>
      <c r="B2191" s="9" t="s">
        <v>6548</v>
      </c>
      <c r="C2191" s="9" t="s">
        <v>4549</v>
      </c>
      <c r="D2191" s="9" t="s">
        <v>139</v>
      </c>
      <c r="E2191" s="9" t="s">
        <v>4550</v>
      </c>
      <c r="F2191" s="9" t="s">
        <v>4551</v>
      </c>
      <c r="G2191" s="9" t="s">
        <v>142</v>
      </c>
      <c r="H2191" s="9" t="s">
        <v>139</v>
      </c>
      <c r="I2191" s="9" t="s">
        <v>411</v>
      </c>
      <c r="J2191" s="9" t="s">
        <v>139</v>
      </c>
      <c r="K2191" s="10">
        <v>39718.684016203704</v>
      </c>
    </row>
    <row r="2192" spans="1:11" x14ac:dyDescent="0.25">
      <c r="A2192" s="8">
        <v>3360</v>
      </c>
      <c r="B2192" s="9" t="s">
        <v>6549</v>
      </c>
      <c r="C2192" s="9" t="s">
        <v>4552</v>
      </c>
      <c r="D2192" s="9" t="s">
        <v>139</v>
      </c>
      <c r="E2192" s="9" t="s">
        <v>4553</v>
      </c>
      <c r="F2192" s="9" t="s">
        <v>4554</v>
      </c>
      <c r="G2192" s="9" t="s">
        <v>142</v>
      </c>
      <c r="H2192" s="9" t="s">
        <v>139</v>
      </c>
      <c r="I2192" s="9" t="s">
        <v>411</v>
      </c>
      <c r="J2192" s="9" t="s">
        <v>139</v>
      </c>
      <c r="K2192" s="10">
        <v>39718.684918981482</v>
      </c>
    </row>
    <row r="2193" spans="1:11" x14ac:dyDescent="0.25">
      <c r="A2193" s="8">
        <v>3361</v>
      </c>
      <c r="B2193" s="9" t="s">
        <v>6550</v>
      </c>
      <c r="C2193" s="9" t="s">
        <v>4555</v>
      </c>
      <c r="D2193" s="9" t="s">
        <v>139</v>
      </c>
      <c r="E2193" s="9" t="s">
        <v>4556</v>
      </c>
      <c r="F2193" s="9" t="s">
        <v>4557</v>
      </c>
      <c r="G2193" s="9" t="s">
        <v>142</v>
      </c>
      <c r="H2193" s="9" t="s">
        <v>139</v>
      </c>
      <c r="I2193" s="9" t="s">
        <v>411</v>
      </c>
      <c r="J2193" s="9" t="s">
        <v>139</v>
      </c>
      <c r="K2193" s="10">
        <v>39718.685694444444</v>
      </c>
    </row>
    <row r="2194" spans="1:11" x14ac:dyDescent="0.25">
      <c r="A2194" s="8">
        <v>3362</v>
      </c>
      <c r="B2194" s="9" t="s">
        <v>6551</v>
      </c>
      <c r="C2194" s="9" t="s">
        <v>4558</v>
      </c>
      <c r="D2194" s="9" t="s">
        <v>139</v>
      </c>
      <c r="E2194" s="9" t="s">
        <v>4556</v>
      </c>
      <c r="F2194" s="9" t="s">
        <v>4559</v>
      </c>
      <c r="G2194" s="9" t="s">
        <v>142</v>
      </c>
      <c r="H2194" s="9" t="s">
        <v>139</v>
      </c>
      <c r="I2194" s="9" t="s">
        <v>411</v>
      </c>
      <c r="J2194" s="9" t="s">
        <v>139</v>
      </c>
      <c r="K2194" s="10">
        <v>39718.686469907407</v>
      </c>
    </row>
    <row r="2195" spans="1:11" x14ac:dyDescent="0.25">
      <c r="A2195" s="8">
        <v>3363</v>
      </c>
      <c r="B2195" s="9" t="s">
        <v>6552</v>
      </c>
      <c r="C2195" s="9" t="s">
        <v>4560</v>
      </c>
      <c r="D2195" s="9" t="s">
        <v>139</v>
      </c>
      <c r="E2195" s="9" t="s">
        <v>4546</v>
      </c>
      <c r="F2195" s="9" t="s">
        <v>4561</v>
      </c>
      <c r="G2195" s="9" t="s">
        <v>142</v>
      </c>
      <c r="H2195" s="9" t="s">
        <v>139</v>
      </c>
      <c r="I2195" s="9" t="s">
        <v>411</v>
      </c>
      <c r="J2195" s="9" t="s">
        <v>139</v>
      </c>
      <c r="K2195" s="10">
        <v>39718.687256944446</v>
      </c>
    </row>
    <row r="2196" spans="1:11" x14ac:dyDescent="0.25">
      <c r="A2196" s="8">
        <v>3364</v>
      </c>
      <c r="B2196" s="9" t="s">
        <v>6553</v>
      </c>
      <c r="C2196" s="9" t="s">
        <v>4562</v>
      </c>
      <c r="D2196" s="9" t="s">
        <v>139</v>
      </c>
      <c r="E2196" s="9" t="s">
        <v>1666</v>
      </c>
      <c r="F2196" s="9" t="s">
        <v>1667</v>
      </c>
      <c r="G2196" s="9" t="s">
        <v>142</v>
      </c>
      <c r="H2196" s="9" t="s">
        <v>139</v>
      </c>
      <c r="I2196" s="9" t="s">
        <v>411</v>
      </c>
      <c r="J2196" s="9" t="s">
        <v>139</v>
      </c>
      <c r="K2196" s="10">
        <v>39718.68822916667</v>
      </c>
    </row>
    <row r="2197" spans="1:11" x14ac:dyDescent="0.25">
      <c r="A2197" s="8">
        <v>3365</v>
      </c>
      <c r="B2197" s="9" t="s">
        <v>6554</v>
      </c>
      <c r="C2197" s="9" t="s">
        <v>4563</v>
      </c>
      <c r="D2197" s="9" t="s">
        <v>139</v>
      </c>
      <c r="E2197" s="9" t="s">
        <v>2793</v>
      </c>
      <c r="F2197" s="9" t="s">
        <v>4564</v>
      </c>
      <c r="G2197" s="9" t="s">
        <v>142</v>
      </c>
      <c r="H2197" s="9" t="s">
        <v>139</v>
      </c>
      <c r="I2197" s="9" t="s">
        <v>411</v>
      </c>
      <c r="J2197" s="9" t="s">
        <v>139</v>
      </c>
      <c r="K2197" s="10">
        <v>39718.689166666663</v>
      </c>
    </row>
    <row r="2198" spans="1:11" x14ac:dyDescent="0.25">
      <c r="A2198" s="8">
        <v>3366</v>
      </c>
      <c r="B2198" s="9" t="s">
        <v>6555</v>
      </c>
      <c r="C2198" s="9" t="s">
        <v>4565</v>
      </c>
      <c r="D2198" s="9" t="s">
        <v>139</v>
      </c>
      <c r="E2198" s="9" t="s">
        <v>4566</v>
      </c>
      <c r="F2198" s="9" t="s">
        <v>4567</v>
      </c>
      <c r="G2198" s="9" t="s">
        <v>142</v>
      </c>
      <c r="H2198" s="9" t="s">
        <v>139</v>
      </c>
      <c r="I2198" s="9" t="s">
        <v>411</v>
      </c>
      <c r="J2198" s="9" t="s">
        <v>139</v>
      </c>
      <c r="K2198" s="10">
        <v>39718.690428240741</v>
      </c>
    </row>
    <row r="2199" spans="1:11" x14ac:dyDescent="0.25">
      <c r="A2199" s="8">
        <v>3367</v>
      </c>
      <c r="B2199" s="9" t="s">
        <v>6556</v>
      </c>
      <c r="C2199" s="9" t="s">
        <v>4568</v>
      </c>
      <c r="D2199" s="9" t="s">
        <v>139</v>
      </c>
      <c r="E2199" s="9" t="s">
        <v>957</v>
      </c>
      <c r="F2199" s="9" t="s">
        <v>4569</v>
      </c>
      <c r="G2199" s="9" t="s">
        <v>142</v>
      </c>
      <c r="H2199" s="9" t="s">
        <v>139</v>
      </c>
      <c r="I2199" s="9" t="s">
        <v>411</v>
      </c>
      <c r="J2199" s="9" t="s">
        <v>139</v>
      </c>
      <c r="K2199" s="10">
        <v>39718.691574074073</v>
      </c>
    </row>
    <row r="2200" spans="1:11" x14ac:dyDescent="0.25">
      <c r="A2200" s="8">
        <v>3368</v>
      </c>
      <c r="B2200" s="9" t="s">
        <v>6557</v>
      </c>
      <c r="C2200" s="9" t="s">
        <v>4570</v>
      </c>
      <c r="D2200" s="9" t="s">
        <v>139</v>
      </c>
      <c r="E2200" s="9" t="s">
        <v>4571</v>
      </c>
      <c r="F2200" s="9" t="s">
        <v>4572</v>
      </c>
      <c r="G2200" s="9" t="s">
        <v>142</v>
      </c>
      <c r="H2200" s="9" t="s">
        <v>139</v>
      </c>
      <c r="I2200" s="9" t="s">
        <v>411</v>
      </c>
      <c r="J2200" s="9" t="s">
        <v>139</v>
      </c>
      <c r="K2200" s="10">
        <v>39718.693055555559</v>
      </c>
    </row>
    <row r="2201" spans="1:11" x14ac:dyDescent="0.25">
      <c r="A2201" s="8">
        <v>3369</v>
      </c>
      <c r="B2201" s="9" t="s">
        <v>6558</v>
      </c>
      <c r="C2201" s="9" t="s">
        <v>4573</v>
      </c>
      <c r="D2201" s="9" t="s">
        <v>139</v>
      </c>
      <c r="E2201" s="9" t="s">
        <v>1670</v>
      </c>
      <c r="F2201" s="9" t="s">
        <v>3066</v>
      </c>
      <c r="G2201" s="9" t="s">
        <v>142</v>
      </c>
      <c r="H2201" s="9" t="s">
        <v>139</v>
      </c>
      <c r="I2201" s="9" t="s">
        <v>411</v>
      </c>
      <c r="J2201" s="9" t="s">
        <v>139</v>
      </c>
      <c r="K2201" s="10">
        <v>39718.693784722222</v>
      </c>
    </row>
    <row r="2202" spans="1:11" x14ac:dyDescent="0.25">
      <c r="A2202" s="8">
        <v>3370</v>
      </c>
      <c r="B2202" s="9" t="s">
        <v>6559</v>
      </c>
      <c r="C2202" s="9" t="s">
        <v>4574</v>
      </c>
      <c r="D2202" s="9" t="s">
        <v>139</v>
      </c>
      <c r="E2202" s="9" t="s">
        <v>4575</v>
      </c>
      <c r="F2202" s="9" t="s">
        <v>4576</v>
      </c>
      <c r="G2202" s="9" t="s">
        <v>142</v>
      </c>
      <c r="H2202" s="9" t="s">
        <v>139</v>
      </c>
      <c r="I2202" s="9" t="s">
        <v>411</v>
      </c>
      <c r="J2202" s="9" t="s">
        <v>139</v>
      </c>
      <c r="K2202" s="10">
        <v>39718.695590277777</v>
      </c>
    </row>
    <row r="2203" spans="1:11" x14ac:dyDescent="0.25">
      <c r="A2203" s="8">
        <v>3371</v>
      </c>
      <c r="B2203" s="9" t="s">
        <v>6560</v>
      </c>
      <c r="C2203" s="9" t="s">
        <v>4577</v>
      </c>
      <c r="D2203" s="9" t="s">
        <v>139</v>
      </c>
      <c r="E2203" s="9" t="s">
        <v>4578</v>
      </c>
      <c r="F2203" s="9" t="s">
        <v>4579</v>
      </c>
      <c r="G2203" s="9" t="s">
        <v>142</v>
      </c>
      <c r="H2203" s="9" t="s">
        <v>139</v>
      </c>
      <c r="I2203" s="9" t="s">
        <v>411</v>
      </c>
      <c r="J2203" s="9" t="s">
        <v>139</v>
      </c>
      <c r="K2203" s="10">
        <v>39718.697291666664</v>
      </c>
    </row>
    <row r="2204" spans="1:11" x14ac:dyDescent="0.25">
      <c r="A2204" s="8">
        <v>3372</v>
      </c>
      <c r="B2204" s="9" t="s">
        <v>6561</v>
      </c>
      <c r="C2204" s="9" t="s">
        <v>4580</v>
      </c>
      <c r="D2204" s="9" t="s">
        <v>139</v>
      </c>
      <c r="E2204" s="9" t="s">
        <v>4581</v>
      </c>
      <c r="F2204" s="9" t="s">
        <v>4582</v>
      </c>
      <c r="G2204" s="9" t="s">
        <v>142</v>
      </c>
      <c r="H2204" s="9" t="s">
        <v>139</v>
      </c>
      <c r="I2204" s="9" t="s">
        <v>411</v>
      </c>
      <c r="J2204" s="9" t="s">
        <v>139</v>
      </c>
      <c r="K2204" s="10">
        <v>39718.698472222219</v>
      </c>
    </row>
    <row r="2205" spans="1:11" x14ac:dyDescent="0.25">
      <c r="A2205" s="8">
        <v>3373</v>
      </c>
      <c r="B2205" s="9" t="s">
        <v>6562</v>
      </c>
      <c r="C2205" s="9" t="s">
        <v>4583</v>
      </c>
      <c r="D2205" s="9" t="s">
        <v>139</v>
      </c>
      <c r="E2205" s="9" t="s">
        <v>4584</v>
      </c>
      <c r="F2205" s="9" t="s">
        <v>4585</v>
      </c>
      <c r="G2205" s="9" t="s">
        <v>142</v>
      </c>
      <c r="H2205" s="9" t="s">
        <v>139</v>
      </c>
      <c r="I2205" s="9" t="s">
        <v>411</v>
      </c>
      <c r="J2205" s="9" t="s">
        <v>139</v>
      </c>
      <c r="K2205" s="10">
        <v>39718.699675925927</v>
      </c>
    </row>
    <row r="2206" spans="1:11" x14ac:dyDescent="0.25">
      <c r="A2206" s="8">
        <v>3374</v>
      </c>
      <c r="B2206" s="9" t="s">
        <v>6563</v>
      </c>
      <c r="C2206" s="9" t="s">
        <v>4586</v>
      </c>
      <c r="D2206" s="9" t="s">
        <v>139</v>
      </c>
      <c r="E2206" s="9" t="s">
        <v>4587</v>
      </c>
      <c r="F2206" s="9" t="s">
        <v>4588</v>
      </c>
      <c r="G2206" s="9" t="s">
        <v>142</v>
      </c>
      <c r="H2206" s="9" t="s">
        <v>139</v>
      </c>
      <c r="I2206" s="9" t="s">
        <v>411</v>
      </c>
      <c r="J2206" s="9" t="s">
        <v>139</v>
      </c>
      <c r="K2206" s="10">
        <v>39718.700520833336</v>
      </c>
    </row>
    <row r="2207" spans="1:11" x14ac:dyDescent="0.25">
      <c r="A2207" s="8">
        <v>3375</v>
      </c>
      <c r="B2207" s="9" t="s">
        <v>6564</v>
      </c>
      <c r="C2207" s="9" t="s">
        <v>4589</v>
      </c>
      <c r="D2207" s="9" t="s">
        <v>139</v>
      </c>
      <c r="E2207" s="9" t="s">
        <v>4590</v>
      </c>
      <c r="F2207" s="9" t="s">
        <v>4591</v>
      </c>
      <c r="G2207" s="9" t="s">
        <v>142</v>
      </c>
      <c r="H2207" s="9" t="s">
        <v>139</v>
      </c>
      <c r="I2207" s="9" t="s">
        <v>411</v>
      </c>
      <c r="J2207" s="9" t="s">
        <v>139</v>
      </c>
      <c r="K2207" s="10">
        <v>39718.701377314814</v>
      </c>
    </row>
    <row r="2208" spans="1:11" x14ac:dyDescent="0.25">
      <c r="A2208" s="8">
        <v>3376</v>
      </c>
      <c r="B2208" s="9" t="s">
        <v>6565</v>
      </c>
      <c r="C2208" s="9" t="s">
        <v>4592</v>
      </c>
      <c r="D2208" s="9" t="s">
        <v>139</v>
      </c>
      <c r="E2208" s="9" t="s">
        <v>3208</v>
      </c>
      <c r="F2208" s="9" t="s">
        <v>3209</v>
      </c>
      <c r="G2208" s="9" t="s">
        <v>142</v>
      </c>
      <c r="H2208" s="9" t="s">
        <v>139</v>
      </c>
      <c r="I2208" s="9" t="s">
        <v>411</v>
      </c>
      <c r="J2208" s="9" t="s">
        <v>139</v>
      </c>
      <c r="K2208" s="10">
        <v>39718.702118055553</v>
      </c>
    </row>
    <row r="2209" spans="1:11" x14ac:dyDescent="0.25">
      <c r="A2209" s="8">
        <v>3377</v>
      </c>
      <c r="B2209" s="9" t="s">
        <v>6566</v>
      </c>
      <c r="C2209" s="9" t="s">
        <v>4593</v>
      </c>
      <c r="D2209" s="9" t="s">
        <v>139</v>
      </c>
      <c r="E2209" s="9" t="s">
        <v>4594</v>
      </c>
      <c r="F2209" s="9" t="s">
        <v>4595</v>
      </c>
      <c r="G2209" s="9" t="s">
        <v>142</v>
      </c>
      <c r="H2209" s="9" t="s">
        <v>139</v>
      </c>
      <c r="I2209" s="9" t="s">
        <v>411</v>
      </c>
      <c r="J2209" s="9" t="s">
        <v>139</v>
      </c>
      <c r="K2209" s="10">
        <v>39718.702905092592</v>
      </c>
    </row>
    <row r="2210" spans="1:11" x14ac:dyDescent="0.25">
      <c r="A2210" s="8">
        <v>3378</v>
      </c>
      <c r="B2210" s="9" t="s">
        <v>6567</v>
      </c>
      <c r="C2210" s="9" t="s">
        <v>4596</v>
      </c>
      <c r="D2210" s="9" t="s">
        <v>139</v>
      </c>
      <c r="E2210" s="9" t="s">
        <v>4597</v>
      </c>
      <c r="F2210" s="9" t="s">
        <v>4598</v>
      </c>
      <c r="G2210" s="9" t="s">
        <v>142</v>
      </c>
      <c r="H2210" s="9" t="s">
        <v>139</v>
      </c>
      <c r="I2210" s="9" t="s">
        <v>411</v>
      </c>
      <c r="J2210" s="9" t="s">
        <v>139</v>
      </c>
      <c r="K2210" s="10">
        <v>39718.70385416667</v>
      </c>
    </row>
    <row r="2211" spans="1:11" x14ac:dyDescent="0.25">
      <c r="A2211" s="8">
        <v>3380</v>
      </c>
      <c r="B2211" s="9" t="s">
        <v>6568</v>
      </c>
      <c r="C2211" s="9" t="s">
        <v>4599</v>
      </c>
      <c r="D2211" s="9" t="s">
        <v>139</v>
      </c>
      <c r="E2211" s="9" t="s">
        <v>4600</v>
      </c>
      <c r="F2211" s="9" t="s">
        <v>4601</v>
      </c>
      <c r="G2211" s="9" t="s">
        <v>142</v>
      </c>
      <c r="H2211" s="9" t="s">
        <v>139</v>
      </c>
      <c r="I2211" s="9" t="s">
        <v>411</v>
      </c>
      <c r="J2211" s="9" t="s">
        <v>139</v>
      </c>
      <c r="K2211" s="10">
        <v>39718.705625000002</v>
      </c>
    </row>
    <row r="2212" spans="1:11" x14ac:dyDescent="0.25">
      <c r="A2212" s="8">
        <v>3381</v>
      </c>
      <c r="B2212" s="9" t="s">
        <v>6569</v>
      </c>
      <c r="C2212" s="9" t="s">
        <v>4602</v>
      </c>
      <c r="D2212" s="9" t="s">
        <v>139</v>
      </c>
      <c r="E2212" s="9" t="s">
        <v>340</v>
      </c>
      <c r="F2212" s="9" t="s">
        <v>341</v>
      </c>
      <c r="G2212" s="9" t="s">
        <v>142</v>
      </c>
      <c r="H2212" s="9" t="s">
        <v>139</v>
      </c>
      <c r="I2212" s="9" t="s">
        <v>411</v>
      </c>
      <c r="J2212" s="9" t="s">
        <v>139</v>
      </c>
      <c r="K2212" s="10">
        <v>39718.706608796296</v>
      </c>
    </row>
    <row r="2213" spans="1:11" x14ac:dyDescent="0.25">
      <c r="A2213" s="8">
        <v>3382</v>
      </c>
      <c r="B2213" s="9" t="s">
        <v>6570</v>
      </c>
      <c r="C2213" s="9" t="s">
        <v>4603</v>
      </c>
      <c r="D2213" s="9" t="s">
        <v>139</v>
      </c>
      <c r="E2213" s="9" t="s">
        <v>4587</v>
      </c>
      <c r="F2213" s="9" t="s">
        <v>4604</v>
      </c>
      <c r="G2213" s="9" t="s">
        <v>142</v>
      </c>
      <c r="H2213" s="9" t="s">
        <v>139</v>
      </c>
      <c r="I2213" s="9" t="s">
        <v>411</v>
      </c>
      <c r="J2213" s="9" t="s">
        <v>139</v>
      </c>
      <c r="K2213" s="10">
        <v>39718.707395833335</v>
      </c>
    </row>
    <row r="2214" spans="1:11" x14ac:dyDescent="0.25">
      <c r="A2214" s="8">
        <v>3383</v>
      </c>
      <c r="B2214" s="9" t="s">
        <v>6571</v>
      </c>
      <c r="C2214" s="9" t="s">
        <v>4605</v>
      </c>
      <c r="D2214" s="9" t="s">
        <v>139</v>
      </c>
      <c r="E2214" s="9" t="s">
        <v>4587</v>
      </c>
      <c r="F2214" s="9" t="s">
        <v>4604</v>
      </c>
      <c r="G2214" s="9" t="s">
        <v>142</v>
      </c>
      <c r="H2214" s="9" t="s">
        <v>139</v>
      </c>
      <c r="I2214" s="9" t="s">
        <v>411</v>
      </c>
      <c r="J2214" s="9" t="s">
        <v>139</v>
      </c>
      <c r="K2214" s="10">
        <v>39718.708136574074</v>
      </c>
    </row>
    <row r="2215" spans="1:11" x14ac:dyDescent="0.25">
      <c r="A2215" s="8">
        <v>3384</v>
      </c>
      <c r="B2215" s="9" t="s">
        <v>6572</v>
      </c>
      <c r="C2215" s="9" t="s">
        <v>4606</v>
      </c>
      <c r="D2215" s="9" t="s">
        <v>139</v>
      </c>
      <c r="E2215" s="9" t="s">
        <v>4607</v>
      </c>
      <c r="F2215" s="9" t="s">
        <v>4608</v>
      </c>
      <c r="G2215" s="9" t="s">
        <v>142</v>
      </c>
      <c r="H2215" s="9" t="s">
        <v>139</v>
      </c>
      <c r="I2215" s="9" t="s">
        <v>411</v>
      </c>
      <c r="J2215" s="9" t="s">
        <v>139</v>
      </c>
      <c r="K2215" s="10">
        <v>39718.708993055552</v>
      </c>
    </row>
    <row r="2216" spans="1:11" x14ac:dyDescent="0.25">
      <c r="A2216" s="8">
        <v>3385</v>
      </c>
      <c r="B2216" s="9" t="s">
        <v>6573</v>
      </c>
      <c r="C2216" s="9" t="s">
        <v>4609</v>
      </c>
      <c r="D2216" s="9" t="s">
        <v>139</v>
      </c>
      <c r="E2216" s="9" t="s">
        <v>4610</v>
      </c>
      <c r="F2216" s="9" t="s">
        <v>4611</v>
      </c>
      <c r="G2216" s="9" t="s">
        <v>142</v>
      </c>
      <c r="H2216" s="9" t="s">
        <v>139</v>
      </c>
      <c r="I2216" s="9" t="s">
        <v>411</v>
      </c>
      <c r="J2216" s="9" t="s">
        <v>139</v>
      </c>
      <c r="K2216" s="10">
        <v>39718.709664351853</v>
      </c>
    </row>
    <row r="2217" spans="1:11" x14ac:dyDescent="0.25">
      <c r="A2217" s="8">
        <v>3386</v>
      </c>
      <c r="B2217" s="9" t="s">
        <v>6574</v>
      </c>
      <c r="C2217" s="9" t="s">
        <v>4612</v>
      </c>
      <c r="D2217" s="9" t="s">
        <v>139</v>
      </c>
      <c r="E2217" s="9" t="s">
        <v>4613</v>
      </c>
      <c r="F2217" s="9" t="s">
        <v>4614</v>
      </c>
      <c r="G2217" s="9" t="s">
        <v>142</v>
      </c>
      <c r="H2217" s="9" t="s">
        <v>139</v>
      </c>
      <c r="I2217" s="9" t="s">
        <v>411</v>
      </c>
      <c r="J2217" s="9" t="s">
        <v>139</v>
      </c>
      <c r="K2217" s="10">
        <v>39718.710509259261</v>
      </c>
    </row>
    <row r="2218" spans="1:11" x14ac:dyDescent="0.25">
      <c r="A2218" s="8">
        <v>3387</v>
      </c>
      <c r="B2218" s="9" t="s">
        <v>6575</v>
      </c>
      <c r="C2218" s="9" t="s">
        <v>4615</v>
      </c>
      <c r="D2218" s="9" t="s">
        <v>139</v>
      </c>
      <c r="E2218" s="9" t="s">
        <v>4616</v>
      </c>
      <c r="F2218" s="9" t="s">
        <v>4617</v>
      </c>
      <c r="G2218" s="9" t="s">
        <v>142</v>
      </c>
      <c r="H2218" s="9" t="s">
        <v>139</v>
      </c>
      <c r="I2218" s="9" t="s">
        <v>411</v>
      </c>
      <c r="J2218" s="9" t="s">
        <v>139</v>
      </c>
      <c r="K2218" s="10">
        <v>39718.711157407408</v>
      </c>
    </row>
    <row r="2219" spans="1:11" x14ac:dyDescent="0.25">
      <c r="A2219" s="8">
        <v>3388</v>
      </c>
      <c r="B2219" s="9" t="s">
        <v>6576</v>
      </c>
      <c r="C2219" s="9" t="s">
        <v>4618</v>
      </c>
      <c r="D2219" s="9" t="s">
        <v>139</v>
      </c>
      <c r="E2219" s="9" t="s">
        <v>4616</v>
      </c>
      <c r="F2219" s="9" t="s">
        <v>4617</v>
      </c>
      <c r="G2219" s="9" t="s">
        <v>142</v>
      </c>
      <c r="H2219" s="9" t="s">
        <v>139</v>
      </c>
      <c r="I2219" s="9" t="s">
        <v>411</v>
      </c>
      <c r="J2219" s="9" t="s">
        <v>139</v>
      </c>
      <c r="K2219" s="10">
        <v>39718.712164351855</v>
      </c>
    </row>
    <row r="2220" spans="1:11" x14ac:dyDescent="0.25">
      <c r="A2220" s="8">
        <v>3389</v>
      </c>
      <c r="B2220" s="9" t="s">
        <v>6577</v>
      </c>
      <c r="C2220" s="9" t="s">
        <v>4619</v>
      </c>
      <c r="D2220" s="9" t="s">
        <v>139</v>
      </c>
      <c r="E2220" s="9" t="s">
        <v>4620</v>
      </c>
      <c r="F2220" s="9" t="s">
        <v>4621</v>
      </c>
      <c r="G2220" s="9" t="s">
        <v>142</v>
      </c>
      <c r="H2220" s="9" t="s">
        <v>139</v>
      </c>
      <c r="I2220" s="9" t="s">
        <v>411</v>
      </c>
      <c r="J2220" s="9" t="s">
        <v>139</v>
      </c>
      <c r="K2220" s="10">
        <v>39718.71361111111</v>
      </c>
    </row>
    <row r="2221" spans="1:11" x14ac:dyDescent="0.25">
      <c r="A2221" s="8">
        <v>3390</v>
      </c>
      <c r="B2221" s="9" t="s">
        <v>6578</v>
      </c>
      <c r="C2221" s="9" t="s">
        <v>4622</v>
      </c>
      <c r="D2221" s="9" t="s">
        <v>139</v>
      </c>
      <c r="E2221" s="9" t="s">
        <v>3059</v>
      </c>
      <c r="F2221" s="9" t="s">
        <v>3060</v>
      </c>
      <c r="G2221" s="9" t="s">
        <v>142</v>
      </c>
      <c r="H2221" s="9" t="s">
        <v>139</v>
      </c>
      <c r="I2221" s="9" t="s">
        <v>411</v>
      </c>
      <c r="J2221" s="9" t="s">
        <v>139</v>
      </c>
      <c r="K2221" s="10">
        <v>39718.714780092596</v>
      </c>
    </row>
    <row r="2222" spans="1:11" x14ac:dyDescent="0.25">
      <c r="A2222" s="8">
        <v>3391</v>
      </c>
      <c r="B2222" s="9" t="s">
        <v>6579</v>
      </c>
      <c r="C2222" s="9" t="s">
        <v>4623</v>
      </c>
      <c r="D2222" s="9" t="s">
        <v>139</v>
      </c>
      <c r="E2222" s="9" t="s">
        <v>982</v>
      </c>
      <c r="F2222" s="9" t="s">
        <v>983</v>
      </c>
      <c r="G2222" s="9" t="s">
        <v>142</v>
      </c>
      <c r="H2222" s="9" t="s">
        <v>139</v>
      </c>
      <c r="I2222" s="9" t="s">
        <v>411</v>
      </c>
      <c r="J2222" s="9" t="s">
        <v>139</v>
      </c>
      <c r="K2222" s="10">
        <v>39718.715543981481</v>
      </c>
    </row>
    <row r="2223" spans="1:11" x14ac:dyDescent="0.25">
      <c r="A2223" s="8">
        <v>3392</v>
      </c>
      <c r="B2223" s="9" t="s">
        <v>6580</v>
      </c>
      <c r="C2223" s="9" t="s">
        <v>4624</v>
      </c>
      <c r="D2223" s="9" t="s">
        <v>139</v>
      </c>
      <c r="E2223" s="9" t="s">
        <v>4625</v>
      </c>
      <c r="F2223" s="9" t="s">
        <v>4626</v>
      </c>
      <c r="G2223" s="9" t="s">
        <v>142</v>
      </c>
      <c r="H2223" s="9" t="s">
        <v>139</v>
      </c>
      <c r="I2223" s="9" t="s">
        <v>411</v>
      </c>
      <c r="J2223" s="9" t="s">
        <v>139</v>
      </c>
      <c r="K2223" s="10">
        <v>39718.716307870367</v>
      </c>
    </row>
    <row r="2224" spans="1:11" x14ac:dyDescent="0.25">
      <c r="A2224" s="8">
        <v>3393</v>
      </c>
      <c r="B2224" s="9" t="s">
        <v>6581</v>
      </c>
      <c r="C2224" s="9" t="s">
        <v>4627</v>
      </c>
      <c r="D2224" s="9" t="s">
        <v>139</v>
      </c>
      <c r="E2224" s="9" t="s">
        <v>4628</v>
      </c>
      <c r="F2224" s="9" t="s">
        <v>4629</v>
      </c>
      <c r="G2224" s="9" t="s">
        <v>142</v>
      </c>
      <c r="H2224" s="9" t="s">
        <v>139</v>
      </c>
      <c r="I2224" s="9" t="s">
        <v>411</v>
      </c>
      <c r="J2224" s="9" t="s">
        <v>139</v>
      </c>
      <c r="K2224" s="10">
        <v>39718.717395833337</v>
      </c>
    </row>
    <row r="2225" spans="1:11" x14ac:dyDescent="0.25">
      <c r="A2225" s="8">
        <v>3394</v>
      </c>
      <c r="B2225" s="9" t="s">
        <v>6582</v>
      </c>
      <c r="C2225" s="9" t="s">
        <v>4630</v>
      </c>
      <c r="D2225" s="9" t="s">
        <v>139</v>
      </c>
      <c r="E2225" s="9" t="s">
        <v>4631</v>
      </c>
      <c r="F2225" s="9" t="s">
        <v>4632</v>
      </c>
      <c r="G2225" s="9" t="s">
        <v>142</v>
      </c>
      <c r="H2225" s="9" t="s">
        <v>139</v>
      </c>
      <c r="I2225" s="9" t="s">
        <v>411</v>
      </c>
      <c r="J2225" s="9" t="s">
        <v>139</v>
      </c>
      <c r="K2225" s="10">
        <v>39718.718275462961</v>
      </c>
    </row>
    <row r="2226" spans="1:11" x14ac:dyDescent="0.25">
      <c r="A2226" s="8">
        <v>3395</v>
      </c>
      <c r="B2226" s="9" t="s">
        <v>6583</v>
      </c>
      <c r="C2226" s="9" t="s">
        <v>4633</v>
      </c>
      <c r="D2226" s="9" t="s">
        <v>139</v>
      </c>
      <c r="E2226" s="9" t="s">
        <v>4631</v>
      </c>
      <c r="F2226" s="9" t="s">
        <v>4632</v>
      </c>
      <c r="G2226" s="9" t="s">
        <v>142</v>
      </c>
      <c r="H2226" s="9" t="s">
        <v>139</v>
      </c>
      <c r="I2226" s="9" t="s">
        <v>411</v>
      </c>
      <c r="J2226" s="9" t="s">
        <v>139</v>
      </c>
      <c r="K2226" s="10">
        <v>39718.719027777777</v>
      </c>
    </row>
    <row r="2227" spans="1:11" x14ac:dyDescent="0.25">
      <c r="A2227" s="8">
        <v>3397</v>
      </c>
      <c r="B2227" s="9" t="s">
        <v>6584</v>
      </c>
      <c r="C2227" s="9" t="s">
        <v>4634</v>
      </c>
      <c r="D2227" s="9" t="s">
        <v>139</v>
      </c>
      <c r="E2227" s="9" t="s">
        <v>2983</v>
      </c>
      <c r="F2227" s="9" t="s">
        <v>4635</v>
      </c>
      <c r="G2227" s="9" t="s">
        <v>142</v>
      </c>
      <c r="H2227" s="9" t="s">
        <v>139</v>
      </c>
      <c r="I2227" s="9" t="s">
        <v>411</v>
      </c>
      <c r="J2227" s="9" t="s">
        <v>139</v>
      </c>
      <c r="K2227" s="10">
        <v>39718.721620370372</v>
      </c>
    </row>
    <row r="2228" spans="1:11" x14ac:dyDescent="0.25">
      <c r="A2228" s="8">
        <v>3398</v>
      </c>
      <c r="B2228" s="9" t="s">
        <v>6585</v>
      </c>
      <c r="C2228" s="9" t="s">
        <v>4636</v>
      </c>
      <c r="D2228" s="9" t="s">
        <v>139</v>
      </c>
      <c r="E2228" s="9" t="s">
        <v>4637</v>
      </c>
      <c r="F2228" s="9" t="s">
        <v>4638</v>
      </c>
      <c r="G2228" s="9" t="s">
        <v>142</v>
      </c>
      <c r="H2228" s="9" t="s">
        <v>139</v>
      </c>
      <c r="I2228" s="9" t="s">
        <v>411</v>
      </c>
      <c r="J2228" s="9" t="s">
        <v>139</v>
      </c>
      <c r="K2228" s="10">
        <v>39718.722777777781</v>
      </c>
    </row>
    <row r="2229" spans="1:11" x14ac:dyDescent="0.25">
      <c r="A2229" s="8">
        <v>3399</v>
      </c>
      <c r="B2229" s="9" t="s">
        <v>6586</v>
      </c>
      <c r="C2229" s="9" t="s">
        <v>4639</v>
      </c>
      <c r="D2229" s="9" t="s">
        <v>139</v>
      </c>
      <c r="E2229" s="9" t="s">
        <v>2980</v>
      </c>
      <c r="F2229" s="9" t="s">
        <v>2981</v>
      </c>
      <c r="G2229" s="9" t="s">
        <v>142</v>
      </c>
      <c r="H2229" s="9" t="s">
        <v>139</v>
      </c>
      <c r="I2229" s="9" t="s">
        <v>411</v>
      </c>
      <c r="J2229" s="9" t="s">
        <v>139</v>
      </c>
      <c r="K2229" s="10">
        <v>39718.724745370368</v>
      </c>
    </row>
    <row r="2230" spans="1:11" x14ac:dyDescent="0.25">
      <c r="A2230" s="8">
        <v>3400</v>
      </c>
      <c r="B2230" s="9" t="s">
        <v>6587</v>
      </c>
      <c r="C2230" s="9" t="s">
        <v>4640</v>
      </c>
      <c r="D2230" s="9" t="s">
        <v>139</v>
      </c>
      <c r="E2230" s="9" t="s">
        <v>4641</v>
      </c>
      <c r="F2230" s="9" t="s">
        <v>4642</v>
      </c>
      <c r="G2230" s="9" t="s">
        <v>142</v>
      </c>
      <c r="H2230" s="9" t="s">
        <v>139</v>
      </c>
      <c r="I2230" s="9" t="s">
        <v>411</v>
      </c>
      <c r="J2230" s="9" t="s">
        <v>139</v>
      </c>
      <c r="K2230" s="10">
        <v>39718.725462962961</v>
      </c>
    </row>
    <row r="2231" spans="1:11" x14ac:dyDescent="0.25">
      <c r="A2231" s="8">
        <v>3401</v>
      </c>
      <c r="B2231" s="9" t="s">
        <v>6588</v>
      </c>
      <c r="C2231" s="9" t="s">
        <v>4643</v>
      </c>
      <c r="D2231" s="9" t="s">
        <v>139</v>
      </c>
      <c r="E2231" s="9" t="s">
        <v>2983</v>
      </c>
      <c r="F2231" s="9" t="s">
        <v>4644</v>
      </c>
      <c r="G2231" s="9" t="s">
        <v>142</v>
      </c>
      <c r="H2231" s="9" t="s">
        <v>139</v>
      </c>
      <c r="I2231" s="9" t="s">
        <v>411</v>
      </c>
      <c r="J2231" s="9" t="s">
        <v>139</v>
      </c>
      <c r="K2231" s="10">
        <v>39718.726342592592</v>
      </c>
    </row>
    <row r="2232" spans="1:11" x14ac:dyDescent="0.25">
      <c r="A2232" s="8">
        <v>3402</v>
      </c>
      <c r="B2232" s="9" t="s">
        <v>6589</v>
      </c>
      <c r="C2232" s="9" t="s">
        <v>4645</v>
      </c>
      <c r="D2232" s="9" t="s">
        <v>139</v>
      </c>
      <c r="E2232" s="9" t="s">
        <v>4646</v>
      </c>
      <c r="F2232" s="9" t="s">
        <v>4647</v>
      </c>
      <c r="G2232" s="9" t="s">
        <v>142</v>
      </c>
      <c r="H2232" s="9" t="s">
        <v>139</v>
      </c>
      <c r="I2232" s="9" t="s">
        <v>411</v>
      </c>
      <c r="J2232" s="9" t="s">
        <v>139</v>
      </c>
      <c r="K2232" s="10">
        <v>39718.727199074077</v>
      </c>
    </row>
    <row r="2233" spans="1:11" x14ac:dyDescent="0.25">
      <c r="A2233" s="8">
        <v>3403</v>
      </c>
      <c r="B2233" s="9" t="s">
        <v>6590</v>
      </c>
      <c r="C2233" s="9" t="s">
        <v>4648</v>
      </c>
      <c r="D2233" s="9" t="s">
        <v>139</v>
      </c>
      <c r="E2233" s="9" t="s">
        <v>4649</v>
      </c>
      <c r="F2233" s="9" t="s">
        <v>4650</v>
      </c>
      <c r="G2233" s="9" t="s">
        <v>142</v>
      </c>
      <c r="H2233" s="9" t="s">
        <v>139</v>
      </c>
      <c r="I2233" s="9" t="s">
        <v>411</v>
      </c>
      <c r="J2233" s="9" t="s">
        <v>139</v>
      </c>
      <c r="K2233" s="10">
        <v>39718.727905092594</v>
      </c>
    </row>
    <row r="2234" spans="1:11" x14ac:dyDescent="0.25">
      <c r="A2234" s="8">
        <v>3404</v>
      </c>
      <c r="B2234" s="9" t="s">
        <v>6591</v>
      </c>
      <c r="C2234" s="9" t="s">
        <v>4651</v>
      </c>
      <c r="D2234" s="9" t="s">
        <v>139</v>
      </c>
      <c r="E2234" s="9" t="s">
        <v>3218</v>
      </c>
      <c r="F2234" s="9" t="s">
        <v>3219</v>
      </c>
      <c r="G2234" s="9" t="s">
        <v>142</v>
      </c>
      <c r="H2234" s="9" t="s">
        <v>139</v>
      </c>
      <c r="I2234" s="9" t="s">
        <v>411</v>
      </c>
      <c r="J2234" s="9" t="s">
        <v>139</v>
      </c>
      <c r="K2234" s="10">
        <v>39718.728854166664</v>
      </c>
    </row>
    <row r="2235" spans="1:11" x14ac:dyDescent="0.25">
      <c r="A2235" s="8">
        <v>3405</v>
      </c>
      <c r="B2235" s="9" t="s">
        <v>6592</v>
      </c>
      <c r="C2235" s="9" t="s">
        <v>4652</v>
      </c>
      <c r="D2235" s="9" t="s">
        <v>139</v>
      </c>
      <c r="E2235" s="9" t="s">
        <v>2607</v>
      </c>
      <c r="F2235" s="9" t="s">
        <v>4653</v>
      </c>
      <c r="G2235" s="9" t="s">
        <v>142</v>
      </c>
      <c r="H2235" s="9" t="s">
        <v>139</v>
      </c>
      <c r="I2235" s="9" t="s">
        <v>411</v>
      </c>
      <c r="J2235" s="9" t="s">
        <v>139</v>
      </c>
      <c r="K2235" s="10">
        <v>39718.729594907411</v>
      </c>
    </row>
    <row r="2236" spans="1:11" x14ac:dyDescent="0.25">
      <c r="A2236" s="8">
        <v>3406</v>
      </c>
      <c r="B2236" s="9" t="s">
        <v>6593</v>
      </c>
      <c r="C2236" s="9" t="s">
        <v>4654</v>
      </c>
      <c r="D2236" s="9" t="s">
        <v>139</v>
      </c>
      <c r="E2236" s="9" t="s">
        <v>4655</v>
      </c>
      <c r="F2236" s="9" t="s">
        <v>4656</v>
      </c>
      <c r="G2236" s="9" t="s">
        <v>142</v>
      </c>
      <c r="H2236" s="9" t="s">
        <v>139</v>
      </c>
      <c r="I2236" s="9" t="s">
        <v>411</v>
      </c>
      <c r="J2236" s="9" t="s">
        <v>139</v>
      </c>
      <c r="K2236" s="10">
        <v>39718.73027777778</v>
      </c>
    </row>
    <row r="2237" spans="1:11" x14ac:dyDescent="0.25">
      <c r="A2237" s="8">
        <v>3407</v>
      </c>
      <c r="B2237" s="9" t="s">
        <v>6594</v>
      </c>
      <c r="C2237" s="9" t="s">
        <v>4657</v>
      </c>
      <c r="D2237" s="9" t="s">
        <v>139</v>
      </c>
      <c r="E2237" s="9" t="s">
        <v>1857</v>
      </c>
      <c r="F2237" s="9" t="s">
        <v>169</v>
      </c>
      <c r="G2237" s="9" t="s">
        <v>142</v>
      </c>
      <c r="H2237" s="9" t="s">
        <v>139</v>
      </c>
      <c r="I2237" s="9" t="s">
        <v>411</v>
      </c>
      <c r="J2237" s="9" t="s">
        <v>139</v>
      </c>
      <c r="K2237" s="10">
        <v>39718.731030092589</v>
      </c>
    </row>
    <row r="2238" spans="1:11" x14ac:dyDescent="0.25">
      <c r="A2238" s="8">
        <v>3408</v>
      </c>
      <c r="B2238" s="9" t="s">
        <v>6595</v>
      </c>
      <c r="C2238" s="9" t="s">
        <v>4658</v>
      </c>
      <c r="D2238" s="9" t="s">
        <v>139</v>
      </c>
      <c r="E2238" s="9" t="s">
        <v>1629</v>
      </c>
      <c r="F2238" s="9" t="s">
        <v>169</v>
      </c>
      <c r="G2238" s="9" t="s">
        <v>142</v>
      </c>
      <c r="H2238" s="9" t="s">
        <v>139</v>
      </c>
      <c r="I2238" s="9" t="s">
        <v>411</v>
      </c>
      <c r="J2238" s="9" t="s">
        <v>139</v>
      </c>
      <c r="K2238" s="10">
        <v>39718.731736111113</v>
      </c>
    </row>
    <row r="2239" spans="1:11" x14ac:dyDescent="0.25">
      <c r="A2239" s="8">
        <v>3409</v>
      </c>
      <c r="B2239" s="9" t="s">
        <v>6596</v>
      </c>
      <c r="C2239" s="9" t="s">
        <v>4659</v>
      </c>
      <c r="D2239" s="9" t="s">
        <v>139</v>
      </c>
      <c r="E2239" s="9" t="s">
        <v>637</v>
      </c>
      <c r="F2239" s="9" t="s">
        <v>169</v>
      </c>
      <c r="G2239" s="9" t="s">
        <v>142</v>
      </c>
      <c r="H2239" s="9" t="s">
        <v>139</v>
      </c>
      <c r="I2239" s="9" t="s">
        <v>411</v>
      </c>
      <c r="J2239" s="9" t="s">
        <v>139</v>
      </c>
      <c r="K2239" s="10">
        <v>39718.735254629632</v>
      </c>
    </row>
    <row r="2240" spans="1:11" x14ac:dyDescent="0.25">
      <c r="A2240" s="8">
        <v>3410</v>
      </c>
      <c r="B2240" s="9" t="s">
        <v>6597</v>
      </c>
      <c r="C2240" s="9" t="s">
        <v>4660</v>
      </c>
      <c r="D2240" s="9" t="s">
        <v>139</v>
      </c>
      <c r="E2240" s="9" t="s">
        <v>4661</v>
      </c>
      <c r="F2240" s="9" t="s">
        <v>4662</v>
      </c>
      <c r="G2240" s="9" t="s">
        <v>142</v>
      </c>
      <c r="H2240" s="9" t="s">
        <v>139</v>
      </c>
      <c r="I2240" s="9" t="s">
        <v>411</v>
      </c>
      <c r="J2240" s="9" t="s">
        <v>139</v>
      </c>
      <c r="K2240" s="10">
        <v>39718.735925925925</v>
      </c>
    </row>
    <row r="2241" spans="1:11" x14ac:dyDescent="0.25">
      <c r="A2241" s="8">
        <v>3411</v>
      </c>
      <c r="B2241" s="9" t="s">
        <v>6598</v>
      </c>
      <c r="C2241" s="9" t="s">
        <v>4663</v>
      </c>
      <c r="D2241" s="9" t="s">
        <v>139</v>
      </c>
      <c r="E2241" s="9" t="s">
        <v>397</v>
      </c>
      <c r="F2241" s="9" t="s">
        <v>4664</v>
      </c>
      <c r="G2241" s="9" t="s">
        <v>142</v>
      </c>
      <c r="H2241" s="9" t="s">
        <v>139</v>
      </c>
      <c r="I2241" s="9" t="s">
        <v>411</v>
      </c>
      <c r="J2241" s="9" t="s">
        <v>139</v>
      </c>
      <c r="K2241" s="10">
        <v>39718.736805555556</v>
      </c>
    </row>
    <row r="2242" spans="1:11" x14ac:dyDescent="0.25">
      <c r="A2242" s="8">
        <v>3412</v>
      </c>
      <c r="B2242" s="9" t="s">
        <v>6599</v>
      </c>
      <c r="C2242" s="9" t="s">
        <v>4665</v>
      </c>
      <c r="D2242" s="9" t="s">
        <v>139</v>
      </c>
      <c r="E2242" s="9" t="s">
        <v>931</v>
      </c>
      <c r="F2242" s="9" t="s">
        <v>4666</v>
      </c>
      <c r="G2242" s="9" t="s">
        <v>142</v>
      </c>
      <c r="H2242" s="9" t="s">
        <v>139</v>
      </c>
      <c r="I2242" s="9" t="s">
        <v>411</v>
      </c>
      <c r="J2242" s="9" t="s">
        <v>139</v>
      </c>
      <c r="K2242" s="10">
        <v>39718.737476851849</v>
      </c>
    </row>
    <row r="2243" spans="1:11" x14ac:dyDescent="0.25">
      <c r="A2243" s="8">
        <v>3413</v>
      </c>
      <c r="B2243" s="9" t="s">
        <v>6600</v>
      </c>
      <c r="C2243" s="9" t="s">
        <v>4667</v>
      </c>
      <c r="D2243" s="9" t="s">
        <v>139</v>
      </c>
      <c r="E2243" s="9" t="s">
        <v>4668</v>
      </c>
      <c r="F2243" s="9" t="s">
        <v>4669</v>
      </c>
      <c r="G2243" s="9" t="s">
        <v>142</v>
      </c>
      <c r="H2243" s="9" t="s">
        <v>139</v>
      </c>
      <c r="I2243" s="9" t="s">
        <v>411</v>
      </c>
      <c r="J2243" s="9" t="s">
        <v>139</v>
      </c>
      <c r="K2243" s="10">
        <v>39718.738333333335</v>
      </c>
    </row>
    <row r="2244" spans="1:11" x14ac:dyDescent="0.25">
      <c r="A2244" s="8">
        <v>3414</v>
      </c>
      <c r="B2244" s="9" t="s">
        <v>6601</v>
      </c>
      <c r="C2244" s="9" t="s">
        <v>4670</v>
      </c>
      <c r="D2244" s="9" t="s">
        <v>139</v>
      </c>
      <c r="E2244" s="9" t="s">
        <v>4671</v>
      </c>
      <c r="F2244" s="9" t="s">
        <v>4672</v>
      </c>
      <c r="G2244" s="9" t="s">
        <v>142</v>
      </c>
      <c r="H2244" s="9" t="s">
        <v>139</v>
      </c>
      <c r="I2244" s="9" t="s">
        <v>411</v>
      </c>
      <c r="J2244" s="9" t="s">
        <v>139</v>
      </c>
      <c r="K2244" s="10">
        <v>39718.739120370374</v>
      </c>
    </row>
    <row r="2245" spans="1:11" x14ac:dyDescent="0.25">
      <c r="A2245" s="8">
        <v>3415</v>
      </c>
      <c r="B2245" s="9" t="s">
        <v>6602</v>
      </c>
      <c r="C2245" s="9" t="s">
        <v>4673</v>
      </c>
      <c r="D2245" s="9" t="s">
        <v>139</v>
      </c>
      <c r="E2245" s="9" t="s">
        <v>4674</v>
      </c>
      <c r="F2245" s="9" t="s">
        <v>4675</v>
      </c>
      <c r="G2245" s="9" t="s">
        <v>142</v>
      </c>
      <c r="H2245" s="9" t="s">
        <v>139</v>
      </c>
      <c r="I2245" s="9" t="s">
        <v>411</v>
      </c>
      <c r="J2245" s="9" t="s">
        <v>139</v>
      </c>
      <c r="K2245" s="10">
        <v>39718.739953703705</v>
      </c>
    </row>
    <row r="2246" spans="1:11" x14ac:dyDescent="0.25">
      <c r="A2246" s="8">
        <v>3416</v>
      </c>
      <c r="B2246" s="9" t="s">
        <v>6603</v>
      </c>
      <c r="C2246" s="9" t="s">
        <v>4676</v>
      </c>
      <c r="D2246" s="9" t="s">
        <v>139</v>
      </c>
      <c r="E2246" s="9" t="s">
        <v>1678</v>
      </c>
      <c r="F2246" s="9" t="s">
        <v>1679</v>
      </c>
      <c r="G2246" s="9" t="s">
        <v>142</v>
      </c>
      <c r="H2246" s="9" t="s">
        <v>139</v>
      </c>
      <c r="I2246" s="9" t="s">
        <v>411</v>
      </c>
      <c r="J2246" s="9" t="s">
        <v>139</v>
      </c>
      <c r="K2246" s="10">
        <v>39721.534479166665</v>
      </c>
    </row>
    <row r="2247" spans="1:11" x14ac:dyDescent="0.25">
      <c r="A2247" s="8">
        <v>3417</v>
      </c>
      <c r="B2247" s="9" t="s">
        <v>6604</v>
      </c>
      <c r="C2247" s="9" t="s">
        <v>4677</v>
      </c>
      <c r="D2247" s="9" t="s">
        <v>139</v>
      </c>
      <c r="E2247" s="9" t="s">
        <v>4678</v>
      </c>
      <c r="F2247" s="9" t="s">
        <v>4679</v>
      </c>
      <c r="G2247" s="9" t="s">
        <v>142</v>
      </c>
      <c r="H2247" s="9" t="s">
        <v>139</v>
      </c>
      <c r="I2247" s="9" t="s">
        <v>411</v>
      </c>
      <c r="J2247" s="9" t="s">
        <v>139</v>
      </c>
      <c r="K2247" s="10">
        <v>39721.535578703704</v>
      </c>
    </row>
    <row r="2248" spans="1:11" x14ac:dyDescent="0.25">
      <c r="A2248" s="8">
        <v>3418</v>
      </c>
      <c r="B2248" s="9" t="s">
        <v>6605</v>
      </c>
      <c r="C2248" s="9" t="s">
        <v>4680</v>
      </c>
      <c r="D2248" s="9" t="s">
        <v>139</v>
      </c>
      <c r="E2248" s="9" t="s">
        <v>2970</v>
      </c>
      <c r="F2248" s="9" t="s">
        <v>2971</v>
      </c>
      <c r="G2248" s="9" t="s">
        <v>142</v>
      </c>
      <c r="H2248" s="9" t="s">
        <v>139</v>
      </c>
      <c r="I2248" s="9" t="s">
        <v>411</v>
      </c>
      <c r="J2248" s="9" t="s">
        <v>139</v>
      </c>
      <c r="K2248" s="10">
        <v>39721.536446759259</v>
      </c>
    </row>
    <row r="2249" spans="1:11" x14ac:dyDescent="0.25">
      <c r="A2249" s="8">
        <v>3419</v>
      </c>
      <c r="B2249" s="9" t="s">
        <v>6606</v>
      </c>
      <c r="C2249" s="9" t="s">
        <v>4681</v>
      </c>
      <c r="D2249" s="9" t="s">
        <v>139</v>
      </c>
      <c r="E2249" s="9" t="s">
        <v>2967</v>
      </c>
      <c r="F2249" s="9" t="s">
        <v>2968</v>
      </c>
      <c r="G2249" s="9" t="s">
        <v>142</v>
      </c>
      <c r="H2249" s="9" t="s">
        <v>139</v>
      </c>
      <c r="I2249" s="9" t="s">
        <v>411</v>
      </c>
      <c r="J2249" s="9" t="s">
        <v>139</v>
      </c>
      <c r="K2249" s="10">
        <v>39721.537280092591</v>
      </c>
    </row>
    <row r="2250" spans="1:11" x14ac:dyDescent="0.25">
      <c r="A2250" s="8">
        <v>3420</v>
      </c>
      <c r="B2250" s="9" t="s">
        <v>6607</v>
      </c>
      <c r="C2250" s="9" t="s">
        <v>4682</v>
      </c>
      <c r="D2250" s="9" t="s">
        <v>139</v>
      </c>
      <c r="E2250" s="9" t="s">
        <v>4683</v>
      </c>
      <c r="F2250" s="9" t="s">
        <v>4684</v>
      </c>
      <c r="G2250" s="9" t="s">
        <v>142</v>
      </c>
      <c r="H2250" s="9" t="s">
        <v>139</v>
      </c>
      <c r="I2250" s="9" t="s">
        <v>411</v>
      </c>
      <c r="J2250" s="9" t="s">
        <v>139</v>
      </c>
      <c r="K2250" s="10">
        <v>39721.538113425922</v>
      </c>
    </row>
    <row r="2251" spans="1:11" x14ac:dyDescent="0.25">
      <c r="A2251" s="8">
        <v>3421</v>
      </c>
      <c r="B2251" s="9" t="s">
        <v>6608</v>
      </c>
      <c r="C2251" s="9" t="s">
        <v>4685</v>
      </c>
      <c r="D2251" s="9" t="s">
        <v>139</v>
      </c>
      <c r="E2251" s="9" t="s">
        <v>4686</v>
      </c>
      <c r="F2251" s="9" t="s">
        <v>4687</v>
      </c>
      <c r="G2251" s="9" t="s">
        <v>142</v>
      </c>
      <c r="H2251" s="9" t="s">
        <v>139</v>
      </c>
      <c r="I2251" s="9" t="s">
        <v>411</v>
      </c>
      <c r="J2251" s="9" t="s">
        <v>139</v>
      </c>
      <c r="K2251" s="10">
        <v>39721.53943287037</v>
      </c>
    </row>
    <row r="2252" spans="1:11" x14ac:dyDescent="0.25">
      <c r="A2252" s="8">
        <v>3422</v>
      </c>
      <c r="B2252" s="9" t="s">
        <v>6609</v>
      </c>
      <c r="C2252" s="9" t="s">
        <v>4688</v>
      </c>
      <c r="D2252" s="9" t="s">
        <v>139</v>
      </c>
      <c r="E2252" s="9" t="s">
        <v>4689</v>
      </c>
      <c r="F2252" s="9" t="s">
        <v>4690</v>
      </c>
      <c r="G2252" s="9" t="s">
        <v>142</v>
      </c>
      <c r="H2252" s="9" t="s">
        <v>139</v>
      </c>
      <c r="I2252" s="9" t="s">
        <v>411</v>
      </c>
      <c r="J2252" s="9" t="s">
        <v>139</v>
      </c>
      <c r="K2252" s="10">
        <v>39721.540185185186</v>
      </c>
    </row>
    <row r="2253" spans="1:11" x14ac:dyDescent="0.25">
      <c r="A2253" s="8">
        <v>3423</v>
      </c>
      <c r="B2253" s="9" t="s">
        <v>6610</v>
      </c>
      <c r="C2253" s="9" t="s">
        <v>4691</v>
      </c>
      <c r="D2253" s="9" t="s">
        <v>139</v>
      </c>
      <c r="E2253" s="9" t="s">
        <v>4689</v>
      </c>
      <c r="F2253" s="9" t="s">
        <v>4690</v>
      </c>
      <c r="G2253" s="9" t="s">
        <v>142</v>
      </c>
      <c r="H2253" s="9" t="s">
        <v>139</v>
      </c>
      <c r="I2253" s="9" t="s">
        <v>411</v>
      </c>
      <c r="J2253" s="9" t="s">
        <v>139</v>
      </c>
      <c r="K2253" s="10">
        <v>39721.541064814817</v>
      </c>
    </row>
    <row r="2254" spans="1:11" x14ac:dyDescent="0.25">
      <c r="A2254" s="8">
        <v>3424</v>
      </c>
      <c r="B2254" s="9" t="s">
        <v>6611</v>
      </c>
      <c r="C2254" s="9" t="s">
        <v>4692</v>
      </c>
      <c r="D2254" s="9" t="s">
        <v>139</v>
      </c>
      <c r="E2254" s="9" t="s">
        <v>4693</v>
      </c>
      <c r="F2254" s="9" t="s">
        <v>4694</v>
      </c>
      <c r="G2254" s="9" t="s">
        <v>142</v>
      </c>
      <c r="H2254" s="9" t="s">
        <v>139</v>
      </c>
      <c r="I2254" s="9" t="s">
        <v>411</v>
      </c>
      <c r="J2254" s="9" t="s">
        <v>139</v>
      </c>
      <c r="K2254" s="10">
        <v>39721.541678240741</v>
      </c>
    </row>
    <row r="2255" spans="1:11" x14ac:dyDescent="0.25">
      <c r="A2255" s="8">
        <v>3425</v>
      </c>
      <c r="B2255" s="9" t="s">
        <v>6612</v>
      </c>
      <c r="C2255" s="9" t="s">
        <v>4695</v>
      </c>
      <c r="D2255" s="9" t="s">
        <v>139</v>
      </c>
      <c r="E2255" s="9" t="s">
        <v>4696</v>
      </c>
      <c r="F2255" s="9" t="s">
        <v>4697</v>
      </c>
      <c r="G2255" s="9" t="s">
        <v>142</v>
      </c>
      <c r="H2255" s="9" t="s">
        <v>139</v>
      </c>
      <c r="I2255" s="9" t="s">
        <v>411</v>
      </c>
      <c r="J2255" s="9" t="s">
        <v>139</v>
      </c>
      <c r="K2255" s="10">
        <v>39721.542743055557</v>
      </c>
    </row>
    <row r="2256" spans="1:11" x14ac:dyDescent="0.25">
      <c r="A2256" s="8">
        <v>3426</v>
      </c>
      <c r="B2256" s="9" t="s">
        <v>6613</v>
      </c>
      <c r="C2256" s="9" t="s">
        <v>4698</v>
      </c>
      <c r="D2256" s="9" t="s">
        <v>139</v>
      </c>
      <c r="E2256" s="9" t="s">
        <v>892</v>
      </c>
      <c r="F2256" s="9" t="s">
        <v>893</v>
      </c>
      <c r="G2256" s="9" t="s">
        <v>142</v>
      </c>
      <c r="H2256" s="9" t="s">
        <v>139</v>
      </c>
      <c r="I2256" s="9" t="s">
        <v>411</v>
      </c>
      <c r="J2256" s="9" t="s">
        <v>139</v>
      </c>
      <c r="K2256" s="10">
        <v>39721.543761574074</v>
      </c>
    </row>
    <row r="2257" spans="1:11" x14ac:dyDescent="0.25">
      <c r="A2257" s="8">
        <v>3427</v>
      </c>
      <c r="B2257" s="9" t="s">
        <v>6614</v>
      </c>
      <c r="C2257" s="9" t="s">
        <v>4699</v>
      </c>
      <c r="D2257" s="9" t="s">
        <v>139</v>
      </c>
      <c r="E2257" s="9" t="s">
        <v>4700</v>
      </c>
      <c r="F2257" s="9" t="s">
        <v>4701</v>
      </c>
      <c r="G2257" s="9" t="s">
        <v>142</v>
      </c>
      <c r="H2257" s="9" t="s">
        <v>139</v>
      </c>
      <c r="I2257" s="9" t="s">
        <v>411</v>
      </c>
      <c r="J2257" s="9" t="s">
        <v>139</v>
      </c>
      <c r="K2257" s="10">
        <v>39721.5466087963</v>
      </c>
    </row>
    <row r="2258" spans="1:11" x14ac:dyDescent="0.25">
      <c r="A2258" s="8">
        <v>3428</v>
      </c>
      <c r="B2258" s="9" t="s">
        <v>6615</v>
      </c>
      <c r="C2258" s="9" t="s">
        <v>4702</v>
      </c>
      <c r="D2258" s="9" t="s">
        <v>139</v>
      </c>
      <c r="E2258" s="9" t="s">
        <v>1812</v>
      </c>
      <c r="F2258" s="9" t="s">
        <v>1813</v>
      </c>
      <c r="G2258" s="9" t="s">
        <v>142</v>
      </c>
      <c r="H2258" s="9" t="s">
        <v>139</v>
      </c>
      <c r="I2258" s="9" t="s">
        <v>411</v>
      </c>
      <c r="J2258" s="9" t="s">
        <v>139</v>
      </c>
      <c r="K2258" s="10">
        <v>39721.54760416667</v>
      </c>
    </row>
    <row r="2259" spans="1:11" x14ac:dyDescent="0.25">
      <c r="A2259" s="8">
        <v>3429</v>
      </c>
      <c r="B2259" s="9" t="s">
        <v>6616</v>
      </c>
      <c r="C2259" s="9" t="s">
        <v>4703</v>
      </c>
      <c r="D2259" s="9" t="s">
        <v>139</v>
      </c>
      <c r="E2259" s="9" t="s">
        <v>4704</v>
      </c>
      <c r="F2259" s="9" t="s">
        <v>4705</v>
      </c>
      <c r="G2259" s="9" t="s">
        <v>142</v>
      </c>
      <c r="H2259" s="9" t="s">
        <v>139</v>
      </c>
      <c r="I2259" s="9" t="s">
        <v>411</v>
      </c>
      <c r="J2259" s="9" t="s">
        <v>139</v>
      </c>
      <c r="K2259" s="10">
        <v>39721.54855324074</v>
      </c>
    </row>
    <row r="2260" spans="1:11" x14ac:dyDescent="0.25">
      <c r="A2260" s="8">
        <v>3430</v>
      </c>
      <c r="B2260" s="9" t="s">
        <v>6617</v>
      </c>
      <c r="C2260" s="9" t="s">
        <v>4706</v>
      </c>
      <c r="D2260" s="9" t="s">
        <v>139</v>
      </c>
      <c r="E2260" s="9" t="s">
        <v>2737</v>
      </c>
      <c r="F2260" s="9" t="s">
        <v>914</v>
      </c>
      <c r="G2260" s="9" t="s">
        <v>142</v>
      </c>
      <c r="H2260" s="9" t="s">
        <v>139</v>
      </c>
      <c r="I2260" s="9" t="s">
        <v>411</v>
      </c>
      <c r="J2260" s="9" t="s">
        <v>139</v>
      </c>
      <c r="K2260" s="10">
        <v>39721.550682870373</v>
      </c>
    </row>
    <row r="2261" spans="1:11" x14ac:dyDescent="0.25">
      <c r="A2261" s="8">
        <v>3431</v>
      </c>
      <c r="B2261" s="9" t="s">
        <v>6618</v>
      </c>
      <c r="C2261" s="9" t="s">
        <v>4707</v>
      </c>
      <c r="D2261" s="9" t="s">
        <v>139</v>
      </c>
      <c r="E2261" s="9" t="s">
        <v>913</v>
      </c>
      <c r="F2261" s="9" t="s">
        <v>914</v>
      </c>
      <c r="G2261" s="9" t="s">
        <v>142</v>
      </c>
      <c r="H2261" s="9" t="s">
        <v>139</v>
      </c>
      <c r="I2261" s="9" t="s">
        <v>411</v>
      </c>
      <c r="J2261" s="9" t="s">
        <v>139</v>
      </c>
      <c r="K2261" s="10">
        <v>39721.551712962966</v>
      </c>
    </row>
    <row r="2262" spans="1:11" x14ac:dyDescent="0.25">
      <c r="A2262" s="8">
        <v>3433</v>
      </c>
      <c r="B2262" s="9" t="s">
        <v>6619</v>
      </c>
      <c r="C2262" s="9" t="s">
        <v>4708</v>
      </c>
      <c r="D2262" s="9" t="s">
        <v>139</v>
      </c>
      <c r="E2262" s="9" t="s">
        <v>4709</v>
      </c>
      <c r="F2262" s="9" t="s">
        <v>4710</v>
      </c>
      <c r="G2262" s="9" t="s">
        <v>142</v>
      </c>
      <c r="H2262" s="9" t="s">
        <v>139</v>
      </c>
      <c r="I2262" s="9" t="s">
        <v>411</v>
      </c>
      <c r="J2262" s="9" t="s">
        <v>139</v>
      </c>
      <c r="K2262" s="10">
        <v>39721.554027777776</v>
      </c>
    </row>
    <row r="2263" spans="1:11" x14ac:dyDescent="0.25">
      <c r="A2263" s="8">
        <v>3434</v>
      </c>
      <c r="B2263" s="9" t="s">
        <v>6620</v>
      </c>
      <c r="C2263" s="9" t="s">
        <v>4711</v>
      </c>
      <c r="D2263" s="9" t="s">
        <v>139</v>
      </c>
      <c r="E2263" s="9" t="s">
        <v>4712</v>
      </c>
      <c r="F2263" s="9" t="s">
        <v>4713</v>
      </c>
      <c r="G2263" s="9" t="s">
        <v>142</v>
      </c>
      <c r="H2263" s="9" t="s">
        <v>139</v>
      </c>
      <c r="I2263" s="9" t="s">
        <v>411</v>
      </c>
      <c r="J2263" s="9" t="s">
        <v>139</v>
      </c>
      <c r="K2263" s="10">
        <v>39721.55537037037</v>
      </c>
    </row>
    <row r="2264" spans="1:11" x14ac:dyDescent="0.25">
      <c r="A2264" s="8">
        <v>3435</v>
      </c>
      <c r="B2264" s="9" t="s">
        <v>6621</v>
      </c>
      <c r="C2264" s="9" t="s">
        <v>4714</v>
      </c>
      <c r="D2264" s="9" t="s">
        <v>139</v>
      </c>
      <c r="E2264" s="9" t="s">
        <v>4715</v>
      </c>
      <c r="F2264" s="9" t="s">
        <v>4716</v>
      </c>
      <c r="G2264" s="9" t="s">
        <v>142</v>
      </c>
      <c r="H2264" s="9" t="s">
        <v>139</v>
      </c>
      <c r="I2264" s="9" t="s">
        <v>411</v>
      </c>
      <c r="J2264" s="9" t="s">
        <v>139</v>
      </c>
      <c r="K2264" s="10">
        <v>39721.556446759256</v>
      </c>
    </row>
    <row r="2265" spans="1:11" x14ac:dyDescent="0.25">
      <c r="A2265" s="8">
        <v>3436</v>
      </c>
      <c r="B2265" s="9" t="s">
        <v>6622</v>
      </c>
      <c r="C2265" s="9" t="s">
        <v>4717</v>
      </c>
      <c r="D2265" s="9" t="s">
        <v>139</v>
      </c>
      <c r="E2265" s="9" t="s">
        <v>4715</v>
      </c>
      <c r="F2265" s="9" t="s">
        <v>4718</v>
      </c>
      <c r="G2265" s="9" t="s">
        <v>142</v>
      </c>
      <c r="H2265" s="9" t="s">
        <v>139</v>
      </c>
      <c r="I2265" s="9" t="s">
        <v>411</v>
      </c>
      <c r="J2265" s="9" t="s">
        <v>139</v>
      </c>
      <c r="K2265" s="10">
        <v>39721.557534722226</v>
      </c>
    </row>
    <row r="2266" spans="1:11" x14ac:dyDescent="0.25">
      <c r="A2266" s="8">
        <v>3437</v>
      </c>
      <c r="B2266" s="9" t="s">
        <v>6623</v>
      </c>
      <c r="C2266" s="9" t="s">
        <v>4719</v>
      </c>
      <c r="D2266" s="9" t="s">
        <v>139</v>
      </c>
      <c r="E2266" s="9" t="s">
        <v>2372</v>
      </c>
      <c r="F2266" s="9" t="s">
        <v>3746</v>
      </c>
      <c r="G2266" s="9" t="s">
        <v>142</v>
      </c>
      <c r="H2266" s="9" t="s">
        <v>139</v>
      </c>
      <c r="I2266" s="9" t="s">
        <v>411</v>
      </c>
      <c r="J2266" s="9" t="s">
        <v>139</v>
      </c>
      <c r="K2266" s="10">
        <v>39721.558368055557</v>
      </c>
    </row>
    <row r="2267" spans="1:11" x14ac:dyDescent="0.25">
      <c r="A2267" s="8">
        <v>3438</v>
      </c>
      <c r="B2267" s="9" t="s">
        <v>6624</v>
      </c>
      <c r="C2267" s="9" t="s">
        <v>4720</v>
      </c>
      <c r="D2267" s="9" t="s">
        <v>139</v>
      </c>
      <c r="E2267" s="9" t="s">
        <v>4721</v>
      </c>
      <c r="F2267" s="9" t="s">
        <v>4722</v>
      </c>
      <c r="G2267" s="9" t="s">
        <v>142</v>
      </c>
      <c r="H2267" s="9" t="s">
        <v>139</v>
      </c>
      <c r="I2267" s="9" t="s">
        <v>411</v>
      </c>
      <c r="J2267" s="9" t="s">
        <v>139</v>
      </c>
      <c r="K2267" s="10">
        <v>39721.560150462959</v>
      </c>
    </row>
    <row r="2268" spans="1:11" x14ac:dyDescent="0.25">
      <c r="A2268" s="8">
        <v>3439</v>
      </c>
      <c r="B2268" s="9" t="s">
        <v>6625</v>
      </c>
      <c r="C2268" s="9" t="s">
        <v>4723</v>
      </c>
      <c r="D2268" s="9" t="s">
        <v>139</v>
      </c>
      <c r="E2268" s="9" t="s">
        <v>2034</v>
      </c>
      <c r="F2268" s="9" t="s">
        <v>4724</v>
      </c>
      <c r="G2268" s="9" t="s">
        <v>142</v>
      </c>
      <c r="H2268" s="9" t="s">
        <v>139</v>
      </c>
      <c r="I2268" s="9" t="s">
        <v>411</v>
      </c>
      <c r="J2268" s="9" t="s">
        <v>139</v>
      </c>
      <c r="K2268" s="10">
        <v>39721.560949074075</v>
      </c>
    </row>
    <row r="2269" spans="1:11" x14ac:dyDescent="0.25">
      <c r="A2269" s="8">
        <v>3440</v>
      </c>
      <c r="B2269" s="9" t="s">
        <v>6626</v>
      </c>
      <c r="C2269" s="9" t="s">
        <v>4725</v>
      </c>
      <c r="D2269" s="9" t="s">
        <v>139</v>
      </c>
      <c r="E2269" s="9" t="s">
        <v>980</v>
      </c>
      <c r="F2269" s="9" t="s">
        <v>4726</v>
      </c>
      <c r="G2269" s="9" t="s">
        <v>142</v>
      </c>
      <c r="H2269" s="9" t="s">
        <v>139</v>
      </c>
      <c r="I2269" s="9" t="s">
        <v>411</v>
      </c>
      <c r="J2269" s="9" t="s">
        <v>139</v>
      </c>
      <c r="K2269" s="10">
        <v>39721.561932870369</v>
      </c>
    </row>
    <row r="2270" spans="1:11" x14ac:dyDescent="0.25">
      <c r="A2270" s="8">
        <v>3441</v>
      </c>
      <c r="B2270" s="9" t="s">
        <v>6627</v>
      </c>
      <c r="C2270" s="9" t="s">
        <v>4727</v>
      </c>
      <c r="D2270" s="9" t="s">
        <v>139</v>
      </c>
      <c r="E2270" s="9" t="s">
        <v>2113</v>
      </c>
      <c r="F2270" s="9" t="s">
        <v>2599</v>
      </c>
      <c r="G2270" s="9" t="s">
        <v>142</v>
      </c>
      <c r="H2270" s="9" t="s">
        <v>139</v>
      </c>
      <c r="I2270" s="9" t="s">
        <v>411</v>
      </c>
      <c r="J2270" s="9" t="s">
        <v>139</v>
      </c>
      <c r="K2270" s="10">
        <v>39721.562939814816</v>
      </c>
    </row>
    <row r="2271" spans="1:11" x14ac:dyDescent="0.25">
      <c r="A2271" s="8">
        <v>3442</v>
      </c>
      <c r="B2271" s="9" t="s">
        <v>6628</v>
      </c>
      <c r="C2271" s="9" t="s">
        <v>4728</v>
      </c>
      <c r="D2271" s="9" t="s">
        <v>139</v>
      </c>
      <c r="E2271" s="9" t="s">
        <v>2038</v>
      </c>
      <c r="F2271" s="9" t="s">
        <v>4729</v>
      </c>
      <c r="G2271" s="9" t="s">
        <v>142</v>
      </c>
      <c r="H2271" s="9" t="s">
        <v>139</v>
      </c>
      <c r="I2271" s="9" t="s">
        <v>411</v>
      </c>
      <c r="J2271" s="9" t="s">
        <v>139</v>
      </c>
      <c r="K2271" s="10">
        <v>39721.563958333332</v>
      </c>
    </row>
    <row r="2272" spans="1:11" x14ac:dyDescent="0.25">
      <c r="A2272" s="8">
        <v>3443</v>
      </c>
      <c r="B2272" s="9" t="s">
        <v>6629</v>
      </c>
      <c r="C2272" s="9" t="s">
        <v>4730</v>
      </c>
      <c r="D2272" s="9" t="s">
        <v>139</v>
      </c>
      <c r="E2272" s="9" t="s">
        <v>2041</v>
      </c>
      <c r="F2272" s="9" t="s">
        <v>4731</v>
      </c>
      <c r="G2272" s="9" t="s">
        <v>142</v>
      </c>
      <c r="H2272" s="9" t="s">
        <v>139</v>
      </c>
      <c r="I2272" s="9" t="s">
        <v>411</v>
      </c>
      <c r="J2272" s="9" t="s">
        <v>139</v>
      </c>
      <c r="K2272" s="10">
        <v>39721.564791666664</v>
      </c>
    </row>
    <row r="2273" spans="1:11" x14ac:dyDescent="0.25">
      <c r="A2273" s="8">
        <v>3444</v>
      </c>
      <c r="B2273" s="9" t="s">
        <v>6630</v>
      </c>
      <c r="C2273" s="9" t="s">
        <v>4732</v>
      </c>
      <c r="D2273" s="9" t="s">
        <v>139</v>
      </c>
      <c r="E2273" s="9" t="s">
        <v>2113</v>
      </c>
      <c r="F2273" s="9" t="s">
        <v>4733</v>
      </c>
      <c r="G2273" s="9" t="s">
        <v>142</v>
      </c>
      <c r="H2273" s="9" t="s">
        <v>139</v>
      </c>
      <c r="I2273" s="9" t="s">
        <v>411</v>
      </c>
      <c r="J2273" s="9" t="s">
        <v>139</v>
      </c>
      <c r="K2273" s="10">
        <v>39721.565451388888</v>
      </c>
    </row>
    <row r="2274" spans="1:11" x14ac:dyDescent="0.25">
      <c r="A2274" s="8">
        <v>3445</v>
      </c>
      <c r="B2274" s="9" t="s">
        <v>6631</v>
      </c>
      <c r="C2274" s="9" t="s">
        <v>4734</v>
      </c>
      <c r="D2274" s="9" t="s">
        <v>139</v>
      </c>
      <c r="E2274" s="9" t="s">
        <v>1385</v>
      </c>
      <c r="F2274" s="9" t="s">
        <v>1386</v>
      </c>
      <c r="G2274" s="9" t="s">
        <v>142</v>
      </c>
      <c r="H2274" s="9" t="s">
        <v>139</v>
      </c>
      <c r="I2274" s="9" t="s">
        <v>411</v>
      </c>
      <c r="J2274" s="9" t="s">
        <v>139</v>
      </c>
      <c r="K2274" s="10">
        <v>39721.56653935185</v>
      </c>
    </row>
    <row r="2275" spans="1:11" x14ac:dyDescent="0.25">
      <c r="A2275" s="8">
        <v>3446</v>
      </c>
      <c r="B2275" s="9" t="s">
        <v>6632</v>
      </c>
      <c r="C2275" s="9" t="s">
        <v>4735</v>
      </c>
      <c r="D2275" s="9" t="s">
        <v>139</v>
      </c>
      <c r="E2275" s="9" t="s">
        <v>1385</v>
      </c>
      <c r="F2275" s="9" t="s">
        <v>1386</v>
      </c>
      <c r="G2275" s="9" t="s">
        <v>142</v>
      </c>
      <c r="H2275" s="9" t="s">
        <v>139</v>
      </c>
      <c r="I2275" s="9" t="s">
        <v>411</v>
      </c>
      <c r="J2275" s="9" t="s">
        <v>139</v>
      </c>
      <c r="K2275" s="10">
        <v>39721.569236111114</v>
      </c>
    </row>
    <row r="2276" spans="1:11" x14ac:dyDescent="0.25">
      <c r="A2276" s="8">
        <v>3447</v>
      </c>
      <c r="B2276" s="9" t="s">
        <v>6633</v>
      </c>
      <c r="C2276" s="9" t="s">
        <v>4736</v>
      </c>
      <c r="D2276" s="9" t="s">
        <v>139</v>
      </c>
      <c r="E2276" s="9" t="s">
        <v>4737</v>
      </c>
      <c r="F2276" s="9" t="s">
        <v>4738</v>
      </c>
      <c r="G2276" s="9" t="s">
        <v>142</v>
      </c>
      <c r="H2276" s="9" t="s">
        <v>139</v>
      </c>
      <c r="I2276" s="9" t="s">
        <v>411</v>
      </c>
      <c r="J2276" s="9" t="s">
        <v>139</v>
      </c>
      <c r="K2276" s="10">
        <v>39721.570300925923</v>
      </c>
    </row>
    <row r="2277" spans="1:11" x14ac:dyDescent="0.25">
      <c r="A2277" s="8">
        <v>3448</v>
      </c>
      <c r="B2277" s="9" t="s">
        <v>6634</v>
      </c>
      <c r="C2277" s="9" t="s">
        <v>4739</v>
      </c>
      <c r="D2277" s="9" t="s">
        <v>139</v>
      </c>
      <c r="E2277" s="9" t="s">
        <v>2397</v>
      </c>
      <c r="F2277" s="9" t="s">
        <v>4740</v>
      </c>
      <c r="G2277" s="9" t="s">
        <v>142</v>
      </c>
      <c r="H2277" s="9" t="s">
        <v>139</v>
      </c>
      <c r="I2277" s="9" t="s">
        <v>411</v>
      </c>
      <c r="J2277" s="9" t="s">
        <v>139</v>
      </c>
      <c r="K2277" s="10">
        <v>39721.571527777778</v>
      </c>
    </row>
    <row r="2278" spans="1:11" x14ac:dyDescent="0.25">
      <c r="A2278" s="8">
        <v>3449</v>
      </c>
      <c r="B2278" s="9" t="s">
        <v>6635</v>
      </c>
      <c r="C2278" s="9" t="s">
        <v>4741</v>
      </c>
      <c r="D2278" s="9" t="s">
        <v>139</v>
      </c>
      <c r="E2278" s="9" t="s">
        <v>1270</v>
      </c>
      <c r="F2278" s="9" t="s">
        <v>4742</v>
      </c>
      <c r="G2278" s="9" t="s">
        <v>142</v>
      </c>
      <c r="H2278" s="9" t="s">
        <v>139</v>
      </c>
      <c r="I2278" s="9" t="s">
        <v>411</v>
      </c>
      <c r="J2278" s="9" t="s">
        <v>139</v>
      </c>
      <c r="K2278" s="10">
        <v>39721.573078703703</v>
      </c>
    </row>
    <row r="2279" spans="1:11" x14ac:dyDescent="0.25">
      <c r="A2279" s="8">
        <v>3450</v>
      </c>
      <c r="B2279" s="9" t="s">
        <v>6636</v>
      </c>
      <c r="C2279" s="9" t="s">
        <v>4743</v>
      </c>
      <c r="D2279" s="9" t="s">
        <v>139</v>
      </c>
      <c r="E2279" s="9" t="s">
        <v>3112</v>
      </c>
      <c r="F2279" s="9" t="s">
        <v>4744</v>
      </c>
      <c r="G2279" s="9" t="s">
        <v>142</v>
      </c>
      <c r="H2279" s="9" t="s">
        <v>139</v>
      </c>
      <c r="I2279" s="9" t="s">
        <v>411</v>
      </c>
      <c r="J2279" s="9" t="s">
        <v>139</v>
      </c>
      <c r="K2279" s="10">
        <v>39721.573807870373</v>
      </c>
    </row>
    <row r="2280" spans="1:11" x14ac:dyDescent="0.25">
      <c r="A2280" s="8">
        <v>3451</v>
      </c>
      <c r="B2280" s="9" t="s">
        <v>6637</v>
      </c>
      <c r="C2280" s="9" t="s">
        <v>4745</v>
      </c>
      <c r="D2280" s="9" t="s">
        <v>139</v>
      </c>
      <c r="E2280" s="9" t="s">
        <v>2044</v>
      </c>
      <c r="F2280" s="9" t="s">
        <v>4746</v>
      </c>
      <c r="G2280" s="9" t="s">
        <v>142</v>
      </c>
      <c r="H2280" s="9" t="s">
        <v>139</v>
      </c>
      <c r="I2280" s="9" t="s">
        <v>411</v>
      </c>
      <c r="J2280" s="9" t="s">
        <v>139</v>
      </c>
      <c r="K2280" s="10">
        <v>39721.574652777781</v>
      </c>
    </row>
    <row r="2281" spans="1:11" x14ac:dyDescent="0.25">
      <c r="A2281" s="8">
        <v>3452</v>
      </c>
      <c r="B2281" s="9" t="s">
        <v>6638</v>
      </c>
      <c r="C2281" s="9" t="s">
        <v>4747</v>
      </c>
      <c r="D2281" s="9" t="s">
        <v>139</v>
      </c>
      <c r="E2281" s="9" t="s">
        <v>4748</v>
      </c>
      <c r="F2281" s="9" t="s">
        <v>4749</v>
      </c>
      <c r="G2281" s="9" t="s">
        <v>142</v>
      </c>
      <c r="H2281" s="9" t="s">
        <v>139</v>
      </c>
      <c r="I2281" s="9" t="s">
        <v>411</v>
      </c>
      <c r="J2281" s="9" t="s">
        <v>139</v>
      </c>
      <c r="K2281" s="10">
        <v>39721.575833333336</v>
      </c>
    </row>
    <row r="2282" spans="1:11" x14ac:dyDescent="0.25">
      <c r="A2282" s="8">
        <v>3453</v>
      </c>
      <c r="B2282" s="9" t="s">
        <v>6639</v>
      </c>
      <c r="C2282" s="9" t="s">
        <v>4750</v>
      </c>
      <c r="D2282" s="9" t="s">
        <v>139</v>
      </c>
      <c r="E2282" s="9" t="s">
        <v>4751</v>
      </c>
      <c r="F2282" s="9" t="s">
        <v>4752</v>
      </c>
      <c r="G2282" s="9" t="s">
        <v>142</v>
      </c>
      <c r="H2282" s="9" t="s">
        <v>139</v>
      </c>
      <c r="I2282" s="9" t="s">
        <v>411</v>
      </c>
      <c r="J2282" s="9" t="s">
        <v>139</v>
      </c>
      <c r="K2282" s="10">
        <v>39721.576828703706</v>
      </c>
    </row>
    <row r="2283" spans="1:11" x14ac:dyDescent="0.25">
      <c r="A2283" s="8">
        <v>3454</v>
      </c>
      <c r="B2283" s="9" t="s">
        <v>6640</v>
      </c>
      <c r="C2283" s="9" t="s">
        <v>4753</v>
      </c>
      <c r="D2283" s="9" t="s">
        <v>139</v>
      </c>
      <c r="E2283" s="9" t="s">
        <v>4754</v>
      </c>
      <c r="F2283" s="9" t="s">
        <v>4755</v>
      </c>
      <c r="G2283" s="9" t="s">
        <v>142</v>
      </c>
      <c r="H2283" s="9" t="s">
        <v>139</v>
      </c>
      <c r="I2283" s="9" t="s">
        <v>411</v>
      </c>
      <c r="J2283" s="9" t="s">
        <v>139</v>
      </c>
      <c r="K2283" s="10">
        <v>39721.577708333331</v>
      </c>
    </row>
    <row r="2284" spans="1:11" x14ac:dyDescent="0.25">
      <c r="A2284" s="8">
        <v>3455</v>
      </c>
      <c r="B2284" s="9" t="s">
        <v>6641</v>
      </c>
      <c r="C2284" s="9" t="s">
        <v>4756</v>
      </c>
      <c r="D2284" s="9" t="s">
        <v>139</v>
      </c>
      <c r="E2284" s="9" t="s">
        <v>4757</v>
      </c>
      <c r="F2284" s="9" t="s">
        <v>4758</v>
      </c>
      <c r="G2284" s="9" t="s">
        <v>142</v>
      </c>
      <c r="H2284" s="9" t="s">
        <v>139</v>
      </c>
      <c r="I2284" s="9" t="s">
        <v>411</v>
      </c>
      <c r="J2284" s="9" t="s">
        <v>139</v>
      </c>
      <c r="K2284" s="10">
        <v>39721.578530092593</v>
      </c>
    </row>
    <row r="2285" spans="1:11" x14ac:dyDescent="0.25">
      <c r="A2285" s="8">
        <v>3456</v>
      </c>
      <c r="B2285" s="9" t="s">
        <v>6642</v>
      </c>
      <c r="C2285" s="9" t="s">
        <v>4759</v>
      </c>
      <c r="D2285" s="9" t="s">
        <v>139</v>
      </c>
      <c r="E2285" s="9" t="s">
        <v>4760</v>
      </c>
      <c r="F2285" s="9" t="s">
        <v>4761</v>
      </c>
      <c r="G2285" s="9" t="s">
        <v>142</v>
      </c>
      <c r="H2285" s="9" t="s">
        <v>139</v>
      </c>
      <c r="I2285" s="9" t="s">
        <v>411</v>
      </c>
      <c r="J2285" s="9" t="s">
        <v>139</v>
      </c>
      <c r="K2285" s="10">
        <v>39721.579432870371</v>
      </c>
    </row>
    <row r="2286" spans="1:11" x14ac:dyDescent="0.25">
      <c r="A2286" s="8">
        <v>3457</v>
      </c>
      <c r="B2286" s="9" t="s">
        <v>6643</v>
      </c>
      <c r="C2286" s="9" t="s">
        <v>4762</v>
      </c>
      <c r="D2286" s="9" t="s">
        <v>139</v>
      </c>
      <c r="E2286" s="9" t="s">
        <v>4763</v>
      </c>
      <c r="F2286" s="9" t="s">
        <v>4764</v>
      </c>
      <c r="G2286" s="9" t="s">
        <v>142</v>
      </c>
      <c r="H2286" s="9" t="s">
        <v>139</v>
      </c>
      <c r="I2286" s="9" t="s">
        <v>411</v>
      </c>
      <c r="J2286" s="9" t="s">
        <v>139</v>
      </c>
      <c r="K2286" s="10">
        <v>39721.580810185187</v>
      </c>
    </row>
    <row r="2287" spans="1:11" x14ac:dyDescent="0.25">
      <c r="A2287" s="8">
        <v>3458</v>
      </c>
      <c r="B2287" s="9" t="s">
        <v>6644</v>
      </c>
      <c r="C2287" s="9" t="s">
        <v>4765</v>
      </c>
      <c r="D2287" s="9" t="s">
        <v>139</v>
      </c>
      <c r="E2287" s="9" t="s">
        <v>4766</v>
      </c>
      <c r="F2287" s="9" t="s">
        <v>4767</v>
      </c>
      <c r="G2287" s="9" t="s">
        <v>142</v>
      </c>
      <c r="H2287" s="9" t="s">
        <v>139</v>
      </c>
      <c r="I2287" s="9" t="s">
        <v>411</v>
      </c>
      <c r="J2287" s="9" t="s">
        <v>139</v>
      </c>
      <c r="K2287" s="10">
        <v>39721.581724537034</v>
      </c>
    </row>
    <row r="2288" spans="1:11" x14ac:dyDescent="0.25">
      <c r="A2288" s="8">
        <v>3459</v>
      </c>
      <c r="B2288" s="9" t="s">
        <v>6645</v>
      </c>
      <c r="C2288" s="9" t="s">
        <v>4768</v>
      </c>
      <c r="D2288" s="9" t="s">
        <v>139</v>
      </c>
      <c r="E2288" s="9" t="s">
        <v>4769</v>
      </c>
      <c r="F2288" s="9" t="s">
        <v>4770</v>
      </c>
      <c r="G2288" s="9" t="s">
        <v>142</v>
      </c>
      <c r="H2288" s="9" t="s">
        <v>139</v>
      </c>
      <c r="I2288" s="9" t="s">
        <v>411</v>
      </c>
      <c r="J2288" s="9" t="s">
        <v>139</v>
      </c>
      <c r="K2288" s="10">
        <v>39721.582951388889</v>
      </c>
    </row>
    <row r="2289" spans="1:11" x14ac:dyDescent="0.25">
      <c r="A2289" s="8">
        <v>3460</v>
      </c>
      <c r="B2289" s="9" t="s">
        <v>6646</v>
      </c>
      <c r="C2289" s="9" t="s">
        <v>4771</v>
      </c>
      <c r="D2289" s="9" t="s">
        <v>139</v>
      </c>
      <c r="E2289" s="9" t="s">
        <v>1863</v>
      </c>
      <c r="F2289" s="9" t="s">
        <v>1864</v>
      </c>
      <c r="G2289" s="9" t="s">
        <v>142</v>
      </c>
      <c r="H2289" s="9" t="s">
        <v>139</v>
      </c>
      <c r="I2289" s="9" t="s">
        <v>411</v>
      </c>
      <c r="J2289" s="9" t="s">
        <v>139</v>
      </c>
      <c r="K2289" s="10">
        <v>39721.583969907406</v>
      </c>
    </row>
    <row r="2290" spans="1:11" x14ac:dyDescent="0.25">
      <c r="A2290" s="8">
        <v>3461</v>
      </c>
      <c r="B2290" s="9" t="s">
        <v>6647</v>
      </c>
      <c r="C2290" s="9" t="s">
        <v>4772</v>
      </c>
      <c r="D2290" s="9" t="s">
        <v>139</v>
      </c>
      <c r="E2290" s="9" t="s">
        <v>4773</v>
      </c>
      <c r="F2290" s="9" t="s">
        <v>4774</v>
      </c>
      <c r="G2290" s="9" t="s">
        <v>142</v>
      </c>
      <c r="H2290" s="9" t="s">
        <v>139</v>
      </c>
      <c r="I2290" s="9" t="s">
        <v>411</v>
      </c>
      <c r="J2290" s="9" t="s">
        <v>139</v>
      </c>
      <c r="K2290" s="10">
        <v>39721.585034722222</v>
      </c>
    </row>
    <row r="2291" spans="1:11" x14ac:dyDescent="0.25">
      <c r="A2291" s="8">
        <v>3462</v>
      </c>
      <c r="B2291" s="9" t="s">
        <v>6648</v>
      </c>
      <c r="C2291" s="9" t="s">
        <v>4775</v>
      </c>
      <c r="D2291" s="9" t="s">
        <v>139</v>
      </c>
      <c r="E2291" s="9" t="s">
        <v>4773</v>
      </c>
      <c r="F2291" s="9" t="s">
        <v>4774</v>
      </c>
      <c r="G2291" s="9" t="s">
        <v>142</v>
      </c>
      <c r="H2291" s="9" t="s">
        <v>139</v>
      </c>
      <c r="I2291" s="9" t="s">
        <v>411</v>
      </c>
      <c r="J2291" s="9" t="s">
        <v>139</v>
      </c>
      <c r="K2291" s="10">
        <v>39721.585925925923</v>
      </c>
    </row>
    <row r="2292" spans="1:11" x14ac:dyDescent="0.25">
      <c r="A2292" s="8">
        <v>3463</v>
      </c>
      <c r="B2292" s="9" t="s">
        <v>6649</v>
      </c>
      <c r="C2292" s="9" t="s">
        <v>4776</v>
      </c>
      <c r="D2292" s="9" t="s">
        <v>139</v>
      </c>
      <c r="E2292" s="9" t="s">
        <v>4777</v>
      </c>
      <c r="F2292" s="9" t="s">
        <v>4778</v>
      </c>
      <c r="G2292" s="9" t="s">
        <v>142</v>
      </c>
      <c r="H2292" s="9" t="s">
        <v>139</v>
      </c>
      <c r="I2292" s="9" t="s">
        <v>411</v>
      </c>
      <c r="J2292" s="9" t="s">
        <v>139</v>
      </c>
      <c r="K2292" s="10">
        <v>39721.586608796293</v>
      </c>
    </row>
    <row r="2293" spans="1:11" x14ac:dyDescent="0.25">
      <c r="A2293" s="8">
        <v>3465</v>
      </c>
      <c r="B2293" s="9" t="s">
        <v>6650</v>
      </c>
      <c r="C2293" s="9" t="s">
        <v>4779</v>
      </c>
      <c r="D2293" s="9" t="s">
        <v>139</v>
      </c>
      <c r="E2293" s="9" t="s">
        <v>3378</v>
      </c>
      <c r="F2293" s="9" t="s">
        <v>3379</v>
      </c>
      <c r="G2293" s="9" t="s">
        <v>142</v>
      </c>
      <c r="H2293" s="9" t="s">
        <v>139</v>
      </c>
      <c r="I2293" s="9" t="s">
        <v>411</v>
      </c>
      <c r="J2293" s="9" t="s">
        <v>139</v>
      </c>
      <c r="K2293" s="10">
        <v>39721.588043981479</v>
      </c>
    </row>
    <row r="2294" spans="1:11" x14ac:dyDescent="0.25">
      <c r="A2294" s="8">
        <v>3466</v>
      </c>
      <c r="B2294" s="9" t="s">
        <v>6651</v>
      </c>
      <c r="C2294" s="9" t="s">
        <v>4780</v>
      </c>
      <c r="D2294" s="9" t="s">
        <v>139</v>
      </c>
      <c r="E2294" s="9" t="s">
        <v>596</v>
      </c>
      <c r="F2294" s="9" t="s">
        <v>597</v>
      </c>
      <c r="G2294" s="9" t="s">
        <v>142</v>
      </c>
      <c r="H2294" s="9" t="s">
        <v>139</v>
      </c>
      <c r="I2294" s="9" t="s">
        <v>411</v>
      </c>
      <c r="J2294" s="9" t="s">
        <v>139</v>
      </c>
      <c r="K2294" s="10">
        <v>39721.588854166665</v>
      </c>
    </row>
    <row r="2295" spans="1:11" x14ac:dyDescent="0.25">
      <c r="A2295" s="8">
        <v>3467</v>
      </c>
      <c r="B2295" s="9" t="s">
        <v>6652</v>
      </c>
      <c r="C2295" s="9" t="s">
        <v>4781</v>
      </c>
      <c r="D2295" s="9" t="s">
        <v>139</v>
      </c>
      <c r="E2295" s="9" t="s">
        <v>4782</v>
      </c>
      <c r="F2295" s="9" t="s">
        <v>4783</v>
      </c>
      <c r="G2295" s="9" t="s">
        <v>142</v>
      </c>
      <c r="H2295" s="9" t="s">
        <v>139</v>
      </c>
      <c r="I2295" s="9" t="s">
        <v>411</v>
      </c>
      <c r="J2295" s="9" t="s">
        <v>139</v>
      </c>
      <c r="K2295" s="10">
        <v>39721.589803240742</v>
      </c>
    </row>
    <row r="2296" spans="1:11" x14ac:dyDescent="0.25">
      <c r="A2296" s="8">
        <v>3468</v>
      </c>
      <c r="B2296" s="9" t="s">
        <v>6653</v>
      </c>
      <c r="C2296" s="9" t="s">
        <v>4784</v>
      </c>
      <c r="D2296" s="9" t="s">
        <v>139</v>
      </c>
      <c r="E2296" s="9" t="s">
        <v>4785</v>
      </c>
      <c r="F2296" s="9" t="s">
        <v>4786</v>
      </c>
      <c r="G2296" s="9" t="s">
        <v>142</v>
      </c>
      <c r="H2296" s="9" t="s">
        <v>139</v>
      </c>
      <c r="I2296" s="9" t="s">
        <v>411</v>
      </c>
      <c r="J2296" s="9" t="s">
        <v>139</v>
      </c>
      <c r="K2296" s="10">
        <v>39721.590717592589</v>
      </c>
    </row>
    <row r="2297" spans="1:11" x14ac:dyDescent="0.25">
      <c r="A2297" s="8">
        <v>3469</v>
      </c>
      <c r="B2297" s="9" t="s">
        <v>6654</v>
      </c>
      <c r="C2297" s="9" t="s">
        <v>4787</v>
      </c>
      <c r="D2297" s="9" t="s">
        <v>139</v>
      </c>
      <c r="E2297" s="9" t="s">
        <v>1825</v>
      </c>
      <c r="F2297" s="9" t="s">
        <v>1826</v>
      </c>
      <c r="G2297" s="9" t="s">
        <v>142</v>
      </c>
      <c r="H2297" s="9" t="s">
        <v>139</v>
      </c>
      <c r="I2297" s="9" t="s">
        <v>411</v>
      </c>
      <c r="J2297" s="9" t="s">
        <v>139</v>
      </c>
      <c r="K2297" s="10">
        <v>39721.591493055559</v>
      </c>
    </row>
    <row r="2298" spans="1:11" x14ac:dyDescent="0.25">
      <c r="A2298" s="8">
        <v>3470</v>
      </c>
      <c r="B2298" s="9" t="s">
        <v>6655</v>
      </c>
      <c r="C2298" s="9" t="s">
        <v>4788</v>
      </c>
      <c r="D2298" s="9" t="s">
        <v>139</v>
      </c>
      <c r="E2298" s="9" t="s">
        <v>1825</v>
      </c>
      <c r="F2298" s="9" t="s">
        <v>1826</v>
      </c>
      <c r="G2298" s="9" t="s">
        <v>142</v>
      </c>
      <c r="H2298" s="9" t="s">
        <v>139</v>
      </c>
      <c r="I2298" s="9" t="s">
        <v>411</v>
      </c>
      <c r="J2298" s="9" t="s">
        <v>139</v>
      </c>
      <c r="K2298" s="10">
        <v>39721.592303240737</v>
      </c>
    </row>
    <row r="2299" spans="1:11" x14ac:dyDescent="0.25">
      <c r="A2299" s="8">
        <v>3471</v>
      </c>
      <c r="B2299" s="9" t="s">
        <v>6656</v>
      </c>
      <c r="C2299" s="9" t="s">
        <v>4789</v>
      </c>
      <c r="D2299" s="9" t="s">
        <v>139</v>
      </c>
      <c r="E2299" s="9" t="s">
        <v>4790</v>
      </c>
      <c r="F2299" s="9" t="s">
        <v>4791</v>
      </c>
      <c r="G2299" s="9" t="s">
        <v>142</v>
      </c>
      <c r="H2299" s="9" t="s">
        <v>139</v>
      </c>
      <c r="I2299" s="9" t="s">
        <v>411</v>
      </c>
      <c r="J2299" s="9" t="s">
        <v>139</v>
      </c>
      <c r="K2299" s="10">
        <v>39721.59302083333</v>
      </c>
    </row>
    <row r="2300" spans="1:11" x14ac:dyDescent="0.25">
      <c r="A2300" s="8">
        <v>3472</v>
      </c>
      <c r="B2300" s="9" t="s">
        <v>6657</v>
      </c>
      <c r="C2300" s="9" t="s">
        <v>4792</v>
      </c>
      <c r="D2300" s="9" t="s">
        <v>139</v>
      </c>
      <c r="E2300" s="9" t="s">
        <v>4793</v>
      </c>
      <c r="F2300" s="9" t="s">
        <v>4794</v>
      </c>
      <c r="G2300" s="9" t="s">
        <v>142</v>
      </c>
      <c r="H2300" s="9" t="s">
        <v>139</v>
      </c>
      <c r="I2300" s="9" t="s">
        <v>411</v>
      </c>
      <c r="J2300" s="9" t="s">
        <v>139</v>
      </c>
      <c r="K2300" s="10">
        <v>39721.593888888892</v>
      </c>
    </row>
    <row r="2301" spans="1:11" x14ac:dyDescent="0.25">
      <c r="A2301" s="8">
        <v>3473</v>
      </c>
      <c r="B2301" s="9" t="s">
        <v>6658</v>
      </c>
      <c r="C2301" s="9" t="s">
        <v>4795</v>
      </c>
      <c r="D2301" s="9" t="s">
        <v>139</v>
      </c>
      <c r="E2301" s="9" t="s">
        <v>1045</v>
      </c>
      <c r="F2301" s="9" t="s">
        <v>4796</v>
      </c>
      <c r="G2301" s="9" t="s">
        <v>142</v>
      </c>
      <c r="H2301" s="9" t="s">
        <v>139</v>
      </c>
      <c r="I2301" s="9" t="s">
        <v>411</v>
      </c>
      <c r="J2301" s="9" t="s">
        <v>139</v>
      </c>
      <c r="K2301" s="10">
        <v>39721.594664351855</v>
      </c>
    </row>
    <row r="2302" spans="1:11" x14ac:dyDescent="0.25">
      <c r="A2302" s="8">
        <v>3474</v>
      </c>
      <c r="B2302" s="9" t="s">
        <v>6659</v>
      </c>
      <c r="C2302" s="9" t="s">
        <v>4797</v>
      </c>
      <c r="D2302" s="9" t="s">
        <v>139</v>
      </c>
      <c r="E2302" s="9" t="s">
        <v>4798</v>
      </c>
      <c r="F2302" s="9" t="s">
        <v>4799</v>
      </c>
      <c r="G2302" s="9" t="s">
        <v>142</v>
      </c>
      <c r="H2302" s="9" t="s">
        <v>139</v>
      </c>
      <c r="I2302" s="9" t="s">
        <v>411</v>
      </c>
      <c r="J2302" s="9" t="s">
        <v>139</v>
      </c>
      <c r="K2302" s="10">
        <v>39721.595555555556</v>
      </c>
    </row>
    <row r="2303" spans="1:11" x14ac:dyDescent="0.25">
      <c r="A2303" s="8">
        <v>3475</v>
      </c>
      <c r="B2303" s="9" t="s">
        <v>6660</v>
      </c>
      <c r="C2303" s="9" t="s">
        <v>4800</v>
      </c>
      <c r="D2303" s="9" t="s">
        <v>139</v>
      </c>
      <c r="E2303" s="9" t="s">
        <v>3124</v>
      </c>
      <c r="F2303" s="9" t="s">
        <v>3125</v>
      </c>
      <c r="G2303" s="9" t="s">
        <v>142</v>
      </c>
      <c r="H2303" s="9" t="s">
        <v>139</v>
      </c>
      <c r="I2303" s="9" t="s">
        <v>411</v>
      </c>
      <c r="J2303" s="9" t="s">
        <v>139</v>
      </c>
      <c r="K2303" s="10">
        <v>39721.596400462964</v>
      </c>
    </row>
    <row r="2304" spans="1:11" x14ac:dyDescent="0.25">
      <c r="A2304" s="8">
        <v>3477</v>
      </c>
      <c r="B2304" s="9" t="s">
        <v>6661</v>
      </c>
      <c r="C2304" s="9" t="s">
        <v>4801</v>
      </c>
      <c r="D2304" s="9" t="s">
        <v>139</v>
      </c>
      <c r="E2304" s="9" t="s">
        <v>4802</v>
      </c>
      <c r="F2304" s="9" t="s">
        <v>4803</v>
      </c>
      <c r="G2304" s="9" t="s">
        <v>142</v>
      </c>
      <c r="H2304" s="9" t="s">
        <v>139</v>
      </c>
      <c r="I2304" s="9" t="s">
        <v>411</v>
      </c>
      <c r="J2304" s="9" t="s">
        <v>139</v>
      </c>
      <c r="K2304" s="10">
        <v>39721.597939814812</v>
      </c>
    </row>
    <row r="2305" spans="1:11" x14ac:dyDescent="0.25">
      <c r="A2305" s="8">
        <v>3478</v>
      </c>
      <c r="B2305" s="9" t="s">
        <v>6662</v>
      </c>
      <c r="C2305" s="9" t="s">
        <v>4804</v>
      </c>
      <c r="D2305" s="9" t="s">
        <v>139</v>
      </c>
      <c r="E2305" s="9" t="s">
        <v>4802</v>
      </c>
      <c r="F2305" s="9" t="s">
        <v>4803</v>
      </c>
      <c r="G2305" s="9" t="s">
        <v>142</v>
      </c>
      <c r="H2305" s="9" t="s">
        <v>139</v>
      </c>
      <c r="I2305" s="9" t="s">
        <v>411</v>
      </c>
      <c r="J2305" s="9" t="s">
        <v>139</v>
      </c>
      <c r="K2305" s="10">
        <v>39721.598576388889</v>
      </c>
    </row>
    <row r="2306" spans="1:11" x14ac:dyDescent="0.25">
      <c r="A2306" s="8">
        <v>3479</v>
      </c>
      <c r="B2306" s="9" t="s">
        <v>6663</v>
      </c>
      <c r="C2306" s="9" t="s">
        <v>4805</v>
      </c>
      <c r="D2306" s="9" t="s">
        <v>139</v>
      </c>
      <c r="E2306" s="9" t="s">
        <v>4806</v>
      </c>
      <c r="F2306" s="9" t="s">
        <v>4807</v>
      </c>
      <c r="G2306" s="9" t="s">
        <v>142</v>
      </c>
      <c r="H2306" s="9" t="s">
        <v>139</v>
      </c>
      <c r="I2306" s="9" t="s">
        <v>411</v>
      </c>
      <c r="J2306" s="9" t="s">
        <v>139</v>
      </c>
      <c r="K2306" s="10">
        <v>39721.599398148152</v>
      </c>
    </row>
    <row r="2307" spans="1:11" x14ac:dyDescent="0.25">
      <c r="A2307" s="8">
        <v>3481</v>
      </c>
      <c r="B2307" s="9" t="s">
        <v>6664</v>
      </c>
      <c r="C2307" s="9" t="s">
        <v>4808</v>
      </c>
      <c r="D2307" s="9" t="s">
        <v>139</v>
      </c>
      <c r="E2307" s="9" t="s">
        <v>4809</v>
      </c>
      <c r="F2307" s="9" t="s">
        <v>4810</v>
      </c>
      <c r="G2307" s="9" t="s">
        <v>142</v>
      </c>
      <c r="H2307" s="9" t="s">
        <v>139</v>
      </c>
      <c r="I2307" s="9" t="s">
        <v>411</v>
      </c>
      <c r="J2307" s="9" t="s">
        <v>139</v>
      </c>
      <c r="K2307" s="10">
        <v>39721.601099537038</v>
      </c>
    </row>
    <row r="2308" spans="1:11" x14ac:dyDescent="0.25">
      <c r="A2308" s="8">
        <v>3482</v>
      </c>
      <c r="B2308" s="9" t="s">
        <v>6665</v>
      </c>
      <c r="C2308" s="9" t="s">
        <v>4811</v>
      </c>
      <c r="D2308" s="9" t="s">
        <v>139</v>
      </c>
      <c r="E2308" s="9" t="s">
        <v>4809</v>
      </c>
      <c r="F2308" s="9" t="s">
        <v>4810</v>
      </c>
      <c r="G2308" s="9" t="s">
        <v>142</v>
      </c>
      <c r="H2308" s="9" t="s">
        <v>139</v>
      </c>
      <c r="I2308" s="9" t="s">
        <v>411</v>
      </c>
      <c r="J2308" s="9" t="s">
        <v>139</v>
      </c>
      <c r="K2308" s="10">
        <v>39721.602094907408</v>
      </c>
    </row>
    <row r="2309" spans="1:11" x14ac:dyDescent="0.25">
      <c r="A2309" s="8">
        <v>3483</v>
      </c>
      <c r="B2309" s="9" t="s">
        <v>6666</v>
      </c>
      <c r="C2309" s="9" t="s">
        <v>4812</v>
      </c>
      <c r="D2309" s="9" t="s">
        <v>139</v>
      </c>
      <c r="E2309" s="9" t="s">
        <v>4813</v>
      </c>
      <c r="F2309" s="9" t="s">
        <v>4814</v>
      </c>
      <c r="G2309" s="9" t="s">
        <v>142</v>
      </c>
      <c r="H2309" s="9" t="s">
        <v>139</v>
      </c>
      <c r="I2309" s="9" t="s">
        <v>411</v>
      </c>
      <c r="J2309" s="9" t="s">
        <v>139</v>
      </c>
      <c r="K2309" s="10">
        <v>39721.603101851855</v>
      </c>
    </row>
    <row r="2310" spans="1:11" x14ac:dyDescent="0.25">
      <c r="A2310" s="8">
        <v>3484</v>
      </c>
      <c r="B2310" s="9" t="s">
        <v>6667</v>
      </c>
      <c r="C2310" s="9" t="s">
        <v>4815</v>
      </c>
      <c r="D2310" s="9" t="s">
        <v>139</v>
      </c>
      <c r="E2310" s="9" t="s">
        <v>4816</v>
      </c>
      <c r="F2310" s="9" t="s">
        <v>4817</v>
      </c>
      <c r="G2310" s="9" t="s">
        <v>142</v>
      </c>
      <c r="H2310" s="9" t="s">
        <v>139</v>
      </c>
      <c r="I2310" s="9" t="s">
        <v>411</v>
      </c>
      <c r="J2310" s="9" t="s">
        <v>139</v>
      </c>
      <c r="K2310" s="10">
        <v>39721.604398148149</v>
      </c>
    </row>
    <row r="2311" spans="1:11" x14ac:dyDescent="0.25">
      <c r="A2311" s="8">
        <v>3485</v>
      </c>
      <c r="B2311" s="9" t="s">
        <v>6668</v>
      </c>
      <c r="C2311" s="9" t="s">
        <v>4818</v>
      </c>
      <c r="D2311" s="9" t="s">
        <v>139</v>
      </c>
      <c r="E2311" s="9" t="s">
        <v>4819</v>
      </c>
      <c r="F2311" s="9" t="s">
        <v>1823</v>
      </c>
      <c r="G2311" s="9" t="s">
        <v>142</v>
      </c>
      <c r="H2311" s="9" t="s">
        <v>139</v>
      </c>
      <c r="I2311" s="9" t="s">
        <v>411</v>
      </c>
      <c r="J2311" s="9" t="s">
        <v>139</v>
      </c>
      <c r="K2311" s="10">
        <v>39721.608726851853</v>
      </c>
    </row>
    <row r="2312" spans="1:11" x14ac:dyDescent="0.25">
      <c r="A2312" s="8">
        <v>3486</v>
      </c>
      <c r="B2312" s="9" t="s">
        <v>6669</v>
      </c>
      <c r="C2312" s="9" t="s">
        <v>4820</v>
      </c>
      <c r="D2312" s="9" t="s">
        <v>139</v>
      </c>
      <c r="E2312" s="9" t="s">
        <v>876</v>
      </c>
      <c r="F2312" s="9" t="s">
        <v>1823</v>
      </c>
      <c r="G2312" s="9" t="s">
        <v>142</v>
      </c>
      <c r="H2312" s="9" t="s">
        <v>139</v>
      </c>
      <c r="I2312" s="9" t="s">
        <v>411</v>
      </c>
      <c r="J2312" s="9" t="s">
        <v>139</v>
      </c>
      <c r="K2312" s="10">
        <v>39721.610046296293</v>
      </c>
    </row>
    <row r="2313" spans="1:11" x14ac:dyDescent="0.25">
      <c r="A2313" s="8">
        <v>3487</v>
      </c>
      <c r="B2313" s="9" t="s">
        <v>6670</v>
      </c>
      <c r="C2313" s="9" t="s">
        <v>4821</v>
      </c>
      <c r="D2313" s="9" t="s">
        <v>139</v>
      </c>
      <c r="E2313" s="9" t="s">
        <v>4822</v>
      </c>
      <c r="F2313" s="9" t="s">
        <v>4823</v>
      </c>
      <c r="G2313" s="9" t="s">
        <v>142</v>
      </c>
      <c r="H2313" s="9" t="s">
        <v>139</v>
      </c>
      <c r="I2313" s="9" t="s">
        <v>411</v>
      </c>
      <c r="J2313" s="9" t="s">
        <v>139</v>
      </c>
      <c r="K2313" s="10">
        <v>39721.610937500001</v>
      </c>
    </row>
    <row r="2314" spans="1:11" x14ac:dyDescent="0.25">
      <c r="A2314" s="8">
        <v>3488</v>
      </c>
      <c r="B2314" s="9" t="s">
        <v>6671</v>
      </c>
      <c r="C2314" s="9" t="s">
        <v>4824</v>
      </c>
      <c r="D2314" s="9" t="s">
        <v>139</v>
      </c>
      <c r="E2314" s="9" t="s">
        <v>4825</v>
      </c>
      <c r="F2314" s="9" t="s">
        <v>372</v>
      </c>
      <c r="G2314" s="9" t="s">
        <v>142</v>
      </c>
      <c r="H2314" s="9" t="s">
        <v>139</v>
      </c>
      <c r="I2314" s="9" t="s">
        <v>411</v>
      </c>
      <c r="J2314" s="9" t="s">
        <v>139</v>
      </c>
      <c r="K2314" s="10">
        <v>39721.612071759257</v>
      </c>
    </row>
    <row r="2315" spans="1:11" x14ac:dyDescent="0.25">
      <c r="A2315" s="8">
        <v>3489</v>
      </c>
      <c r="B2315" s="9" t="s">
        <v>6672</v>
      </c>
      <c r="C2315" s="9" t="s">
        <v>4826</v>
      </c>
      <c r="D2315" s="9" t="s">
        <v>139</v>
      </c>
      <c r="E2315" s="9" t="s">
        <v>4827</v>
      </c>
      <c r="F2315" s="9" t="s">
        <v>4828</v>
      </c>
      <c r="G2315" s="9" t="s">
        <v>142</v>
      </c>
      <c r="H2315" s="9" t="s">
        <v>139</v>
      </c>
      <c r="I2315" s="9" t="s">
        <v>411</v>
      </c>
      <c r="J2315" s="9" t="s">
        <v>139</v>
      </c>
      <c r="K2315" s="10">
        <v>39721.61277777778</v>
      </c>
    </row>
    <row r="2316" spans="1:11" x14ac:dyDescent="0.25">
      <c r="A2316" s="8">
        <v>3490</v>
      </c>
      <c r="B2316" s="9" t="s">
        <v>6673</v>
      </c>
      <c r="C2316" s="9" t="s">
        <v>4829</v>
      </c>
      <c r="D2316" s="9" t="s">
        <v>139</v>
      </c>
      <c r="E2316" s="9" t="s">
        <v>4830</v>
      </c>
      <c r="F2316" s="9" t="s">
        <v>4831</v>
      </c>
      <c r="G2316" s="9" t="s">
        <v>142</v>
      </c>
      <c r="H2316" s="9" t="s">
        <v>139</v>
      </c>
      <c r="I2316" s="9" t="s">
        <v>411</v>
      </c>
      <c r="J2316" s="9" t="s">
        <v>139</v>
      </c>
      <c r="K2316" s="10">
        <v>39721.613796296297</v>
      </c>
    </row>
    <row r="2317" spans="1:11" x14ac:dyDescent="0.25">
      <c r="A2317" s="8">
        <v>3492</v>
      </c>
      <c r="B2317" s="9" t="s">
        <v>6674</v>
      </c>
      <c r="C2317" s="9" t="s">
        <v>4832</v>
      </c>
      <c r="D2317" s="9" t="s">
        <v>139</v>
      </c>
      <c r="E2317" s="9" t="s">
        <v>4833</v>
      </c>
      <c r="F2317" s="9" t="s">
        <v>4834</v>
      </c>
      <c r="G2317" s="9" t="s">
        <v>142</v>
      </c>
      <c r="H2317" s="9" t="s">
        <v>139</v>
      </c>
      <c r="I2317" s="9" t="s">
        <v>411</v>
      </c>
      <c r="J2317" s="9" t="s">
        <v>139</v>
      </c>
      <c r="K2317" s="10">
        <v>39721.615763888891</v>
      </c>
    </row>
    <row r="2318" spans="1:11" x14ac:dyDescent="0.25">
      <c r="A2318" s="8">
        <v>3493</v>
      </c>
      <c r="B2318" s="9" t="s">
        <v>6675</v>
      </c>
      <c r="C2318" s="9" t="s">
        <v>4835</v>
      </c>
      <c r="D2318" s="9" t="s">
        <v>139</v>
      </c>
      <c r="E2318" s="9" t="s">
        <v>4836</v>
      </c>
      <c r="F2318" s="9" t="s">
        <v>4837</v>
      </c>
      <c r="G2318" s="9" t="s">
        <v>142</v>
      </c>
      <c r="H2318" s="9" t="s">
        <v>139</v>
      </c>
      <c r="I2318" s="9" t="s">
        <v>411</v>
      </c>
      <c r="J2318" s="9" t="s">
        <v>139</v>
      </c>
      <c r="K2318" s="10">
        <v>39721.616412037038</v>
      </c>
    </row>
    <row r="2319" spans="1:11" x14ac:dyDescent="0.25">
      <c r="A2319" s="8">
        <v>3494</v>
      </c>
      <c r="B2319" s="9" t="s">
        <v>6676</v>
      </c>
      <c r="C2319" s="9" t="s">
        <v>4838</v>
      </c>
      <c r="D2319" s="9" t="s">
        <v>139</v>
      </c>
      <c r="E2319" s="9" t="s">
        <v>4839</v>
      </c>
      <c r="F2319" s="9" t="s">
        <v>4840</v>
      </c>
      <c r="G2319" s="9" t="s">
        <v>142</v>
      </c>
      <c r="H2319" s="9" t="s">
        <v>139</v>
      </c>
      <c r="I2319" s="9" t="s">
        <v>411</v>
      </c>
      <c r="J2319" s="9" t="s">
        <v>139</v>
      </c>
      <c r="K2319" s="10">
        <v>39721.617303240739</v>
      </c>
    </row>
    <row r="2320" spans="1:11" x14ac:dyDescent="0.25">
      <c r="A2320" s="8">
        <v>3495</v>
      </c>
      <c r="B2320" s="9" t="s">
        <v>6677</v>
      </c>
      <c r="C2320" s="9" t="s">
        <v>4841</v>
      </c>
      <c r="D2320" s="9" t="s">
        <v>139</v>
      </c>
      <c r="E2320" s="9" t="s">
        <v>3009</v>
      </c>
      <c r="F2320" s="9" t="s">
        <v>3010</v>
      </c>
      <c r="G2320" s="9" t="s">
        <v>142</v>
      </c>
      <c r="H2320" s="9" t="s">
        <v>139</v>
      </c>
      <c r="I2320" s="9" t="s">
        <v>411</v>
      </c>
      <c r="J2320" s="9" t="s">
        <v>139</v>
      </c>
      <c r="K2320" s="10">
        <v>39721.618518518517</v>
      </c>
    </row>
    <row r="2321" spans="1:11" x14ac:dyDescent="0.25">
      <c r="A2321" s="8">
        <v>3496</v>
      </c>
      <c r="B2321" s="9" t="s">
        <v>6678</v>
      </c>
      <c r="C2321" s="9" t="s">
        <v>4842</v>
      </c>
      <c r="D2321" s="9" t="s">
        <v>139</v>
      </c>
      <c r="E2321" s="9" t="s">
        <v>3005</v>
      </c>
      <c r="F2321" s="9" t="s">
        <v>3006</v>
      </c>
      <c r="G2321" s="9" t="s">
        <v>142</v>
      </c>
      <c r="H2321" s="9" t="s">
        <v>139</v>
      </c>
      <c r="I2321" s="9" t="s">
        <v>411</v>
      </c>
      <c r="J2321" s="9" t="s">
        <v>139</v>
      </c>
      <c r="K2321" s="10">
        <v>39721.61917824074</v>
      </c>
    </row>
    <row r="2322" spans="1:11" x14ac:dyDescent="0.25">
      <c r="A2322" s="8">
        <v>3497</v>
      </c>
      <c r="B2322" s="9" t="s">
        <v>6679</v>
      </c>
      <c r="C2322" s="9" t="s">
        <v>4843</v>
      </c>
      <c r="D2322" s="9" t="s">
        <v>139</v>
      </c>
      <c r="E2322" s="9" t="s">
        <v>4844</v>
      </c>
      <c r="F2322" s="9" t="s">
        <v>4845</v>
      </c>
      <c r="G2322" s="9" t="s">
        <v>142</v>
      </c>
      <c r="H2322" s="9" t="s">
        <v>139</v>
      </c>
      <c r="I2322" s="9" t="s">
        <v>411</v>
      </c>
      <c r="J2322" s="9" t="s">
        <v>139</v>
      </c>
      <c r="K2322" s="10">
        <v>39721.620162037034</v>
      </c>
    </row>
    <row r="2323" spans="1:11" x14ac:dyDescent="0.25">
      <c r="A2323" s="8">
        <v>3498</v>
      </c>
      <c r="B2323" s="9" t="s">
        <v>6680</v>
      </c>
      <c r="C2323" s="9" t="s">
        <v>4846</v>
      </c>
      <c r="D2323" s="9" t="s">
        <v>139</v>
      </c>
      <c r="E2323" s="9" t="s">
        <v>4847</v>
      </c>
      <c r="F2323" s="9" t="s">
        <v>4848</v>
      </c>
      <c r="G2323" s="9" t="s">
        <v>142</v>
      </c>
      <c r="H2323" s="9" t="s">
        <v>139</v>
      </c>
      <c r="I2323" s="9" t="s">
        <v>411</v>
      </c>
      <c r="J2323" s="9" t="s">
        <v>139</v>
      </c>
      <c r="K2323" s="10">
        <v>39721.621307870373</v>
      </c>
    </row>
    <row r="2324" spans="1:11" x14ac:dyDescent="0.25">
      <c r="A2324" s="8">
        <v>3499</v>
      </c>
      <c r="B2324" s="9" t="s">
        <v>6681</v>
      </c>
      <c r="C2324" s="9" t="s">
        <v>4849</v>
      </c>
      <c r="D2324" s="9" t="s">
        <v>139</v>
      </c>
      <c r="E2324" s="9" t="s">
        <v>970</v>
      </c>
      <c r="F2324" s="9" t="s">
        <v>971</v>
      </c>
      <c r="G2324" s="9" t="s">
        <v>142</v>
      </c>
      <c r="H2324" s="9" t="s">
        <v>139</v>
      </c>
      <c r="I2324" s="9" t="s">
        <v>411</v>
      </c>
      <c r="J2324" s="9" t="s">
        <v>139</v>
      </c>
      <c r="K2324" s="10">
        <v>39721.622754629629</v>
      </c>
    </row>
    <row r="2325" spans="1:11" x14ac:dyDescent="0.25">
      <c r="A2325" s="8">
        <v>3500</v>
      </c>
      <c r="B2325" s="9" t="s">
        <v>6682</v>
      </c>
      <c r="C2325" s="9" t="s">
        <v>4850</v>
      </c>
      <c r="D2325" s="9" t="s">
        <v>139</v>
      </c>
      <c r="E2325" s="9" t="s">
        <v>4851</v>
      </c>
      <c r="F2325" s="9" t="s">
        <v>971</v>
      </c>
      <c r="G2325" s="9" t="s">
        <v>142</v>
      </c>
      <c r="H2325" s="9" t="s">
        <v>139</v>
      </c>
      <c r="I2325" s="9" t="s">
        <v>411</v>
      </c>
      <c r="J2325" s="9" t="s">
        <v>139</v>
      </c>
      <c r="K2325" s="10">
        <v>39721.623645833337</v>
      </c>
    </row>
    <row r="2326" spans="1:11" x14ac:dyDescent="0.25">
      <c r="A2326" s="8">
        <v>3501</v>
      </c>
      <c r="B2326" s="9" t="s">
        <v>6683</v>
      </c>
      <c r="C2326" s="9" t="s">
        <v>4852</v>
      </c>
      <c r="D2326" s="9" t="s">
        <v>139</v>
      </c>
      <c r="E2326" s="9" t="s">
        <v>4853</v>
      </c>
      <c r="F2326" s="9" t="s">
        <v>971</v>
      </c>
      <c r="G2326" s="9" t="s">
        <v>142</v>
      </c>
      <c r="H2326" s="9" t="s">
        <v>139</v>
      </c>
      <c r="I2326" s="9" t="s">
        <v>411</v>
      </c>
      <c r="J2326" s="9" t="s">
        <v>139</v>
      </c>
      <c r="K2326" s="10">
        <v>39721.626134259262</v>
      </c>
    </row>
    <row r="2327" spans="1:11" x14ac:dyDescent="0.25">
      <c r="A2327" s="8">
        <v>3502</v>
      </c>
      <c r="B2327" s="9" t="s">
        <v>6684</v>
      </c>
      <c r="C2327" s="9" t="s">
        <v>4854</v>
      </c>
      <c r="D2327" s="9" t="s">
        <v>139</v>
      </c>
      <c r="E2327" s="9" t="s">
        <v>1187</v>
      </c>
      <c r="F2327" s="9" t="s">
        <v>971</v>
      </c>
      <c r="G2327" s="9" t="s">
        <v>142</v>
      </c>
      <c r="H2327" s="9" t="s">
        <v>139</v>
      </c>
      <c r="I2327" s="9" t="s">
        <v>411</v>
      </c>
      <c r="J2327" s="9" t="s">
        <v>139</v>
      </c>
      <c r="K2327" s="10">
        <v>39721.626921296294</v>
      </c>
    </row>
    <row r="2328" spans="1:11" x14ac:dyDescent="0.25">
      <c r="A2328" s="8">
        <v>3503</v>
      </c>
      <c r="B2328" s="9" t="s">
        <v>6685</v>
      </c>
      <c r="C2328" s="9" t="s">
        <v>4855</v>
      </c>
      <c r="D2328" s="9" t="s">
        <v>139</v>
      </c>
      <c r="E2328" s="9" t="s">
        <v>3766</v>
      </c>
      <c r="F2328" s="9" t="s">
        <v>971</v>
      </c>
      <c r="G2328" s="9" t="s">
        <v>142</v>
      </c>
      <c r="H2328" s="9" t="s">
        <v>139</v>
      </c>
      <c r="I2328" s="9" t="s">
        <v>411</v>
      </c>
      <c r="J2328" s="9" t="s">
        <v>139</v>
      </c>
      <c r="K2328" s="10">
        <v>39721.627893518518</v>
      </c>
    </row>
    <row r="2329" spans="1:11" x14ac:dyDescent="0.25">
      <c r="A2329" s="8">
        <v>3504</v>
      </c>
      <c r="B2329" s="9" t="s">
        <v>6686</v>
      </c>
      <c r="C2329" s="9" t="s">
        <v>4856</v>
      </c>
      <c r="D2329" s="9" t="s">
        <v>139</v>
      </c>
      <c r="E2329" s="9" t="s">
        <v>3766</v>
      </c>
      <c r="F2329" s="9" t="s">
        <v>971</v>
      </c>
      <c r="G2329" s="9" t="s">
        <v>142</v>
      </c>
      <c r="H2329" s="9" t="s">
        <v>139</v>
      </c>
      <c r="I2329" s="9" t="s">
        <v>411</v>
      </c>
      <c r="J2329" s="9" t="s">
        <v>139</v>
      </c>
      <c r="K2329" s="10">
        <v>39721.628541666665</v>
      </c>
    </row>
    <row r="2330" spans="1:11" x14ac:dyDescent="0.25">
      <c r="A2330" s="8">
        <v>3505</v>
      </c>
      <c r="B2330" s="9" t="s">
        <v>6687</v>
      </c>
      <c r="C2330" s="9" t="s">
        <v>4857</v>
      </c>
      <c r="D2330" s="9" t="s">
        <v>139</v>
      </c>
      <c r="E2330" s="9" t="s">
        <v>4858</v>
      </c>
      <c r="F2330" s="9" t="s">
        <v>4859</v>
      </c>
      <c r="G2330" s="9" t="s">
        <v>142</v>
      </c>
      <c r="H2330" s="9" t="s">
        <v>139</v>
      </c>
      <c r="I2330" s="9" t="s">
        <v>411</v>
      </c>
      <c r="J2330" s="9" t="s">
        <v>139</v>
      </c>
      <c r="K2330" s="10">
        <v>39721.629340277781</v>
      </c>
    </row>
    <row r="2331" spans="1:11" x14ac:dyDescent="0.25">
      <c r="A2331" s="8">
        <v>3506</v>
      </c>
      <c r="B2331" s="9" t="s">
        <v>6688</v>
      </c>
      <c r="C2331" s="9" t="s">
        <v>4860</v>
      </c>
      <c r="D2331" s="9" t="s">
        <v>139</v>
      </c>
      <c r="E2331" s="9" t="s">
        <v>4844</v>
      </c>
      <c r="F2331" s="9" t="s">
        <v>4861</v>
      </c>
      <c r="G2331" s="9" t="s">
        <v>142</v>
      </c>
      <c r="H2331" s="9" t="s">
        <v>139</v>
      </c>
      <c r="I2331" s="9" t="s">
        <v>411</v>
      </c>
      <c r="J2331" s="9" t="s">
        <v>139</v>
      </c>
      <c r="K2331" s="10">
        <v>39721.630497685182</v>
      </c>
    </row>
    <row r="2332" spans="1:11" x14ac:dyDescent="0.25">
      <c r="A2332" s="8">
        <v>3507</v>
      </c>
      <c r="B2332" s="9" t="s">
        <v>6689</v>
      </c>
      <c r="C2332" s="9" t="s">
        <v>4862</v>
      </c>
      <c r="D2332" s="9" t="s">
        <v>139</v>
      </c>
      <c r="E2332" s="9" t="s">
        <v>1619</v>
      </c>
      <c r="F2332" s="9" t="s">
        <v>4863</v>
      </c>
      <c r="G2332" s="9" t="s">
        <v>142</v>
      </c>
      <c r="H2332" s="9" t="s">
        <v>139</v>
      </c>
      <c r="I2332" s="9" t="s">
        <v>411</v>
      </c>
      <c r="J2332" s="9" t="s">
        <v>139</v>
      </c>
      <c r="K2332" s="10">
        <v>39721.631284722222</v>
      </c>
    </row>
    <row r="2333" spans="1:11" x14ac:dyDescent="0.25">
      <c r="A2333" s="8">
        <v>3508</v>
      </c>
      <c r="B2333" s="9" t="s">
        <v>6690</v>
      </c>
      <c r="C2333" s="9" t="s">
        <v>4864</v>
      </c>
      <c r="D2333" s="9" t="s">
        <v>139</v>
      </c>
      <c r="E2333" s="9" t="s">
        <v>4865</v>
      </c>
      <c r="F2333" s="9" t="s">
        <v>4866</v>
      </c>
      <c r="G2333" s="9" t="s">
        <v>142</v>
      </c>
      <c r="H2333" s="9" t="s">
        <v>139</v>
      </c>
      <c r="I2333" s="9" t="s">
        <v>411</v>
      </c>
      <c r="J2333" s="9" t="s">
        <v>139</v>
      </c>
      <c r="K2333" s="10">
        <v>39721.631932870368</v>
      </c>
    </row>
    <row r="2334" spans="1:11" x14ac:dyDescent="0.25">
      <c r="A2334" s="8">
        <v>3509</v>
      </c>
      <c r="B2334" s="9" t="s">
        <v>6691</v>
      </c>
      <c r="C2334" s="9" t="s">
        <v>4867</v>
      </c>
      <c r="D2334" s="9" t="s">
        <v>139</v>
      </c>
      <c r="E2334" s="9" t="s">
        <v>1619</v>
      </c>
      <c r="F2334" s="9" t="s">
        <v>1703</v>
      </c>
      <c r="G2334" s="9" t="s">
        <v>142</v>
      </c>
      <c r="H2334" s="9" t="s">
        <v>139</v>
      </c>
      <c r="I2334" s="9" t="s">
        <v>411</v>
      </c>
      <c r="J2334" s="9" t="s">
        <v>139</v>
      </c>
      <c r="K2334" s="10">
        <v>39721.632997685185</v>
      </c>
    </row>
    <row r="2335" spans="1:11" x14ac:dyDescent="0.25">
      <c r="A2335" s="8">
        <v>3511</v>
      </c>
      <c r="B2335" s="9" t="s">
        <v>6692</v>
      </c>
      <c r="C2335" s="9" t="s">
        <v>4868</v>
      </c>
      <c r="D2335" s="9" t="s">
        <v>139</v>
      </c>
      <c r="E2335" s="9" t="s">
        <v>4869</v>
      </c>
      <c r="F2335" s="9" t="s">
        <v>4870</v>
      </c>
      <c r="G2335" s="9" t="s">
        <v>142</v>
      </c>
      <c r="H2335" s="9" t="s">
        <v>139</v>
      </c>
      <c r="I2335" s="9" t="s">
        <v>411</v>
      </c>
      <c r="J2335" s="9" t="s">
        <v>139</v>
      </c>
      <c r="K2335" s="10">
        <v>39721.635694444441</v>
      </c>
    </row>
    <row r="2336" spans="1:11" x14ac:dyDescent="0.25">
      <c r="A2336" s="8">
        <v>3512</v>
      </c>
      <c r="B2336" s="9" t="s">
        <v>6693</v>
      </c>
      <c r="C2336" s="9" t="s">
        <v>4871</v>
      </c>
      <c r="D2336" s="9" t="s">
        <v>139</v>
      </c>
      <c r="E2336" s="9" t="s">
        <v>3174</v>
      </c>
      <c r="F2336" s="9" t="s">
        <v>3175</v>
      </c>
      <c r="G2336" s="9" t="s">
        <v>142</v>
      </c>
      <c r="H2336" s="9" t="s">
        <v>139</v>
      </c>
      <c r="I2336" s="9" t="s">
        <v>411</v>
      </c>
      <c r="J2336" s="9" t="s">
        <v>139</v>
      </c>
      <c r="K2336" s="10">
        <v>39721.636435185188</v>
      </c>
    </row>
    <row r="2337" spans="1:11" x14ac:dyDescent="0.25">
      <c r="A2337" s="8">
        <v>3513</v>
      </c>
      <c r="B2337" s="9" t="s">
        <v>6694</v>
      </c>
      <c r="C2337" s="9" t="s">
        <v>4872</v>
      </c>
      <c r="D2337" s="9" t="s">
        <v>139</v>
      </c>
      <c r="E2337" s="9" t="s">
        <v>4873</v>
      </c>
      <c r="F2337" s="9" t="s">
        <v>4874</v>
      </c>
      <c r="G2337" s="9" t="s">
        <v>142</v>
      </c>
      <c r="H2337" s="9" t="s">
        <v>139</v>
      </c>
      <c r="I2337" s="9" t="s">
        <v>411</v>
      </c>
      <c r="J2337" s="9" t="s">
        <v>139</v>
      </c>
      <c r="K2337" s="10">
        <v>39721.637129629627</v>
      </c>
    </row>
    <row r="2338" spans="1:11" x14ac:dyDescent="0.25">
      <c r="A2338" s="8">
        <v>3514</v>
      </c>
      <c r="B2338" s="9" t="s">
        <v>6695</v>
      </c>
      <c r="C2338" s="9" t="s">
        <v>4875</v>
      </c>
      <c r="D2338" s="9" t="s">
        <v>139</v>
      </c>
      <c r="E2338" s="9" t="s">
        <v>3174</v>
      </c>
      <c r="F2338" s="9" t="s">
        <v>4876</v>
      </c>
      <c r="G2338" s="9" t="s">
        <v>142</v>
      </c>
      <c r="H2338" s="9" t="s">
        <v>139</v>
      </c>
      <c r="I2338" s="9" t="s">
        <v>411</v>
      </c>
      <c r="J2338" s="9" t="s">
        <v>139</v>
      </c>
      <c r="K2338" s="10">
        <v>39721.63789351852</v>
      </c>
    </row>
    <row r="2339" spans="1:11" x14ac:dyDescent="0.25">
      <c r="A2339" s="8">
        <v>3515</v>
      </c>
      <c r="B2339" s="9" t="s">
        <v>6696</v>
      </c>
      <c r="C2339" s="9" t="s">
        <v>4877</v>
      </c>
      <c r="D2339" s="9" t="s">
        <v>139</v>
      </c>
      <c r="E2339" s="9" t="s">
        <v>4878</v>
      </c>
      <c r="F2339" s="9" t="s">
        <v>4879</v>
      </c>
      <c r="G2339" s="9" t="s">
        <v>142</v>
      </c>
      <c r="H2339" s="9" t="s">
        <v>139</v>
      </c>
      <c r="I2339" s="9" t="s">
        <v>411</v>
      </c>
      <c r="J2339" s="9" t="s">
        <v>139</v>
      </c>
      <c r="K2339" s="10">
        <v>39721.638761574075</v>
      </c>
    </row>
    <row r="2340" spans="1:11" x14ac:dyDescent="0.25">
      <c r="A2340" s="8">
        <v>3516</v>
      </c>
      <c r="B2340" s="9" t="s">
        <v>6697</v>
      </c>
      <c r="C2340" s="9" t="s">
        <v>4880</v>
      </c>
      <c r="D2340" s="9" t="s">
        <v>139</v>
      </c>
      <c r="E2340" s="9" t="s">
        <v>4881</v>
      </c>
      <c r="F2340" s="9" t="s">
        <v>4882</v>
      </c>
      <c r="G2340" s="9" t="s">
        <v>142</v>
      </c>
      <c r="H2340" s="9" t="s">
        <v>139</v>
      </c>
      <c r="I2340" s="9" t="s">
        <v>411</v>
      </c>
      <c r="J2340" s="9" t="s">
        <v>139</v>
      </c>
      <c r="K2340" s="10">
        <v>39721.639479166668</v>
      </c>
    </row>
    <row r="2341" spans="1:11" x14ac:dyDescent="0.25">
      <c r="A2341" s="8">
        <v>3517</v>
      </c>
      <c r="B2341" s="9" t="s">
        <v>6698</v>
      </c>
      <c r="C2341" s="9" t="s">
        <v>4883</v>
      </c>
      <c r="D2341" s="9" t="s">
        <v>139</v>
      </c>
      <c r="E2341" s="9" t="s">
        <v>2057</v>
      </c>
      <c r="F2341" s="9" t="s">
        <v>1469</v>
      </c>
      <c r="G2341" s="9" t="s">
        <v>142</v>
      </c>
      <c r="H2341" s="9" t="s">
        <v>139</v>
      </c>
      <c r="I2341" s="9" t="s">
        <v>411</v>
      </c>
      <c r="J2341" s="9" t="s">
        <v>139</v>
      </c>
      <c r="K2341" s="10">
        <v>39721.6403125</v>
      </c>
    </row>
    <row r="2342" spans="1:11" x14ac:dyDescent="0.25">
      <c r="A2342" s="8">
        <v>3519</v>
      </c>
      <c r="B2342" s="9" t="s">
        <v>6699</v>
      </c>
      <c r="C2342" s="9" t="s">
        <v>4884</v>
      </c>
      <c r="D2342" s="9" t="s">
        <v>139</v>
      </c>
      <c r="E2342" s="9" t="s">
        <v>1468</v>
      </c>
      <c r="F2342" s="9" t="s">
        <v>1469</v>
      </c>
      <c r="G2342" s="9" t="s">
        <v>142</v>
      </c>
      <c r="H2342" s="9" t="s">
        <v>139</v>
      </c>
      <c r="I2342" s="9" t="s">
        <v>411</v>
      </c>
      <c r="J2342" s="9" t="s">
        <v>139</v>
      </c>
      <c r="K2342" s="10">
        <v>39721.642488425925</v>
      </c>
    </row>
    <row r="2343" spans="1:11" x14ac:dyDescent="0.25">
      <c r="A2343" s="8">
        <v>3520</v>
      </c>
      <c r="B2343" s="9" t="s">
        <v>6700</v>
      </c>
      <c r="C2343" s="9" t="s">
        <v>4885</v>
      </c>
      <c r="D2343" s="9" t="s">
        <v>139</v>
      </c>
      <c r="E2343" s="9" t="s">
        <v>4886</v>
      </c>
      <c r="F2343" s="9" t="s">
        <v>4887</v>
      </c>
      <c r="G2343" s="9" t="s">
        <v>142</v>
      </c>
      <c r="H2343" s="9" t="s">
        <v>139</v>
      </c>
      <c r="I2343" s="9" t="s">
        <v>411</v>
      </c>
      <c r="J2343" s="9" t="s">
        <v>139</v>
      </c>
      <c r="K2343" s="10">
        <v>39721.643391203703</v>
      </c>
    </row>
    <row r="2344" spans="1:11" x14ac:dyDescent="0.25">
      <c r="A2344" s="8">
        <v>3521</v>
      </c>
      <c r="B2344" s="9" t="s">
        <v>6701</v>
      </c>
      <c r="C2344" s="9" t="s">
        <v>4888</v>
      </c>
      <c r="D2344" s="9" t="s">
        <v>139</v>
      </c>
      <c r="E2344" s="9" t="s">
        <v>4889</v>
      </c>
      <c r="F2344" s="9" t="s">
        <v>4890</v>
      </c>
      <c r="G2344" s="9" t="s">
        <v>142</v>
      </c>
      <c r="H2344" s="9" t="s">
        <v>139</v>
      </c>
      <c r="I2344" s="9" t="s">
        <v>411</v>
      </c>
      <c r="J2344" s="9" t="s">
        <v>139</v>
      </c>
      <c r="K2344" s="10">
        <v>39721.64775462963</v>
      </c>
    </row>
    <row r="2345" spans="1:11" x14ac:dyDescent="0.25">
      <c r="A2345" s="8">
        <v>3522</v>
      </c>
      <c r="B2345" s="9" t="s">
        <v>6702</v>
      </c>
      <c r="C2345" s="9" t="s">
        <v>4891</v>
      </c>
      <c r="D2345" s="9" t="s">
        <v>139</v>
      </c>
      <c r="E2345" s="9" t="s">
        <v>4892</v>
      </c>
      <c r="F2345" s="9" t="s">
        <v>4893</v>
      </c>
      <c r="G2345" s="9" t="s">
        <v>142</v>
      </c>
      <c r="H2345" s="9" t="s">
        <v>139</v>
      </c>
      <c r="I2345" s="9" t="s">
        <v>411</v>
      </c>
      <c r="J2345" s="9" t="s">
        <v>139</v>
      </c>
      <c r="K2345" s="10">
        <v>39721.650127314817</v>
      </c>
    </row>
    <row r="2346" spans="1:11" x14ac:dyDescent="0.25">
      <c r="A2346" s="8">
        <v>3523</v>
      </c>
      <c r="B2346" s="9" t="s">
        <v>6703</v>
      </c>
      <c r="C2346" s="9" t="s">
        <v>4894</v>
      </c>
      <c r="D2346" s="9" t="s">
        <v>139</v>
      </c>
      <c r="E2346" s="9" t="s">
        <v>4895</v>
      </c>
      <c r="F2346" s="9" t="s">
        <v>4896</v>
      </c>
      <c r="G2346" s="9" t="s">
        <v>142</v>
      </c>
      <c r="H2346" s="9" t="s">
        <v>139</v>
      </c>
      <c r="I2346" s="9" t="s">
        <v>411</v>
      </c>
      <c r="J2346" s="9" t="s">
        <v>139</v>
      </c>
      <c r="K2346" s="10">
        <v>39721.650925925926</v>
      </c>
    </row>
    <row r="2347" spans="1:11" x14ac:dyDescent="0.25">
      <c r="A2347" s="8">
        <v>3524</v>
      </c>
      <c r="B2347" s="9" t="s">
        <v>6704</v>
      </c>
      <c r="C2347" s="9" t="s">
        <v>4897</v>
      </c>
      <c r="D2347" s="9" t="s">
        <v>139</v>
      </c>
      <c r="E2347" s="9" t="s">
        <v>2051</v>
      </c>
      <c r="F2347" s="9" t="s">
        <v>4898</v>
      </c>
      <c r="G2347" s="9" t="s">
        <v>142</v>
      </c>
      <c r="H2347" s="9" t="s">
        <v>139</v>
      </c>
      <c r="I2347" s="9" t="s">
        <v>411</v>
      </c>
      <c r="J2347" s="9" t="s">
        <v>139</v>
      </c>
      <c r="K2347" s="10">
        <v>39721.651724537034</v>
      </c>
    </row>
    <row r="2348" spans="1:11" x14ac:dyDescent="0.25">
      <c r="A2348" s="8">
        <v>3525</v>
      </c>
      <c r="B2348" s="9" t="s">
        <v>6705</v>
      </c>
      <c r="C2348" s="9" t="s">
        <v>4899</v>
      </c>
      <c r="D2348" s="9" t="s">
        <v>139</v>
      </c>
      <c r="E2348" s="9" t="s">
        <v>4900</v>
      </c>
      <c r="F2348" s="9" t="s">
        <v>4901</v>
      </c>
      <c r="G2348" s="9" t="s">
        <v>142</v>
      </c>
      <c r="H2348" s="9" t="s">
        <v>139</v>
      </c>
      <c r="I2348" s="9" t="s">
        <v>411</v>
      </c>
      <c r="J2348" s="9" t="s">
        <v>139</v>
      </c>
      <c r="K2348" s="10">
        <v>39721.652939814812</v>
      </c>
    </row>
    <row r="2349" spans="1:11" x14ac:dyDescent="0.25">
      <c r="A2349" s="8">
        <v>3526</v>
      </c>
      <c r="B2349" s="9" t="s">
        <v>6706</v>
      </c>
      <c r="C2349" s="9" t="s">
        <v>4902</v>
      </c>
      <c r="D2349" s="9" t="s">
        <v>139</v>
      </c>
      <c r="E2349" s="9" t="s">
        <v>3196</v>
      </c>
      <c r="F2349" s="9" t="s">
        <v>3197</v>
      </c>
      <c r="G2349" s="9" t="s">
        <v>142</v>
      </c>
      <c r="H2349" s="9" t="s">
        <v>139</v>
      </c>
      <c r="I2349" s="9" t="s">
        <v>411</v>
      </c>
      <c r="J2349" s="9" t="s">
        <v>139</v>
      </c>
      <c r="K2349" s="10">
        <v>39721.654467592591</v>
      </c>
    </row>
    <row r="2350" spans="1:11" x14ac:dyDescent="0.25">
      <c r="A2350" s="8">
        <v>3527</v>
      </c>
      <c r="B2350" s="9" t="s">
        <v>6707</v>
      </c>
      <c r="C2350" s="9" t="s">
        <v>4903</v>
      </c>
      <c r="D2350" s="9" t="s">
        <v>139</v>
      </c>
      <c r="E2350" s="9" t="s">
        <v>3196</v>
      </c>
      <c r="F2350" s="9" t="s">
        <v>3197</v>
      </c>
      <c r="G2350" s="9" t="s">
        <v>142</v>
      </c>
      <c r="H2350" s="9" t="s">
        <v>139</v>
      </c>
      <c r="I2350" s="9" t="s">
        <v>411</v>
      </c>
      <c r="J2350" s="9" t="s">
        <v>139</v>
      </c>
      <c r="K2350" s="10">
        <v>39721.655300925922</v>
      </c>
    </row>
    <row r="2351" spans="1:11" x14ac:dyDescent="0.25">
      <c r="A2351" s="8">
        <v>3528</v>
      </c>
      <c r="B2351" s="9" t="s">
        <v>6708</v>
      </c>
      <c r="C2351" s="9" t="s">
        <v>4904</v>
      </c>
      <c r="D2351" s="9" t="s">
        <v>139</v>
      </c>
      <c r="E2351" s="9" t="s">
        <v>4905</v>
      </c>
      <c r="F2351" s="9" t="s">
        <v>4906</v>
      </c>
      <c r="G2351" s="9" t="s">
        <v>142</v>
      </c>
      <c r="H2351" s="9" t="s">
        <v>139</v>
      </c>
      <c r="I2351" s="9" t="s">
        <v>411</v>
      </c>
      <c r="J2351" s="9" t="s">
        <v>139</v>
      </c>
      <c r="K2351" s="10">
        <v>39721.668738425928</v>
      </c>
    </row>
    <row r="2352" spans="1:11" x14ac:dyDescent="0.25">
      <c r="A2352" s="8">
        <v>3529</v>
      </c>
      <c r="B2352" s="9" t="s">
        <v>6709</v>
      </c>
      <c r="C2352" s="9" t="s">
        <v>4907</v>
      </c>
      <c r="D2352" s="9" t="s">
        <v>139</v>
      </c>
      <c r="E2352" s="9" t="s">
        <v>4908</v>
      </c>
      <c r="F2352" s="9" t="s">
        <v>4909</v>
      </c>
      <c r="G2352" s="9" t="s">
        <v>142</v>
      </c>
      <c r="H2352" s="9" t="s">
        <v>139</v>
      </c>
      <c r="I2352" s="9" t="s">
        <v>411</v>
      </c>
      <c r="J2352" s="9" t="s">
        <v>139</v>
      </c>
      <c r="K2352" s="10">
        <v>39721.670231481483</v>
      </c>
    </row>
    <row r="2353" spans="1:11" x14ac:dyDescent="0.25">
      <c r="A2353" s="8">
        <v>3530</v>
      </c>
      <c r="B2353" s="9" t="s">
        <v>6710</v>
      </c>
      <c r="C2353" s="9" t="s">
        <v>4910</v>
      </c>
      <c r="D2353" s="9" t="s">
        <v>139</v>
      </c>
      <c r="E2353" s="9" t="s">
        <v>4911</v>
      </c>
      <c r="F2353" s="9" t="s">
        <v>4912</v>
      </c>
      <c r="G2353" s="9" t="s">
        <v>142</v>
      </c>
      <c r="H2353" s="9" t="s">
        <v>139</v>
      </c>
      <c r="I2353" s="9" t="s">
        <v>411</v>
      </c>
      <c r="J2353" s="9" t="s">
        <v>139</v>
      </c>
      <c r="K2353" s="10">
        <v>39721.671249999999</v>
      </c>
    </row>
    <row r="2354" spans="1:11" x14ac:dyDescent="0.25">
      <c r="A2354" s="8">
        <v>3531</v>
      </c>
      <c r="B2354" s="9" t="s">
        <v>6711</v>
      </c>
      <c r="C2354" s="9" t="s">
        <v>4913</v>
      </c>
      <c r="D2354" s="9" t="s">
        <v>139</v>
      </c>
      <c r="E2354" s="9" t="s">
        <v>4914</v>
      </c>
      <c r="F2354" s="9" t="s">
        <v>4915</v>
      </c>
      <c r="G2354" s="9" t="s">
        <v>142</v>
      </c>
      <c r="H2354" s="9" t="s">
        <v>139</v>
      </c>
      <c r="I2354" s="9" t="s">
        <v>411</v>
      </c>
      <c r="J2354" s="9" t="s">
        <v>139</v>
      </c>
      <c r="K2354" s="10">
        <v>39721.67328703704</v>
      </c>
    </row>
    <row r="2355" spans="1:11" x14ac:dyDescent="0.25">
      <c r="A2355" s="8">
        <v>3532</v>
      </c>
      <c r="B2355" s="9" t="s">
        <v>6712</v>
      </c>
      <c r="C2355" s="9" t="s">
        <v>4916</v>
      </c>
      <c r="D2355" s="9" t="s">
        <v>139</v>
      </c>
      <c r="E2355" s="9" t="s">
        <v>4917</v>
      </c>
      <c r="F2355" s="9" t="s">
        <v>4918</v>
      </c>
      <c r="G2355" s="9" t="s">
        <v>142</v>
      </c>
      <c r="H2355" s="9" t="s">
        <v>139</v>
      </c>
      <c r="I2355" s="9" t="s">
        <v>411</v>
      </c>
      <c r="J2355" s="9" t="s">
        <v>139</v>
      </c>
      <c r="K2355" s="10">
        <v>39721.674675925926</v>
      </c>
    </row>
    <row r="2356" spans="1:11" x14ac:dyDescent="0.25">
      <c r="A2356" s="8">
        <v>3533</v>
      </c>
      <c r="B2356" s="9" t="s">
        <v>6713</v>
      </c>
      <c r="C2356" s="9" t="s">
        <v>4919</v>
      </c>
      <c r="D2356" s="9" t="s">
        <v>139</v>
      </c>
      <c r="E2356" s="9" t="s">
        <v>4920</v>
      </c>
      <c r="F2356" s="9" t="s">
        <v>4921</v>
      </c>
      <c r="G2356" s="9" t="s">
        <v>142</v>
      </c>
      <c r="H2356" s="9" t="s">
        <v>139</v>
      </c>
      <c r="I2356" s="9" t="s">
        <v>411</v>
      </c>
      <c r="J2356" s="9" t="s">
        <v>139</v>
      </c>
      <c r="K2356" s="10">
        <v>39721.675462962965</v>
      </c>
    </row>
    <row r="2357" spans="1:11" x14ac:dyDescent="0.25">
      <c r="A2357" s="8">
        <v>3534</v>
      </c>
      <c r="B2357" s="9" t="s">
        <v>6714</v>
      </c>
      <c r="C2357" s="9" t="s">
        <v>4922</v>
      </c>
      <c r="D2357" s="9" t="s">
        <v>139</v>
      </c>
      <c r="E2357" s="9" t="s">
        <v>4923</v>
      </c>
      <c r="F2357" s="9" t="s">
        <v>404</v>
      </c>
      <c r="G2357" s="9" t="s">
        <v>142</v>
      </c>
      <c r="H2357" s="9" t="s">
        <v>139</v>
      </c>
      <c r="I2357" s="9" t="s">
        <v>411</v>
      </c>
      <c r="J2357" s="9" t="s">
        <v>139</v>
      </c>
      <c r="K2357" s="10">
        <v>39721.676296296297</v>
      </c>
    </row>
    <row r="2358" spans="1:11" x14ac:dyDescent="0.25">
      <c r="A2358" s="8">
        <v>3535</v>
      </c>
      <c r="B2358" s="9" t="s">
        <v>6715</v>
      </c>
      <c r="C2358" s="9" t="s">
        <v>4924</v>
      </c>
      <c r="D2358" s="9" t="s">
        <v>139</v>
      </c>
      <c r="E2358" s="9" t="s">
        <v>4925</v>
      </c>
      <c r="F2358" s="9" t="s">
        <v>4926</v>
      </c>
      <c r="G2358" s="9" t="s">
        <v>142</v>
      </c>
      <c r="H2358" s="9" t="s">
        <v>139</v>
      </c>
      <c r="I2358" s="9" t="s">
        <v>411</v>
      </c>
      <c r="J2358" s="9" t="s">
        <v>139</v>
      </c>
      <c r="K2358" s="10">
        <v>39721.677291666667</v>
      </c>
    </row>
    <row r="2359" spans="1:11" x14ac:dyDescent="0.25">
      <c r="A2359" s="8">
        <v>3536</v>
      </c>
      <c r="B2359" s="9" t="s">
        <v>6716</v>
      </c>
      <c r="C2359" s="9" t="s">
        <v>4927</v>
      </c>
      <c r="D2359" s="9" t="s">
        <v>139</v>
      </c>
      <c r="E2359" s="9" t="s">
        <v>4928</v>
      </c>
      <c r="F2359" s="9" t="s">
        <v>4929</v>
      </c>
      <c r="G2359" s="9" t="s">
        <v>142</v>
      </c>
      <c r="H2359" s="9" t="s">
        <v>139</v>
      </c>
      <c r="I2359" s="9" t="s">
        <v>411</v>
      </c>
      <c r="J2359" s="9" t="s">
        <v>139</v>
      </c>
      <c r="K2359" s="10">
        <v>39721.678842592592</v>
      </c>
    </row>
    <row r="2360" spans="1:11" x14ac:dyDescent="0.25">
      <c r="A2360" s="8">
        <v>3537</v>
      </c>
      <c r="B2360" s="9" t="s">
        <v>6717</v>
      </c>
      <c r="C2360" s="9" t="s">
        <v>4930</v>
      </c>
      <c r="D2360" s="9" t="s">
        <v>139</v>
      </c>
      <c r="E2360" s="9" t="s">
        <v>2513</v>
      </c>
      <c r="F2360" s="9" t="s">
        <v>4931</v>
      </c>
      <c r="G2360" s="9" t="s">
        <v>142</v>
      </c>
      <c r="H2360" s="9" t="s">
        <v>139</v>
      </c>
      <c r="I2360" s="9" t="s">
        <v>411</v>
      </c>
      <c r="J2360" s="9" t="s">
        <v>139</v>
      </c>
      <c r="K2360" s="10">
        <v>39721.679803240739</v>
      </c>
    </row>
    <row r="2361" spans="1:11" x14ac:dyDescent="0.25">
      <c r="A2361" s="8">
        <v>3538</v>
      </c>
      <c r="B2361" s="9" t="s">
        <v>6718</v>
      </c>
      <c r="C2361" s="9" t="s">
        <v>4932</v>
      </c>
      <c r="D2361" s="9" t="s">
        <v>139</v>
      </c>
      <c r="E2361" s="9" t="s">
        <v>2994</v>
      </c>
      <c r="F2361" s="9" t="s">
        <v>2995</v>
      </c>
      <c r="G2361" s="9" t="s">
        <v>142</v>
      </c>
      <c r="H2361" s="9" t="s">
        <v>139</v>
      </c>
      <c r="I2361" s="9" t="s">
        <v>411</v>
      </c>
      <c r="J2361" s="9" t="s">
        <v>139</v>
      </c>
      <c r="K2361" s="10">
        <v>39721.681041666663</v>
      </c>
    </row>
    <row r="2362" spans="1:11" x14ac:dyDescent="0.25">
      <c r="A2362" s="8">
        <v>3539</v>
      </c>
      <c r="B2362" s="9" t="s">
        <v>6719</v>
      </c>
      <c r="C2362" s="9" t="s">
        <v>4933</v>
      </c>
      <c r="D2362" s="9" t="s">
        <v>139</v>
      </c>
      <c r="E2362" s="9" t="s">
        <v>2423</v>
      </c>
      <c r="F2362" s="9" t="s">
        <v>2424</v>
      </c>
      <c r="G2362" s="9" t="s">
        <v>142</v>
      </c>
      <c r="H2362" s="9" t="s">
        <v>139</v>
      </c>
      <c r="I2362" s="9" t="s">
        <v>411</v>
      </c>
      <c r="J2362" s="9" t="s">
        <v>139</v>
      </c>
      <c r="K2362" s="10">
        <v>39721.681863425925</v>
      </c>
    </row>
    <row r="2363" spans="1:11" x14ac:dyDescent="0.25">
      <c r="A2363" s="8">
        <v>3540</v>
      </c>
      <c r="B2363" s="9" t="s">
        <v>6720</v>
      </c>
      <c r="C2363" s="9" t="s">
        <v>4934</v>
      </c>
      <c r="D2363" s="9" t="s">
        <v>139</v>
      </c>
      <c r="E2363" s="9" t="s">
        <v>4935</v>
      </c>
      <c r="F2363" s="9" t="s">
        <v>4936</v>
      </c>
      <c r="G2363" s="9" t="s">
        <v>142</v>
      </c>
      <c r="H2363" s="9" t="s">
        <v>139</v>
      </c>
      <c r="I2363" s="9" t="s">
        <v>411</v>
      </c>
      <c r="J2363" s="9" t="s">
        <v>139</v>
      </c>
      <c r="K2363" s="10">
        <v>39721.682638888888</v>
      </c>
    </row>
    <row r="2364" spans="1:11" x14ac:dyDescent="0.25">
      <c r="A2364" s="8">
        <v>3541</v>
      </c>
      <c r="B2364" s="9" t="s">
        <v>6721</v>
      </c>
      <c r="C2364" s="9" t="s">
        <v>4937</v>
      </c>
      <c r="D2364" s="9" t="s">
        <v>139</v>
      </c>
      <c r="E2364" s="9" t="s">
        <v>4938</v>
      </c>
      <c r="F2364" s="9" t="s">
        <v>4939</v>
      </c>
      <c r="G2364" s="9" t="s">
        <v>142</v>
      </c>
      <c r="H2364" s="9" t="s">
        <v>139</v>
      </c>
      <c r="I2364" s="9" t="s">
        <v>411</v>
      </c>
      <c r="J2364" s="9" t="s">
        <v>139</v>
      </c>
      <c r="K2364" s="10">
        <v>39721.683391203704</v>
      </c>
    </row>
    <row r="2365" spans="1:11" x14ac:dyDescent="0.25">
      <c r="A2365" s="8">
        <v>3542</v>
      </c>
      <c r="B2365" s="9" t="s">
        <v>6722</v>
      </c>
      <c r="C2365" s="9" t="s">
        <v>4940</v>
      </c>
      <c r="D2365" s="9" t="s">
        <v>139</v>
      </c>
      <c r="E2365" s="9" t="s">
        <v>4941</v>
      </c>
      <c r="F2365" s="9" t="s">
        <v>4942</v>
      </c>
      <c r="G2365" s="9" t="s">
        <v>142</v>
      </c>
      <c r="H2365" s="9" t="s">
        <v>139</v>
      </c>
      <c r="I2365" s="9" t="s">
        <v>411</v>
      </c>
      <c r="J2365" s="9" t="s">
        <v>139</v>
      </c>
      <c r="K2365" s="10">
        <v>39721.684166666666</v>
      </c>
    </row>
    <row r="2366" spans="1:11" x14ac:dyDescent="0.25">
      <c r="A2366" s="8">
        <v>3543</v>
      </c>
      <c r="B2366" s="9" t="s">
        <v>6723</v>
      </c>
      <c r="C2366" s="9" t="s">
        <v>4943</v>
      </c>
      <c r="D2366" s="9" t="s">
        <v>139</v>
      </c>
      <c r="E2366" s="9" t="s">
        <v>1982</v>
      </c>
      <c r="F2366" s="9" t="s">
        <v>1983</v>
      </c>
      <c r="G2366" s="9" t="s">
        <v>142</v>
      </c>
      <c r="H2366" s="9" t="s">
        <v>139</v>
      </c>
      <c r="I2366" s="9" t="s">
        <v>411</v>
      </c>
      <c r="J2366" s="9" t="s">
        <v>139</v>
      </c>
      <c r="K2366" s="10">
        <v>39721.685127314813</v>
      </c>
    </row>
    <row r="2367" spans="1:11" x14ac:dyDescent="0.25">
      <c r="A2367" s="8">
        <v>3544</v>
      </c>
      <c r="B2367" s="9" t="s">
        <v>6724</v>
      </c>
      <c r="C2367" s="9" t="s">
        <v>4944</v>
      </c>
      <c r="D2367" s="9" t="s">
        <v>139</v>
      </c>
      <c r="E2367" s="9" t="s">
        <v>3283</v>
      </c>
      <c r="F2367" s="9" t="s">
        <v>4945</v>
      </c>
      <c r="G2367" s="9" t="s">
        <v>142</v>
      </c>
      <c r="H2367" s="9" t="s">
        <v>139</v>
      </c>
      <c r="I2367" s="9" t="s">
        <v>411</v>
      </c>
      <c r="J2367" s="9" t="s">
        <v>139</v>
      </c>
      <c r="K2367" s="10">
        <v>39721.686261574076</v>
      </c>
    </row>
    <row r="2368" spans="1:11" x14ac:dyDescent="0.25">
      <c r="A2368" s="8">
        <v>3545</v>
      </c>
      <c r="B2368" s="9" t="s">
        <v>6725</v>
      </c>
      <c r="C2368" s="9" t="s">
        <v>4946</v>
      </c>
      <c r="D2368" s="9" t="s">
        <v>139</v>
      </c>
      <c r="E2368" s="9" t="s">
        <v>2718</v>
      </c>
      <c r="F2368" s="9" t="s">
        <v>4947</v>
      </c>
      <c r="G2368" s="9" t="s">
        <v>142</v>
      </c>
      <c r="H2368" s="9" t="s">
        <v>139</v>
      </c>
      <c r="I2368" s="9" t="s">
        <v>411</v>
      </c>
      <c r="J2368" s="9" t="s">
        <v>139</v>
      </c>
      <c r="K2368" s="10">
        <v>39721.687905092593</v>
      </c>
    </row>
    <row r="2369" spans="1:11" x14ac:dyDescent="0.25">
      <c r="A2369" s="8">
        <v>3546</v>
      </c>
      <c r="B2369" s="9" t="s">
        <v>6726</v>
      </c>
      <c r="C2369" s="9" t="s">
        <v>4948</v>
      </c>
      <c r="D2369" s="9" t="s">
        <v>139</v>
      </c>
      <c r="E2369" s="9" t="s">
        <v>4949</v>
      </c>
      <c r="F2369" s="9" t="s">
        <v>2986</v>
      </c>
      <c r="G2369" s="9" t="s">
        <v>142</v>
      </c>
      <c r="H2369" s="9" t="s">
        <v>139</v>
      </c>
      <c r="I2369" s="9" t="s">
        <v>411</v>
      </c>
      <c r="J2369" s="9" t="s">
        <v>139</v>
      </c>
      <c r="K2369" s="10">
        <v>39721.68855324074</v>
      </c>
    </row>
    <row r="2370" spans="1:11" x14ac:dyDescent="0.25">
      <c r="A2370" s="8">
        <v>3547</v>
      </c>
      <c r="B2370" s="9" t="s">
        <v>6727</v>
      </c>
      <c r="C2370" s="9" t="s">
        <v>4950</v>
      </c>
      <c r="D2370" s="9" t="s">
        <v>139</v>
      </c>
      <c r="E2370" s="9" t="s">
        <v>2919</v>
      </c>
      <c r="F2370" s="9" t="s">
        <v>2102</v>
      </c>
      <c r="G2370" s="9" t="s">
        <v>142</v>
      </c>
      <c r="H2370" s="9" t="s">
        <v>139</v>
      </c>
      <c r="I2370" s="9" t="s">
        <v>411</v>
      </c>
      <c r="J2370" s="9" t="s">
        <v>139</v>
      </c>
      <c r="K2370" s="10">
        <v>39721.689201388886</v>
      </c>
    </row>
    <row r="2371" spans="1:11" x14ac:dyDescent="0.25">
      <c r="A2371" s="8">
        <v>3548</v>
      </c>
      <c r="B2371" s="9" t="s">
        <v>6728</v>
      </c>
      <c r="C2371" s="9" t="s">
        <v>4951</v>
      </c>
      <c r="D2371" s="9" t="s">
        <v>139</v>
      </c>
      <c r="E2371" s="9" t="s">
        <v>2919</v>
      </c>
      <c r="F2371" s="9" t="s">
        <v>2102</v>
      </c>
      <c r="G2371" s="9" t="s">
        <v>142</v>
      </c>
      <c r="H2371" s="9" t="s">
        <v>139</v>
      </c>
      <c r="I2371" s="9" t="s">
        <v>411</v>
      </c>
      <c r="J2371" s="9" t="s">
        <v>139</v>
      </c>
      <c r="K2371" s="10">
        <v>39721.690289351849</v>
      </c>
    </row>
    <row r="2372" spans="1:11" x14ac:dyDescent="0.25">
      <c r="A2372" s="8">
        <v>3549</v>
      </c>
      <c r="B2372" s="9" t="s">
        <v>6729</v>
      </c>
      <c r="C2372" s="9" t="s">
        <v>4952</v>
      </c>
      <c r="D2372" s="9" t="s">
        <v>139</v>
      </c>
      <c r="E2372" s="9" t="s">
        <v>4953</v>
      </c>
      <c r="F2372" s="9" t="s">
        <v>2126</v>
      </c>
      <c r="G2372" s="9" t="s">
        <v>142</v>
      </c>
      <c r="H2372" s="9" t="s">
        <v>139</v>
      </c>
      <c r="I2372" s="9" t="s">
        <v>411</v>
      </c>
      <c r="J2372" s="9" t="s">
        <v>139</v>
      </c>
      <c r="K2372" s="10">
        <v>39721.691076388888</v>
      </c>
    </row>
    <row r="2373" spans="1:11" x14ac:dyDescent="0.25">
      <c r="A2373" s="8">
        <v>3550</v>
      </c>
      <c r="B2373" s="9" t="s">
        <v>6730</v>
      </c>
      <c r="C2373" s="9" t="s">
        <v>4954</v>
      </c>
      <c r="D2373" s="9" t="s">
        <v>139</v>
      </c>
      <c r="E2373" s="9" t="s">
        <v>4955</v>
      </c>
      <c r="F2373" s="9" t="s">
        <v>4956</v>
      </c>
      <c r="G2373" s="9" t="s">
        <v>142</v>
      </c>
      <c r="H2373" s="9" t="s">
        <v>139</v>
      </c>
      <c r="I2373" s="9" t="s">
        <v>411</v>
      </c>
      <c r="J2373" s="9" t="s">
        <v>139</v>
      </c>
      <c r="K2373" s="10">
        <v>39721.695694444446</v>
      </c>
    </row>
    <row r="2374" spans="1:11" x14ac:dyDescent="0.25">
      <c r="A2374" s="8">
        <v>3551</v>
      </c>
      <c r="B2374" s="9" t="s">
        <v>6731</v>
      </c>
      <c r="C2374" s="9" t="s">
        <v>4957</v>
      </c>
      <c r="D2374" s="9" t="s">
        <v>139</v>
      </c>
      <c r="E2374" s="9" t="s">
        <v>4955</v>
      </c>
      <c r="F2374" s="9" t="s">
        <v>4958</v>
      </c>
      <c r="G2374" s="9" t="s">
        <v>142</v>
      </c>
      <c r="H2374" s="9" t="s">
        <v>139</v>
      </c>
      <c r="I2374" s="9" t="s">
        <v>411</v>
      </c>
      <c r="J2374" s="9" t="s">
        <v>139</v>
      </c>
      <c r="K2374" s="10">
        <v>39721.696435185186</v>
      </c>
    </row>
    <row r="2375" spans="1:11" x14ac:dyDescent="0.25">
      <c r="A2375" s="8">
        <v>3552</v>
      </c>
      <c r="B2375" s="9" t="s">
        <v>6732</v>
      </c>
      <c r="C2375" s="9" t="s">
        <v>4959</v>
      </c>
      <c r="D2375" s="9" t="s">
        <v>139</v>
      </c>
      <c r="E2375" s="9" t="s">
        <v>3252</v>
      </c>
      <c r="F2375" s="9" t="s">
        <v>3253</v>
      </c>
      <c r="G2375" s="9" t="s">
        <v>142</v>
      </c>
      <c r="H2375" s="9" t="s">
        <v>139</v>
      </c>
      <c r="I2375" s="9" t="s">
        <v>411</v>
      </c>
      <c r="J2375" s="9" t="s">
        <v>139</v>
      </c>
      <c r="K2375" s="10">
        <v>39721.697280092594</v>
      </c>
    </row>
    <row r="2376" spans="1:11" x14ac:dyDescent="0.25">
      <c r="A2376" s="8">
        <v>3553</v>
      </c>
      <c r="B2376" s="9" t="s">
        <v>6733</v>
      </c>
      <c r="C2376" s="9" t="s">
        <v>4960</v>
      </c>
      <c r="D2376" s="9" t="s">
        <v>139</v>
      </c>
      <c r="E2376" s="9" t="s">
        <v>4961</v>
      </c>
      <c r="F2376" s="9" t="s">
        <v>4962</v>
      </c>
      <c r="G2376" s="9" t="s">
        <v>142</v>
      </c>
      <c r="H2376" s="9" t="s">
        <v>139</v>
      </c>
      <c r="I2376" s="9" t="s">
        <v>411</v>
      </c>
      <c r="J2376" s="9" t="s">
        <v>139</v>
      </c>
      <c r="K2376" s="10">
        <v>39721.698240740741</v>
      </c>
    </row>
    <row r="2377" spans="1:11" x14ac:dyDescent="0.25">
      <c r="A2377" s="8">
        <v>3555</v>
      </c>
      <c r="B2377" s="9" t="s">
        <v>6734</v>
      </c>
      <c r="C2377" s="9" t="s">
        <v>4963</v>
      </c>
      <c r="D2377" s="9" t="s">
        <v>139</v>
      </c>
      <c r="E2377" s="9" t="s">
        <v>3255</v>
      </c>
      <c r="F2377" s="9" t="s">
        <v>3256</v>
      </c>
      <c r="G2377" s="9" t="s">
        <v>142</v>
      </c>
      <c r="H2377" s="9" t="s">
        <v>139</v>
      </c>
      <c r="I2377" s="9" t="s">
        <v>411</v>
      </c>
      <c r="J2377" s="9" t="s">
        <v>139</v>
      </c>
      <c r="K2377" s="10">
        <v>39721.699849537035</v>
      </c>
    </row>
    <row r="2378" spans="1:11" x14ac:dyDescent="0.25">
      <c r="A2378" s="8">
        <v>3556</v>
      </c>
      <c r="B2378" s="9" t="s">
        <v>6735</v>
      </c>
      <c r="C2378" s="9" t="s">
        <v>4964</v>
      </c>
      <c r="D2378" s="9" t="s">
        <v>139</v>
      </c>
      <c r="E2378" s="9" t="s">
        <v>4965</v>
      </c>
      <c r="F2378" s="9" t="s">
        <v>4966</v>
      </c>
      <c r="G2378" s="9" t="s">
        <v>142</v>
      </c>
      <c r="H2378" s="9" t="s">
        <v>139</v>
      </c>
      <c r="I2378" s="9" t="s">
        <v>411</v>
      </c>
      <c r="J2378" s="9" t="s">
        <v>139</v>
      </c>
      <c r="K2378" s="10">
        <v>39721.700671296298</v>
      </c>
    </row>
    <row r="2379" spans="1:11" x14ac:dyDescent="0.25">
      <c r="A2379" s="8">
        <v>3557</v>
      </c>
      <c r="B2379" s="9" t="s">
        <v>6736</v>
      </c>
      <c r="C2379" s="9" t="s">
        <v>4967</v>
      </c>
      <c r="D2379" s="9" t="s">
        <v>139</v>
      </c>
      <c r="E2379" s="9" t="s">
        <v>4968</v>
      </c>
      <c r="F2379" s="9" t="s">
        <v>4969</v>
      </c>
      <c r="G2379" s="9" t="s">
        <v>142</v>
      </c>
      <c r="H2379" s="9" t="s">
        <v>139</v>
      </c>
      <c r="I2379" s="9" t="s">
        <v>411</v>
      </c>
      <c r="J2379" s="9" t="s">
        <v>139</v>
      </c>
      <c r="K2379" s="10">
        <v>39721.701377314814</v>
      </c>
    </row>
    <row r="2380" spans="1:11" x14ac:dyDescent="0.25">
      <c r="A2380" s="8">
        <v>3558</v>
      </c>
      <c r="B2380" s="9" t="s">
        <v>6737</v>
      </c>
      <c r="C2380" s="9" t="s">
        <v>4970</v>
      </c>
      <c r="D2380" s="9" t="s">
        <v>139</v>
      </c>
      <c r="E2380" s="9" t="s">
        <v>4971</v>
      </c>
      <c r="F2380" s="9" t="s">
        <v>4972</v>
      </c>
      <c r="G2380" s="9" t="s">
        <v>142</v>
      </c>
      <c r="H2380" s="9" t="s">
        <v>139</v>
      </c>
      <c r="I2380" s="9" t="s">
        <v>411</v>
      </c>
      <c r="J2380" s="9" t="s">
        <v>139</v>
      </c>
      <c r="K2380" s="10">
        <v>39721.702418981484</v>
      </c>
    </row>
    <row r="2381" spans="1:11" x14ac:dyDescent="0.25">
      <c r="A2381" s="8">
        <v>3559</v>
      </c>
      <c r="B2381" s="9" t="s">
        <v>6738</v>
      </c>
      <c r="C2381" s="9" t="s">
        <v>4973</v>
      </c>
      <c r="D2381" s="9" t="s">
        <v>139</v>
      </c>
      <c r="E2381" s="9" t="s">
        <v>4974</v>
      </c>
      <c r="F2381" s="9" t="s">
        <v>4975</v>
      </c>
      <c r="G2381" s="9" t="s">
        <v>142</v>
      </c>
      <c r="H2381" s="9" t="s">
        <v>139</v>
      </c>
      <c r="I2381" s="9" t="s">
        <v>411</v>
      </c>
      <c r="J2381" s="9" t="s">
        <v>139</v>
      </c>
      <c r="K2381" s="10">
        <v>39721.702939814815</v>
      </c>
    </row>
    <row r="2382" spans="1:11" x14ac:dyDescent="0.25">
      <c r="A2382" s="8">
        <v>3560</v>
      </c>
      <c r="B2382" s="9" t="s">
        <v>6739</v>
      </c>
      <c r="C2382" s="9" t="s">
        <v>4976</v>
      </c>
      <c r="D2382" s="9" t="s">
        <v>139</v>
      </c>
      <c r="E2382" s="9" t="s">
        <v>2354</v>
      </c>
      <c r="F2382" s="9" t="s">
        <v>4977</v>
      </c>
      <c r="G2382" s="9" t="s">
        <v>142</v>
      </c>
      <c r="H2382" s="9" t="s">
        <v>139</v>
      </c>
      <c r="I2382" s="9" t="s">
        <v>411</v>
      </c>
      <c r="J2382" s="9" t="s">
        <v>139</v>
      </c>
      <c r="K2382" s="10">
        <v>39721.703668981485</v>
      </c>
    </row>
    <row r="2383" spans="1:11" x14ac:dyDescent="0.25">
      <c r="A2383" s="8">
        <v>3563</v>
      </c>
      <c r="B2383" s="9" t="s">
        <v>6740</v>
      </c>
      <c r="C2383" s="9" t="s">
        <v>4978</v>
      </c>
      <c r="D2383" s="9" t="s">
        <v>139</v>
      </c>
      <c r="E2383" s="9" t="s">
        <v>3280</v>
      </c>
      <c r="F2383" s="9" t="s">
        <v>4979</v>
      </c>
      <c r="G2383" s="9" t="s">
        <v>142</v>
      </c>
      <c r="H2383" s="9" t="s">
        <v>139</v>
      </c>
      <c r="I2383" s="9" t="s">
        <v>411</v>
      </c>
      <c r="J2383" s="9" t="s">
        <v>139</v>
      </c>
      <c r="K2383" s="10">
        <v>39721.70648148148</v>
      </c>
    </row>
    <row r="2384" spans="1:11" x14ac:dyDescent="0.25">
      <c r="A2384" s="8">
        <v>3564</v>
      </c>
      <c r="B2384" s="9" t="s">
        <v>6741</v>
      </c>
      <c r="C2384" s="9" t="s">
        <v>4980</v>
      </c>
      <c r="D2384" s="9" t="s">
        <v>139</v>
      </c>
      <c r="E2384" s="9" t="s">
        <v>1204</v>
      </c>
      <c r="F2384" s="9" t="s">
        <v>1205</v>
      </c>
      <c r="G2384" s="9" t="s">
        <v>142</v>
      </c>
      <c r="H2384" s="9" t="s">
        <v>139</v>
      </c>
      <c r="I2384" s="9" t="s">
        <v>411</v>
      </c>
      <c r="J2384" s="9" t="s">
        <v>139</v>
      </c>
      <c r="K2384" s="10">
        <v>39721.707291666666</v>
      </c>
    </row>
    <row r="2385" spans="1:11" x14ac:dyDescent="0.25">
      <c r="A2385" s="8">
        <v>3565</v>
      </c>
      <c r="B2385" s="9" t="s">
        <v>6742</v>
      </c>
      <c r="C2385" s="9" t="s">
        <v>3027</v>
      </c>
      <c r="D2385" s="9" t="s">
        <v>139</v>
      </c>
      <c r="E2385" s="9" t="s">
        <v>4981</v>
      </c>
      <c r="F2385" s="9" t="s">
        <v>4982</v>
      </c>
      <c r="G2385" s="9" t="s">
        <v>142</v>
      </c>
      <c r="H2385" s="9" t="s">
        <v>139</v>
      </c>
      <c r="I2385" s="9" t="s">
        <v>411</v>
      </c>
      <c r="J2385" s="9" t="s">
        <v>139</v>
      </c>
      <c r="K2385" s="10">
        <v>39721.70821759259</v>
      </c>
    </row>
    <row r="2386" spans="1:11" x14ac:dyDescent="0.25">
      <c r="A2386" s="8">
        <v>3566</v>
      </c>
      <c r="B2386" s="9" t="s">
        <v>6743</v>
      </c>
      <c r="C2386" s="9" t="s">
        <v>4983</v>
      </c>
      <c r="D2386" s="9" t="s">
        <v>139</v>
      </c>
      <c r="E2386" s="9" t="s">
        <v>4984</v>
      </c>
      <c r="F2386" s="9" t="s">
        <v>4985</v>
      </c>
      <c r="G2386" s="9" t="s">
        <v>142</v>
      </c>
      <c r="H2386" s="9" t="s">
        <v>139</v>
      </c>
      <c r="I2386" s="9" t="s">
        <v>411</v>
      </c>
      <c r="J2386" s="9" t="s">
        <v>139</v>
      </c>
      <c r="K2386" s="10">
        <v>39721.70894675926</v>
      </c>
    </row>
    <row r="2387" spans="1:11" x14ac:dyDescent="0.25">
      <c r="A2387" s="8">
        <v>3567</v>
      </c>
      <c r="B2387" s="9" t="s">
        <v>6744</v>
      </c>
      <c r="C2387" s="9" t="s">
        <v>4986</v>
      </c>
      <c r="D2387" s="9" t="s">
        <v>139</v>
      </c>
      <c r="E2387" s="9" t="s">
        <v>4987</v>
      </c>
      <c r="F2387" s="9" t="s">
        <v>4988</v>
      </c>
      <c r="G2387" s="9" t="s">
        <v>142</v>
      </c>
      <c r="H2387" s="9" t="s">
        <v>139</v>
      </c>
      <c r="I2387" s="9" t="s">
        <v>411</v>
      </c>
      <c r="J2387" s="9" t="s">
        <v>139</v>
      </c>
      <c r="K2387" s="10">
        <v>39721.709629629629</v>
      </c>
    </row>
    <row r="2388" spans="1:11" x14ac:dyDescent="0.25">
      <c r="A2388" s="8">
        <v>3568</v>
      </c>
      <c r="B2388" s="9" t="s">
        <v>6745</v>
      </c>
      <c r="C2388" s="9" t="s">
        <v>4989</v>
      </c>
      <c r="D2388" s="9" t="s">
        <v>139</v>
      </c>
      <c r="E2388" s="9" t="s">
        <v>1277</v>
      </c>
      <c r="F2388" s="9" t="s">
        <v>1278</v>
      </c>
      <c r="G2388" s="9" t="s">
        <v>142</v>
      </c>
      <c r="H2388" s="9" t="s">
        <v>139</v>
      </c>
      <c r="I2388" s="9" t="s">
        <v>411</v>
      </c>
      <c r="J2388" s="9" t="s">
        <v>139</v>
      </c>
      <c r="K2388" s="10">
        <v>39721.710300925923</v>
      </c>
    </row>
    <row r="2389" spans="1:11" x14ac:dyDescent="0.25">
      <c r="A2389" s="8">
        <v>3569</v>
      </c>
      <c r="B2389" s="9" t="s">
        <v>6746</v>
      </c>
      <c r="C2389" s="9" t="s">
        <v>4990</v>
      </c>
      <c r="D2389" s="9" t="s">
        <v>139</v>
      </c>
      <c r="E2389" s="9" t="s">
        <v>4991</v>
      </c>
      <c r="F2389" s="9" t="s">
        <v>4992</v>
      </c>
      <c r="G2389" s="9" t="s">
        <v>142</v>
      </c>
      <c r="H2389" s="9" t="s">
        <v>139</v>
      </c>
      <c r="I2389" s="9" t="s">
        <v>411</v>
      </c>
      <c r="J2389" s="9" t="s">
        <v>139</v>
      </c>
      <c r="K2389" s="10">
        <v>39721.7108912037</v>
      </c>
    </row>
    <row r="2390" spans="1:11" x14ac:dyDescent="0.25">
      <c r="A2390" s="8">
        <v>3570</v>
      </c>
      <c r="B2390" s="9" t="s">
        <v>6747</v>
      </c>
      <c r="C2390" s="9" t="s">
        <v>4993</v>
      </c>
      <c r="D2390" s="9" t="s">
        <v>139</v>
      </c>
      <c r="E2390" s="9" t="s">
        <v>4991</v>
      </c>
      <c r="F2390" s="9" t="s">
        <v>4992</v>
      </c>
      <c r="G2390" s="9" t="s">
        <v>142</v>
      </c>
      <c r="H2390" s="9" t="s">
        <v>139</v>
      </c>
      <c r="I2390" s="9" t="s">
        <v>411</v>
      </c>
      <c r="J2390" s="9" t="s">
        <v>139</v>
      </c>
      <c r="K2390" s="10">
        <v>39721.711805555555</v>
      </c>
    </row>
    <row r="2391" spans="1:11" x14ac:dyDescent="0.25">
      <c r="A2391" s="8">
        <v>3571</v>
      </c>
      <c r="B2391" s="9" t="s">
        <v>6748</v>
      </c>
      <c r="C2391" s="9" t="s">
        <v>4994</v>
      </c>
      <c r="D2391" s="9" t="s">
        <v>139</v>
      </c>
      <c r="E2391" s="9" t="s">
        <v>3016</v>
      </c>
      <c r="F2391" s="9" t="s">
        <v>3017</v>
      </c>
      <c r="G2391" s="9" t="s">
        <v>142</v>
      </c>
      <c r="H2391" s="9" t="s">
        <v>139</v>
      </c>
      <c r="I2391" s="9" t="s">
        <v>411</v>
      </c>
      <c r="J2391" s="9" t="s">
        <v>139</v>
      </c>
      <c r="K2391" s="10">
        <v>39721.712743055556</v>
      </c>
    </row>
    <row r="2392" spans="1:11" x14ac:dyDescent="0.25">
      <c r="A2392" s="8">
        <v>3572</v>
      </c>
      <c r="B2392" s="9" t="s">
        <v>6749</v>
      </c>
      <c r="C2392" s="9" t="s">
        <v>4995</v>
      </c>
      <c r="D2392" s="9" t="s">
        <v>139</v>
      </c>
      <c r="E2392" s="9" t="s">
        <v>1220</v>
      </c>
      <c r="F2392" s="9" t="s">
        <v>4996</v>
      </c>
      <c r="G2392" s="9" t="s">
        <v>142</v>
      </c>
      <c r="H2392" s="9" t="s">
        <v>139</v>
      </c>
      <c r="I2392" s="9" t="s">
        <v>411</v>
      </c>
      <c r="J2392" s="9" t="s">
        <v>139</v>
      </c>
      <c r="K2392" s="10">
        <v>39721.713402777779</v>
      </c>
    </row>
    <row r="2393" spans="1:11" x14ac:dyDescent="0.25">
      <c r="A2393" s="8">
        <v>3573</v>
      </c>
      <c r="B2393" s="9" t="s">
        <v>6750</v>
      </c>
      <c r="C2393" s="9" t="s">
        <v>4997</v>
      </c>
      <c r="D2393" s="9" t="s">
        <v>139</v>
      </c>
      <c r="E2393" s="9" t="s">
        <v>3821</v>
      </c>
      <c r="F2393" s="9" t="s">
        <v>4998</v>
      </c>
      <c r="G2393" s="9" t="s">
        <v>142</v>
      </c>
      <c r="H2393" s="9" t="s">
        <v>139</v>
      </c>
      <c r="I2393" s="9" t="s">
        <v>411</v>
      </c>
      <c r="J2393" s="9" t="s">
        <v>139</v>
      </c>
      <c r="K2393" s="10">
        <v>39721.714131944442</v>
      </c>
    </row>
    <row r="2394" spans="1:11" x14ac:dyDescent="0.25">
      <c r="A2394" s="8">
        <v>3574</v>
      </c>
      <c r="B2394" s="9" t="s">
        <v>6751</v>
      </c>
      <c r="C2394" s="9" t="s">
        <v>4999</v>
      </c>
      <c r="D2394" s="9" t="s">
        <v>139</v>
      </c>
      <c r="E2394" s="9" t="s">
        <v>2649</v>
      </c>
      <c r="F2394" s="9" t="s">
        <v>2650</v>
      </c>
      <c r="G2394" s="9" t="s">
        <v>142</v>
      </c>
      <c r="H2394" s="9" t="s">
        <v>139</v>
      </c>
      <c r="I2394" s="9" t="s">
        <v>411</v>
      </c>
      <c r="J2394" s="9" t="s">
        <v>139</v>
      </c>
      <c r="K2394" s="10">
        <v>39721.715208333335</v>
      </c>
    </row>
    <row r="2395" spans="1:11" x14ac:dyDescent="0.25">
      <c r="A2395" s="8">
        <v>3576</v>
      </c>
      <c r="B2395" s="9" t="s">
        <v>6752</v>
      </c>
      <c r="C2395" s="9" t="s">
        <v>5000</v>
      </c>
      <c r="D2395" s="9" t="s">
        <v>139</v>
      </c>
      <c r="E2395" s="9" t="s">
        <v>5001</v>
      </c>
      <c r="F2395" s="9" t="s">
        <v>5002</v>
      </c>
      <c r="G2395" s="9" t="s">
        <v>142</v>
      </c>
      <c r="H2395" s="9" t="s">
        <v>139</v>
      </c>
      <c r="I2395" s="9" t="s">
        <v>411</v>
      </c>
      <c r="J2395" s="9" t="s">
        <v>139</v>
      </c>
      <c r="K2395" s="10">
        <v>39721.71738425926</v>
      </c>
    </row>
    <row r="2396" spans="1:11" x14ac:dyDescent="0.25">
      <c r="A2396" s="8">
        <v>3577</v>
      </c>
      <c r="B2396" s="9" t="s">
        <v>6753</v>
      </c>
      <c r="C2396" s="9" t="s">
        <v>5003</v>
      </c>
      <c r="D2396" s="9" t="s">
        <v>139</v>
      </c>
      <c r="E2396" s="9" t="s">
        <v>5004</v>
      </c>
      <c r="F2396" s="9" t="s">
        <v>5005</v>
      </c>
      <c r="G2396" s="9" t="s">
        <v>142</v>
      </c>
      <c r="H2396" s="9" t="s">
        <v>139</v>
      </c>
      <c r="I2396" s="9" t="s">
        <v>411</v>
      </c>
      <c r="J2396" s="9" t="s">
        <v>139</v>
      </c>
      <c r="K2396" s="10">
        <v>39721.718182870369</v>
      </c>
    </row>
    <row r="2397" spans="1:11" x14ac:dyDescent="0.25">
      <c r="A2397" s="8">
        <v>3578</v>
      </c>
      <c r="B2397" s="9" t="s">
        <v>6754</v>
      </c>
      <c r="C2397" s="9" t="s">
        <v>5006</v>
      </c>
      <c r="D2397" s="9" t="s">
        <v>139</v>
      </c>
      <c r="E2397" s="9" t="s">
        <v>3313</v>
      </c>
      <c r="F2397" s="9" t="s">
        <v>8407</v>
      </c>
      <c r="G2397" s="9" t="s">
        <v>142</v>
      </c>
      <c r="H2397" s="9" t="s">
        <v>139</v>
      </c>
      <c r="I2397" s="9" t="s">
        <v>411</v>
      </c>
      <c r="J2397" s="9" t="s">
        <v>139</v>
      </c>
      <c r="K2397" s="10">
        <v>39721.719282407408</v>
      </c>
    </row>
    <row r="2398" spans="1:11" x14ac:dyDescent="0.25">
      <c r="A2398" s="8">
        <v>3579</v>
      </c>
      <c r="B2398" s="9" t="s">
        <v>6755</v>
      </c>
      <c r="C2398" s="9" t="s">
        <v>5007</v>
      </c>
      <c r="D2398" s="9" t="s">
        <v>139</v>
      </c>
      <c r="E2398" s="9" t="s">
        <v>736</v>
      </c>
      <c r="F2398" s="9" t="s">
        <v>737</v>
      </c>
      <c r="G2398" s="9" t="s">
        <v>142</v>
      </c>
      <c r="H2398" s="9" t="s">
        <v>139</v>
      </c>
      <c r="I2398" s="9" t="s">
        <v>411</v>
      </c>
      <c r="J2398" s="9" t="s">
        <v>139</v>
      </c>
      <c r="K2398" s="10">
        <v>39721.721562500003</v>
      </c>
    </row>
    <row r="2399" spans="1:11" x14ac:dyDescent="0.25">
      <c r="A2399" s="8">
        <v>3580</v>
      </c>
      <c r="B2399" s="9" t="s">
        <v>6756</v>
      </c>
      <c r="C2399" s="9" t="s">
        <v>5008</v>
      </c>
      <c r="D2399" s="9" t="s">
        <v>139</v>
      </c>
      <c r="E2399" s="9" t="s">
        <v>5009</v>
      </c>
      <c r="F2399" s="9" t="s">
        <v>5010</v>
      </c>
      <c r="G2399" s="9" t="s">
        <v>142</v>
      </c>
      <c r="H2399" s="9" t="s">
        <v>139</v>
      </c>
      <c r="I2399" s="9" t="s">
        <v>411</v>
      </c>
      <c r="J2399" s="9" t="s">
        <v>139</v>
      </c>
      <c r="K2399" s="10">
        <v>39721.722430555557</v>
      </c>
    </row>
    <row r="2400" spans="1:11" x14ac:dyDescent="0.25">
      <c r="A2400" s="8">
        <v>3581</v>
      </c>
      <c r="B2400" s="9" t="s">
        <v>6757</v>
      </c>
      <c r="C2400" s="9" t="s">
        <v>5011</v>
      </c>
      <c r="D2400" s="9" t="s">
        <v>139</v>
      </c>
      <c r="E2400" s="9" t="s">
        <v>919</v>
      </c>
      <c r="F2400" s="9" t="s">
        <v>920</v>
      </c>
      <c r="G2400" s="9" t="s">
        <v>142</v>
      </c>
      <c r="H2400" s="9" t="s">
        <v>139</v>
      </c>
      <c r="I2400" s="9" t="s">
        <v>411</v>
      </c>
      <c r="J2400" s="9" t="s">
        <v>139</v>
      </c>
      <c r="K2400" s="10">
        <v>39721.723379629628</v>
      </c>
    </row>
    <row r="2401" spans="1:11" x14ac:dyDescent="0.25">
      <c r="A2401" s="8">
        <v>3582</v>
      </c>
      <c r="B2401" s="9" t="s">
        <v>6758</v>
      </c>
      <c r="C2401" s="9" t="s">
        <v>5012</v>
      </c>
      <c r="D2401" s="9" t="s">
        <v>139</v>
      </c>
      <c r="E2401" s="9" t="s">
        <v>5013</v>
      </c>
      <c r="F2401" s="9" t="s">
        <v>5014</v>
      </c>
      <c r="G2401" s="9" t="s">
        <v>142</v>
      </c>
      <c r="H2401" s="9" t="s">
        <v>139</v>
      </c>
      <c r="I2401" s="9" t="s">
        <v>411</v>
      </c>
      <c r="J2401" s="9" t="s">
        <v>139</v>
      </c>
      <c r="K2401" s="10">
        <v>39721.724189814813</v>
      </c>
    </row>
    <row r="2402" spans="1:11" x14ac:dyDescent="0.25">
      <c r="A2402" s="8">
        <v>3583</v>
      </c>
      <c r="B2402" s="9" t="s">
        <v>6759</v>
      </c>
      <c r="C2402" s="9" t="s">
        <v>5015</v>
      </c>
      <c r="D2402" s="9" t="s">
        <v>139</v>
      </c>
      <c r="E2402" s="9" t="s">
        <v>5016</v>
      </c>
      <c r="F2402" s="9" t="s">
        <v>5017</v>
      </c>
      <c r="G2402" s="9" t="s">
        <v>142</v>
      </c>
      <c r="H2402" s="9" t="s">
        <v>139</v>
      </c>
      <c r="I2402" s="9" t="s">
        <v>411</v>
      </c>
      <c r="J2402" s="9" t="s">
        <v>139</v>
      </c>
      <c r="K2402" s="10">
        <v>39721.729097222225</v>
      </c>
    </row>
    <row r="2403" spans="1:11" x14ac:dyDescent="0.25">
      <c r="A2403" s="8">
        <v>3584</v>
      </c>
      <c r="B2403" s="9" t="s">
        <v>6760</v>
      </c>
      <c r="C2403" s="9" t="s">
        <v>5018</v>
      </c>
      <c r="D2403" s="9" t="s">
        <v>139</v>
      </c>
      <c r="E2403" s="9" t="s">
        <v>5019</v>
      </c>
      <c r="F2403" s="9" t="s">
        <v>5020</v>
      </c>
      <c r="G2403" s="9" t="s">
        <v>142</v>
      </c>
      <c r="H2403" s="9" t="s">
        <v>139</v>
      </c>
      <c r="I2403" s="9" t="s">
        <v>411</v>
      </c>
      <c r="J2403" s="9" t="s">
        <v>139</v>
      </c>
      <c r="K2403" s="10">
        <v>39721.730023148149</v>
      </c>
    </row>
    <row r="2404" spans="1:11" x14ac:dyDescent="0.25">
      <c r="A2404" s="8">
        <v>3585</v>
      </c>
      <c r="B2404" s="9" t="s">
        <v>6761</v>
      </c>
      <c r="C2404" s="9" t="s">
        <v>5021</v>
      </c>
      <c r="D2404" s="9" t="s">
        <v>139</v>
      </c>
      <c r="E2404" s="9" t="s">
        <v>1777</v>
      </c>
      <c r="F2404" s="9" t="s">
        <v>1778</v>
      </c>
      <c r="G2404" s="9" t="s">
        <v>142</v>
      </c>
      <c r="H2404" s="9" t="s">
        <v>139</v>
      </c>
      <c r="I2404" s="9" t="s">
        <v>411</v>
      </c>
      <c r="J2404" s="9" t="s">
        <v>139</v>
      </c>
      <c r="K2404" s="10">
        <v>39721.730798611112</v>
      </c>
    </row>
    <row r="2405" spans="1:11" x14ac:dyDescent="0.25">
      <c r="A2405" s="8">
        <v>3586</v>
      </c>
      <c r="B2405" s="9" t="s">
        <v>6762</v>
      </c>
      <c r="C2405" s="9" t="s">
        <v>5022</v>
      </c>
      <c r="D2405" s="9" t="s">
        <v>139</v>
      </c>
      <c r="E2405" s="9" t="s">
        <v>5023</v>
      </c>
      <c r="F2405" s="9" t="s">
        <v>5024</v>
      </c>
      <c r="G2405" s="9" t="s">
        <v>142</v>
      </c>
      <c r="H2405" s="9" t="s">
        <v>139</v>
      </c>
      <c r="I2405" s="9" t="s">
        <v>411</v>
      </c>
      <c r="J2405" s="9" t="s">
        <v>139</v>
      </c>
      <c r="K2405" s="10">
        <v>39721.732256944444</v>
      </c>
    </row>
    <row r="2406" spans="1:11" x14ac:dyDescent="0.25">
      <c r="A2406" s="8">
        <v>3587</v>
      </c>
      <c r="B2406" s="9" t="s">
        <v>6763</v>
      </c>
      <c r="C2406" s="9" t="s">
        <v>5025</v>
      </c>
      <c r="D2406" s="9" t="s">
        <v>139</v>
      </c>
      <c r="E2406" s="9" t="s">
        <v>5026</v>
      </c>
      <c r="F2406" s="9" t="s">
        <v>5027</v>
      </c>
      <c r="G2406" s="9" t="s">
        <v>142</v>
      </c>
      <c r="H2406" s="9" t="s">
        <v>139</v>
      </c>
      <c r="I2406" s="9" t="s">
        <v>411</v>
      </c>
      <c r="J2406" s="9" t="s">
        <v>139</v>
      </c>
      <c r="K2406" s="10">
        <v>39721.733020833337</v>
      </c>
    </row>
    <row r="2407" spans="1:11" x14ac:dyDescent="0.25">
      <c r="A2407" s="8">
        <v>3588</v>
      </c>
      <c r="B2407" s="9" t="s">
        <v>6764</v>
      </c>
      <c r="C2407" s="9" t="s">
        <v>5028</v>
      </c>
      <c r="D2407" s="9" t="s">
        <v>139</v>
      </c>
      <c r="E2407" s="9" t="s">
        <v>5029</v>
      </c>
      <c r="F2407" s="9" t="s">
        <v>5030</v>
      </c>
      <c r="G2407" s="9" t="s">
        <v>142</v>
      </c>
      <c r="H2407" s="9" t="s">
        <v>139</v>
      </c>
      <c r="I2407" s="9" t="s">
        <v>411</v>
      </c>
      <c r="J2407" s="9" t="s">
        <v>139</v>
      </c>
      <c r="K2407" s="10">
        <v>39721.734155092592</v>
      </c>
    </row>
    <row r="2408" spans="1:11" x14ac:dyDescent="0.25">
      <c r="A2408" s="8">
        <v>3589</v>
      </c>
      <c r="B2408" s="9" t="s">
        <v>6765</v>
      </c>
      <c r="C2408" s="9" t="s">
        <v>5031</v>
      </c>
      <c r="D2408" s="9" t="s">
        <v>139</v>
      </c>
      <c r="E2408" s="9" t="s">
        <v>985</v>
      </c>
      <c r="F2408" s="9" t="s">
        <v>986</v>
      </c>
      <c r="G2408" s="9" t="s">
        <v>142</v>
      </c>
      <c r="H2408" s="9" t="s">
        <v>139</v>
      </c>
      <c r="I2408" s="9" t="s">
        <v>411</v>
      </c>
      <c r="J2408" s="9" t="s">
        <v>139</v>
      </c>
      <c r="K2408" s="10">
        <v>39721.735115740739</v>
      </c>
    </row>
    <row r="2409" spans="1:11" x14ac:dyDescent="0.25">
      <c r="A2409" s="8">
        <v>3590</v>
      </c>
      <c r="B2409" s="9" t="s">
        <v>6766</v>
      </c>
      <c r="C2409" s="9" t="s">
        <v>5032</v>
      </c>
      <c r="D2409" s="9" t="s">
        <v>139</v>
      </c>
      <c r="E2409" s="9" t="s">
        <v>5033</v>
      </c>
      <c r="F2409" s="9" t="s">
        <v>5034</v>
      </c>
      <c r="G2409" s="9" t="s">
        <v>142</v>
      </c>
      <c r="H2409" s="9" t="s">
        <v>139</v>
      </c>
      <c r="I2409" s="9" t="s">
        <v>411</v>
      </c>
      <c r="J2409" s="9" t="s">
        <v>139</v>
      </c>
      <c r="K2409" s="10">
        <v>39721.735960648148</v>
      </c>
    </row>
    <row r="2410" spans="1:11" x14ac:dyDescent="0.25">
      <c r="A2410" s="8">
        <v>3591</v>
      </c>
      <c r="B2410" s="9" t="s">
        <v>6767</v>
      </c>
      <c r="C2410" s="9" t="s">
        <v>5035</v>
      </c>
      <c r="D2410" s="9" t="s">
        <v>139</v>
      </c>
      <c r="E2410" s="9" t="s">
        <v>5036</v>
      </c>
      <c r="F2410" s="9" t="s">
        <v>5037</v>
      </c>
      <c r="G2410" s="9" t="s">
        <v>142</v>
      </c>
      <c r="H2410" s="9" t="s">
        <v>139</v>
      </c>
      <c r="I2410" s="9" t="s">
        <v>411</v>
      </c>
      <c r="J2410" s="9" t="s">
        <v>139</v>
      </c>
      <c r="K2410" s="10">
        <v>39721.73678240741</v>
      </c>
    </row>
    <row r="2411" spans="1:11" x14ac:dyDescent="0.25">
      <c r="A2411" s="8">
        <v>3592</v>
      </c>
      <c r="B2411" s="9" t="s">
        <v>6768</v>
      </c>
      <c r="C2411" s="9" t="s">
        <v>5038</v>
      </c>
      <c r="D2411" s="9" t="s">
        <v>139</v>
      </c>
      <c r="E2411" s="9" t="s">
        <v>2681</v>
      </c>
      <c r="F2411" s="9" t="s">
        <v>2682</v>
      </c>
      <c r="G2411" s="9" t="s">
        <v>142</v>
      </c>
      <c r="H2411" s="9" t="s">
        <v>139</v>
      </c>
      <c r="I2411" s="9" t="s">
        <v>411</v>
      </c>
      <c r="J2411" s="9" t="s">
        <v>139</v>
      </c>
      <c r="K2411" s="10">
        <v>39721.737615740742</v>
      </c>
    </row>
    <row r="2412" spans="1:11" x14ac:dyDescent="0.25">
      <c r="A2412" s="8">
        <v>3593</v>
      </c>
      <c r="B2412" s="9" t="s">
        <v>6769</v>
      </c>
      <c r="C2412" s="9" t="s">
        <v>5039</v>
      </c>
      <c r="D2412" s="9" t="s">
        <v>139</v>
      </c>
      <c r="E2412" s="9" t="s">
        <v>5040</v>
      </c>
      <c r="F2412" s="9" t="s">
        <v>5041</v>
      </c>
      <c r="G2412" s="9" t="s">
        <v>142</v>
      </c>
      <c r="H2412" s="9" t="s">
        <v>139</v>
      </c>
      <c r="I2412" s="9" t="s">
        <v>411</v>
      </c>
      <c r="J2412" s="9" t="s">
        <v>139</v>
      </c>
      <c r="K2412" s="10">
        <v>39721.738483796296</v>
      </c>
    </row>
    <row r="2413" spans="1:11" x14ac:dyDescent="0.25">
      <c r="A2413" s="8">
        <v>3594</v>
      </c>
      <c r="B2413" s="9" t="s">
        <v>6770</v>
      </c>
      <c r="C2413" s="9" t="s">
        <v>5042</v>
      </c>
      <c r="D2413" s="9" t="s">
        <v>139</v>
      </c>
      <c r="E2413" s="9" t="s">
        <v>5043</v>
      </c>
      <c r="F2413" s="9" t="s">
        <v>5044</v>
      </c>
      <c r="G2413" s="9" t="s">
        <v>142</v>
      </c>
      <c r="H2413" s="9" t="s">
        <v>139</v>
      </c>
      <c r="I2413" s="9" t="s">
        <v>411</v>
      </c>
      <c r="J2413" s="9" t="s">
        <v>139</v>
      </c>
      <c r="K2413" s="10">
        <v>39721.739537037036</v>
      </c>
    </row>
    <row r="2414" spans="1:11" x14ac:dyDescent="0.25">
      <c r="A2414" s="8">
        <v>3595</v>
      </c>
      <c r="B2414" s="9" t="s">
        <v>6771</v>
      </c>
      <c r="C2414" s="9" t="s">
        <v>5045</v>
      </c>
      <c r="D2414" s="9" t="s">
        <v>139</v>
      </c>
      <c r="E2414" s="9" t="s">
        <v>3147</v>
      </c>
      <c r="F2414" s="9" t="s">
        <v>3148</v>
      </c>
      <c r="G2414" s="9" t="s">
        <v>142</v>
      </c>
      <c r="H2414" s="9" t="s">
        <v>139</v>
      </c>
      <c r="I2414" s="9" t="s">
        <v>411</v>
      </c>
      <c r="J2414" s="9" t="s">
        <v>139</v>
      </c>
      <c r="K2414" s="10">
        <v>39721.740312499998</v>
      </c>
    </row>
    <row r="2415" spans="1:11" x14ac:dyDescent="0.25">
      <c r="A2415" s="8">
        <v>3596</v>
      </c>
      <c r="B2415" s="9" t="s">
        <v>6772</v>
      </c>
      <c r="C2415" s="9" t="s">
        <v>139</v>
      </c>
      <c r="D2415" s="9" t="s">
        <v>139</v>
      </c>
      <c r="E2415" s="9">
        <v>75</v>
      </c>
      <c r="F2415" s="9" t="s">
        <v>413</v>
      </c>
      <c r="G2415" s="9" t="s">
        <v>142</v>
      </c>
      <c r="H2415" s="9" t="s">
        <v>139</v>
      </c>
      <c r="I2415" s="9" t="s">
        <v>411</v>
      </c>
      <c r="J2415" s="9" t="s">
        <v>139</v>
      </c>
      <c r="K2415" s="10">
        <v>39721.743796296294</v>
      </c>
    </row>
    <row r="2416" spans="1:11" x14ac:dyDescent="0.25">
      <c r="A2416" s="8">
        <v>3597</v>
      </c>
      <c r="B2416" s="9" t="s">
        <v>6773</v>
      </c>
      <c r="C2416" s="9" t="s">
        <v>5046</v>
      </c>
      <c r="D2416" s="9" t="s">
        <v>139</v>
      </c>
      <c r="E2416" s="9" t="s">
        <v>3462</v>
      </c>
      <c r="F2416" s="9" t="s">
        <v>3463</v>
      </c>
      <c r="G2416" s="9" t="s">
        <v>142</v>
      </c>
      <c r="H2416" s="9" t="s">
        <v>139</v>
      </c>
      <c r="I2416" s="9" t="s">
        <v>411</v>
      </c>
      <c r="J2416" s="9" t="s">
        <v>139</v>
      </c>
      <c r="K2416" s="10">
        <v>39721.752187500002</v>
      </c>
    </row>
    <row r="2417" spans="1:11" x14ac:dyDescent="0.25">
      <c r="A2417" s="8">
        <v>3598</v>
      </c>
      <c r="B2417" s="9" t="s">
        <v>6774</v>
      </c>
      <c r="C2417" s="9" t="s">
        <v>5047</v>
      </c>
      <c r="D2417" s="9" t="s">
        <v>139</v>
      </c>
      <c r="E2417" s="9" t="s">
        <v>5048</v>
      </c>
      <c r="F2417" s="9" t="s">
        <v>5049</v>
      </c>
      <c r="G2417" s="9" t="s">
        <v>142</v>
      </c>
      <c r="H2417" s="9" t="s">
        <v>139</v>
      </c>
      <c r="I2417" s="9" t="s">
        <v>411</v>
      </c>
      <c r="J2417" s="9" t="s">
        <v>139</v>
      </c>
      <c r="K2417" s="10">
        <v>39721.755370370367</v>
      </c>
    </row>
    <row r="2418" spans="1:11" x14ac:dyDescent="0.25">
      <c r="A2418" s="8">
        <v>3599</v>
      </c>
      <c r="B2418" s="9" t="s">
        <v>6775</v>
      </c>
      <c r="C2418" s="9" t="s">
        <v>5050</v>
      </c>
      <c r="D2418" s="9" t="s">
        <v>139</v>
      </c>
      <c r="E2418" s="9" t="s">
        <v>3180</v>
      </c>
      <c r="F2418" s="9" t="s">
        <v>3181</v>
      </c>
      <c r="G2418" s="9" t="s">
        <v>142</v>
      </c>
      <c r="H2418" s="9" t="s">
        <v>139</v>
      </c>
      <c r="I2418" s="9" t="s">
        <v>411</v>
      </c>
      <c r="J2418" s="9" t="s">
        <v>139</v>
      </c>
      <c r="K2418" s="10">
        <v>39721.756273148145</v>
      </c>
    </row>
    <row r="2419" spans="1:11" x14ac:dyDescent="0.25">
      <c r="A2419" s="8">
        <v>3600</v>
      </c>
      <c r="B2419" s="9" t="s">
        <v>6776</v>
      </c>
      <c r="C2419" s="9" t="s">
        <v>5051</v>
      </c>
      <c r="D2419" s="9" t="s">
        <v>139</v>
      </c>
      <c r="E2419" s="9" t="s">
        <v>3028</v>
      </c>
      <c r="F2419" s="9" t="s">
        <v>5052</v>
      </c>
      <c r="G2419" s="9" t="s">
        <v>142</v>
      </c>
      <c r="H2419" s="9" t="s">
        <v>139</v>
      </c>
      <c r="I2419" s="9" t="s">
        <v>411</v>
      </c>
      <c r="J2419" s="9" t="s">
        <v>139</v>
      </c>
      <c r="K2419" s="10">
        <v>39721.762627314813</v>
      </c>
    </row>
    <row r="2420" spans="1:11" x14ac:dyDescent="0.25">
      <c r="A2420" s="8">
        <v>3601</v>
      </c>
      <c r="B2420" s="9" t="s">
        <v>6777</v>
      </c>
      <c r="C2420" s="9" t="s">
        <v>5053</v>
      </c>
      <c r="D2420" s="9" t="s">
        <v>139</v>
      </c>
      <c r="E2420" s="9" t="s">
        <v>5054</v>
      </c>
      <c r="F2420" s="9" t="s">
        <v>5055</v>
      </c>
      <c r="G2420" s="9" t="s">
        <v>142</v>
      </c>
      <c r="H2420" s="9" t="s">
        <v>139</v>
      </c>
      <c r="I2420" s="9" t="s">
        <v>411</v>
      </c>
      <c r="J2420" s="9" t="s">
        <v>139</v>
      </c>
      <c r="K2420" s="10">
        <v>39721.764097222222</v>
      </c>
    </row>
    <row r="2421" spans="1:11" x14ac:dyDescent="0.25">
      <c r="A2421" s="8">
        <v>3602</v>
      </c>
      <c r="B2421" s="9" t="s">
        <v>6778</v>
      </c>
      <c r="C2421" s="9" t="s">
        <v>5056</v>
      </c>
      <c r="D2421" s="9" t="s">
        <v>139</v>
      </c>
      <c r="E2421" s="9" t="s">
        <v>5057</v>
      </c>
      <c r="F2421" s="9" t="s">
        <v>5058</v>
      </c>
      <c r="G2421" s="9" t="s">
        <v>142</v>
      </c>
      <c r="H2421" s="9" t="s">
        <v>139</v>
      </c>
      <c r="I2421" s="9" t="s">
        <v>411</v>
      </c>
      <c r="J2421" s="9" t="s">
        <v>139</v>
      </c>
      <c r="K2421" s="10">
        <v>39721.766041666669</v>
      </c>
    </row>
    <row r="2422" spans="1:11" x14ac:dyDescent="0.25">
      <c r="A2422" s="8">
        <v>3603</v>
      </c>
      <c r="B2422" s="9" t="s">
        <v>6779</v>
      </c>
      <c r="C2422" s="9" t="s">
        <v>5059</v>
      </c>
      <c r="D2422" s="9" t="s">
        <v>139</v>
      </c>
      <c r="E2422" s="9" t="s">
        <v>596</v>
      </c>
      <c r="F2422" s="9" t="s">
        <v>597</v>
      </c>
      <c r="G2422" s="9" t="s">
        <v>142</v>
      </c>
      <c r="H2422" s="9" t="s">
        <v>139</v>
      </c>
      <c r="I2422" s="9" t="s">
        <v>411</v>
      </c>
      <c r="J2422" s="9" t="s">
        <v>139</v>
      </c>
      <c r="K2422" s="10">
        <v>39721.767777777779</v>
      </c>
    </row>
    <row r="2423" spans="1:11" x14ac:dyDescent="0.25">
      <c r="A2423" s="8">
        <v>3604</v>
      </c>
      <c r="B2423" s="9" t="s">
        <v>6780</v>
      </c>
      <c r="C2423" s="9" t="s">
        <v>5060</v>
      </c>
      <c r="D2423" s="9" t="s">
        <v>139</v>
      </c>
      <c r="E2423" s="9" t="s">
        <v>5061</v>
      </c>
      <c r="F2423" s="9" t="s">
        <v>5062</v>
      </c>
      <c r="G2423" s="9" t="s">
        <v>142</v>
      </c>
      <c r="H2423" s="9" t="s">
        <v>139</v>
      </c>
      <c r="I2423" s="9" t="s">
        <v>411</v>
      </c>
      <c r="J2423" s="9" t="s">
        <v>139</v>
      </c>
      <c r="K2423" s="10">
        <v>39721.769432870373</v>
      </c>
    </row>
    <row r="2424" spans="1:11" x14ac:dyDescent="0.25">
      <c r="A2424" s="8">
        <v>3605</v>
      </c>
      <c r="B2424" s="9" t="s">
        <v>6781</v>
      </c>
      <c r="C2424" s="9" t="s">
        <v>5063</v>
      </c>
      <c r="D2424" s="9" t="s">
        <v>139</v>
      </c>
      <c r="E2424" s="9" t="s">
        <v>5064</v>
      </c>
      <c r="F2424" s="9" t="s">
        <v>5065</v>
      </c>
      <c r="G2424" s="9" t="s">
        <v>142</v>
      </c>
      <c r="H2424" s="9" t="s">
        <v>139</v>
      </c>
      <c r="I2424" s="9" t="s">
        <v>411</v>
      </c>
      <c r="J2424" s="9" t="s">
        <v>139</v>
      </c>
      <c r="K2424" s="10">
        <v>39721.770995370367</v>
      </c>
    </row>
    <row r="2425" spans="1:11" x14ac:dyDescent="0.25">
      <c r="A2425" s="8">
        <v>3606</v>
      </c>
      <c r="B2425" s="9" t="s">
        <v>6782</v>
      </c>
      <c r="C2425" s="9" t="s">
        <v>5066</v>
      </c>
      <c r="D2425" s="9" t="s">
        <v>139</v>
      </c>
      <c r="E2425" s="9" t="s">
        <v>5067</v>
      </c>
      <c r="F2425" s="9" t="s">
        <v>5068</v>
      </c>
      <c r="G2425" s="9" t="s">
        <v>142</v>
      </c>
      <c r="H2425" s="9" t="s">
        <v>139</v>
      </c>
      <c r="I2425" s="9" t="s">
        <v>411</v>
      </c>
      <c r="J2425" s="9" t="s">
        <v>139</v>
      </c>
      <c r="K2425" s="10">
        <v>39721.772418981483</v>
      </c>
    </row>
    <row r="2426" spans="1:11" x14ac:dyDescent="0.25">
      <c r="A2426" s="8">
        <v>3607</v>
      </c>
      <c r="B2426" s="9" t="s">
        <v>6783</v>
      </c>
      <c r="C2426" s="9" t="s">
        <v>5069</v>
      </c>
      <c r="D2426" s="9" t="s">
        <v>139</v>
      </c>
      <c r="E2426" s="9" t="s">
        <v>4413</v>
      </c>
      <c r="F2426" s="9" t="s">
        <v>4414</v>
      </c>
      <c r="G2426" s="9" t="s">
        <v>142</v>
      </c>
      <c r="H2426" s="9" t="s">
        <v>139</v>
      </c>
      <c r="I2426" s="9" t="s">
        <v>411</v>
      </c>
      <c r="J2426" s="9" t="s">
        <v>5070</v>
      </c>
      <c r="K2426" s="10">
        <v>39736.574999999997</v>
      </c>
    </row>
    <row r="2427" spans="1:11" x14ac:dyDescent="0.25">
      <c r="A2427" s="8">
        <v>3608</v>
      </c>
      <c r="B2427" s="9" t="s">
        <v>6784</v>
      </c>
      <c r="C2427" s="9" t="s">
        <v>5071</v>
      </c>
      <c r="D2427" s="9" t="s">
        <v>139</v>
      </c>
      <c r="E2427" s="9" t="s">
        <v>419</v>
      </c>
      <c r="F2427" s="9" t="s">
        <v>420</v>
      </c>
      <c r="G2427" s="9" t="s">
        <v>142</v>
      </c>
      <c r="H2427" s="9" t="s">
        <v>241</v>
      </c>
      <c r="I2427" s="9" t="s">
        <v>411</v>
      </c>
      <c r="J2427" s="9" t="s">
        <v>5072</v>
      </c>
      <c r="K2427" s="10">
        <v>39738.609791666669</v>
      </c>
    </row>
    <row r="2428" spans="1:11" x14ac:dyDescent="0.25">
      <c r="A2428" s="8">
        <v>3609</v>
      </c>
      <c r="B2428" s="9" t="s">
        <v>6785</v>
      </c>
      <c r="C2428" s="9" t="s">
        <v>5073</v>
      </c>
      <c r="D2428" s="9" t="s">
        <v>139</v>
      </c>
      <c r="E2428" s="9" t="s">
        <v>5074</v>
      </c>
      <c r="F2428" s="9" t="s">
        <v>5075</v>
      </c>
      <c r="G2428" s="9" t="s">
        <v>882</v>
      </c>
      <c r="H2428" s="9" t="s">
        <v>241</v>
      </c>
      <c r="I2428" s="9" t="s">
        <v>411</v>
      </c>
      <c r="J2428" s="9" t="s">
        <v>5076</v>
      </c>
      <c r="K2428" s="10">
        <v>39751.578726851854</v>
      </c>
    </row>
    <row r="2429" spans="1:11" x14ac:dyDescent="0.25">
      <c r="A2429" s="8">
        <v>3610</v>
      </c>
      <c r="B2429" s="9" t="s">
        <v>6786</v>
      </c>
      <c r="C2429" s="9" t="s">
        <v>5077</v>
      </c>
      <c r="D2429" s="9" t="s">
        <v>139</v>
      </c>
      <c r="E2429" s="9" t="s">
        <v>280</v>
      </c>
      <c r="F2429" s="9" t="s">
        <v>141</v>
      </c>
      <c r="G2429" s="9" t="s">
        <v>142</v>
      </c>
      <c r="H2429" s="9" t="s">
        <v>166</v>
      </c>
      <c r="I2429" s="9" t="s">
        <v>411</v>
      </c>
      <c r="J2429" s="9" t="s">
        <v>5078</v>
      </c>
      <c r="K2429" s="10">
        <v>39757.612662037034</v>
      </c>
    </row>
    <row r="2430" spans="1:11" x14ac:dyDescent="0.25">
      <c r="A2430" s="8">
        <v>3611</v>
      </c>
      <c r="B2430" s="9" t="s">
        <v>9280</v>
      </c>
      <c r="C2430" s="9" t="s">
        <v>5079</v>
      </c>
      <c r="D2430" s="9" t="s">
        <v>139</v>
      </c>
      <c r="E2430" s="9" t="s">
        <v>5080</v>
      </c>
      <c r="F2430" s="9" t="s">
        <v>5081</v>
      </c>
      <c r="G2430" s="9" t="s">
        <v>142</v>
      </c>
      <c r="H2430" s="9" t="s">
        <v>321</v>
      </c>
      <c r="I2430" s="9" t="s">
        <v>143</v>
      </c>
      <c r="J2430" s="9" t="s">
        <v>139</v>
      </c>
      <c r="K2430" s="10">
        <v>39758.625937500001</v>
      </c>
    </row>
    <row r="2431" spans="1:11" x14ac:dyDescent="0.25">
      <c r="A2431" s="8">
        <v>3614</v>
      </c>
      <c r="B2431" s="9" t="s">
        <v>6787</v>
      </c>
      <c r="C2431" s="9" t="s">
        <v>5082</v>
      </c>
      <c r="D2431" s="9" t="s">
        <v>139</v>
      </c>
      <c r="E2431" s="9" t="s">
        <v>2785</v>
      </c>
      <c r="F2431" s="9" t="s">
        <v>2786</v>
      </c>
      <c r="G2431" s="9" t="s">
        <v>142</v>
      </c>
      <c r="H2431" s="9" t="s">
        <v>166</v>
      </c>
      <c r="I2431" s="9" t="s">
        <v>411</v>
      </c>
      <c r="J2431" s="9" t="s">
        <v>5083</v>
      </c>
      <c r="K2431" s="10">
        <v>39759.771689814814</v>
      </c>
    </row>
    <row r="2432" spans="1:11" x14ac:dyDescent="0.25">
      <c r="A2432" s="8">
        <v>3615</v>
      </c>
      <c r="B2432" s="9" t="s">
        <v>6788</v>
      </c>
      <c r="C2432" s="9" t="s">
        <v>5084</v>
      </c>
      <c r="D2432" s="9" t="s">
        <v>139</v>
      </c>
      <c r="E2432" s="9" t="s">
        <v>3944</v>
      </c>
      <c r="F2432" s="9" t="s">
        <v>5085</v>
      </c>
      <c r="G2432" s="9" t="s">
        <v>142</v>
      </c>
      <c r="H2432" s="9" t="s">
        <v>139</v>
      </c>
      <c r="I2432" s="9" t="s">
        <v>411</v>
      </c>
      <c r="J2432" s="9" t="s">
        <v>5086</v>
      </c>
      <c r="K2432" s="10">
        <v>39767.514166666668</v>
      </c>
    </row>
    <row r="2433" spans="1:11" x14ac:dyDescent="0.25">
      <c r="A2433" s="8">
        <v>3616</v>
      </c>
      <c r="B2433" s="9" t="s">
        <v>6789</v>
      </c>
      <c r="C2433" s="9" t="s">
        <v>5087</v>
      </c>
      <c r="D2433" s="9" t="s">
        <v>139</v>
      </c>
      <c r="E2433" s="9" t="s">
        <v>1296</v>
      </c>
      <c r="F2433" s="9" t="s">
        <v>1297</v>
      </c>
      <c r="G2433" s="9" t="s">
        <v>142</v>
      </c>
      <c r="H2433" s="9" t="s">
        <v>241</v>
      </c>
      <c r="I2433" s="9" t="s">
        <v>411</v>
      </c>
      <c r="J2433" s="9" t="s">
        <v>5088</v>
      </c>
      <c r="K2433" s="10">
        <v>39767.534745370373</v>
      </c>
    </row>
    <row r="2434" spans="1:11" x14ac:dyDescent="0.25">
      <c r="A2434" s="8">
        <v>3617</v>
      </c>
      <c r="B2434" s="9" t="s">
        <v>6790</v>
      </c>
      <c r="C2434" s="9" t="s">
        <v>5089</v>
      </c>
      <c r="D2434" s="9" t="s">
        <v>139</v>
      </c>
      <c r="E2434" s="9" t="s">
        <v>5090</v>
      </c>
      <c r="F2434" s="9" t="s">
        <v>5091</v>
      </c>
      <c r="G2434" s="9" t="s">
        <v>142</v>
      </c>
      <c r="H2434" s="9" t="s">
        <v>166</v>
      </c>
      <c r="I2434" s="9" t="s">
        <v>411</v>
      </c>
      <c r="J2434" s="9" t="s">
        <v>5092</v>
      </c>
      <c r="K2434" s="10">
        <v>39767.536226851851</v>
      </c>
    </row>
    <row r="2435" spans="1:11" x14ac:dyDescent="0.25">
      <c r="A2435" s="8">
        <v>3618</v>
      </c>
      <c r="B2435" s="9" t="s">
        <v>6791</v>
      </c>
      <c r="C2435" s="9" t="s">
        <v>5093</v>
      </c>
      <c r="D2435" s="9" t="s">
        <v>139</v>
      </c>
      <c r="E2435" s="9" t="s">
        <v>5094</v>
      </c>
      <c r="F2435" s="9" t="s">
        <v>5095</v>
      </c>
      <c r="G2435" s="9" t="s">
        <v>142</v>
      </c>
      <c r="H2435" s="9" t="s">
        <v>139</v>
      </c>
      <c r="I2435" s="9" t="s">
        <v>411</v>
      </c>
      <c r="J2435" s="9" t="s">
        <v>5096</v>
      </c>
      <c r="K2435" s="10">
        <v>39767.537789351853</v>
      </c>
    </row>
    <row r="2436" spans="1:11" x14ac:dyDescent="0.25">
      <c r="A2436" s="8">
        <v>3619</v>
      </c>
      <c r="B2436" s="9" t="s">
        <v>6792</v>
      </c>
      <c r="C2436" s="9" t="s">
        <v>5097</v>
      </c>
      <c r="D2436" s="9" t="s">
        <v>139</v>
      </c>
      <c r="E2436" s="9" t="s">
        <v>4009</v>
      </c>
      <c r="F2436" s="9" t="s">
        <v>3929</v>
      </c>
      <c r="G2436" s="9" t="s">
        <v>142</v>
      </c>
      <c r="H2436" s="9" t="s">
        <v>139</v>
      </c>
      <c r="I2436" s="9" t="s">
        <v>411</v>
      </c>
      <c r="J2436" s="9" t="s">
        <v>5098</v>
      </c>
      <c r="K2436" s="10">
        <v>39767.539814814816</v>
      </c>
    </row>
    <row r="2437" spans="1:11" x14ac:dyDescent="0.25">
      <c r="A2437" s="8">
        <v>3620</v>
      </c>
      <c r="B2437" s="9" t="s">
        <v>6793</v>
      </c>
      <c r="C2437" s="9" t="s">
        <v>5099</v>
      </c>
      <c r="D2437" s="9" t="s">
        <v>139</v>
      </c>
      <c r="E2437" s="9" t="s">
        <v>1414</v>
      </c>
      <c r="F2437" s="9" t="s">
        <v>5100</v>
      </c>
      <c r="G2437" s="9" t="s">
        <v>142</v>
      </c>
      <c r="H2437" s="9" t="s">
        <v>258</v>
      </c>
      <c r="I2437" s="9" t="s">
        <v>411</v>
      </c>
      <c r="J2437" s="9" t="s">
        <v>5101</v>
      </c>
      <c r="K2437" s="10">
        <v>39770.679050925923</v>
      </c>
    </row>
    <row r="2438" spans="1:11" x14ac:dyDescent="0.25">
      <c r="A2438" s="8">
        <v>3622</v>
      </c>
      <c r="B2438" s="9" t="s">
        <v>6794</v>
      </c>
      <c r="C2438" s="9" t="s">
        <v>5102</v>
      </c>
      <c r="D2438" s="9" t="s">
        <v>139</v>
      </c>
      <c r="E2438" s="9" t="s">
        <v>5103</v>
      </c>
      <c r="F2438" s="9" t="s">
        <v>5104</v>
      </c>
      <c r="G2438" s="9" t="s">
        <v>142</v>
      </c>
      <c r="H2438" s="9" t="s">
        <v>139</v>
      </c>
      <c r="I2438" s="9" t="s">
        <v>411</v>
      </c>
      <c r="J2438" s="9" t="s">
        <v>139</v>
      </c>
      <c r="K2438" s="10">
        <v>39780.399965277778</v>
      </c>
    </row>
    <row r="2439" spans="1:11" x14ac:dyDescent="0.25">
      <c r="A2439" s="8">
        <v>3623</v>
      </c>
      <c r="B2439" s="9" t="s">
        <v>6795</v>
      </c>
      <c r="C2439" s="9" t="s">
        <v>5105</v>
      </c>
      <c r="D2439" s="9" t="s">
        <v>139</v>
      </c>
      <c r="E2439" s="9" t="s">
        <v>1050</v>
      </c>
      <c r="F2439" s="9" t="s">
        <v>1051</v>
      </c>
      <c r="G2439" s="9" t="s">
        <v>142</v>
      </c>
      <c r="H2439" s="9" t="s">
        <v>139</v>
      </c>
      <c r="I2439" s="9" t="s">
        <v>411</v>
      </c>
      <c r="J2439" s="9" t="s">
        <v>5106</v>
      </c>
      <c r="K2439" s="10">
        <v>39781.691342592596</v>
      </c>
    </row>
    <row r="2440" spans="1:11" x14ac:dyDescent="0.25">
      <c r="A2440" s="8">
        <v>3624</v>
      </c>
      <c r="B2440" s="9" t="s">
        <v>6796</v>
      </c>
      <c r="C2440" s="9" t="s">
        <v>5107</v>
      </c>
      <c r="D2440" s="9" t="s">
        <v>5108</v>
      </c>
      <c r="E2440" s="9" t="s">
        <v>5109</v>
      </c>
      <c r="F2440" s="9" t="s">
        <v>5110</v>
      </c>
      <c r="G2440" s="9" t="s">
        <v>142</v>
      </c>
      <c r="H2440" s="9" t="s">
        <v>139</v>
      </c>
      <c r="I2440" s="9" t="s">
        <v>411</v>
      </c>
      <c r="J2440" s="9" t="s">
        <v>139</v>
      </c>
      <c r="K2440" s="10">
        <v>39782.688449074078</v>
      </c>
    </row>
    <row r="2441" spans="1:11" x14ac:dyDescent="0.25">
      <c r="A2441" s="8">
        <v>3625</v>
      </c>
      <c r="B2441" s="9" t="s">
        <v>6797</v>
      </c>
      <c r="C2441" s="9" t="s">
        <v>5111</v>
      </c>
      <c r="D2441" s="9" t="s">
        <v>139</v>
      </c>
      <c r="E2441" s="9" t="s">
        <v>5112</v>
      </c>
      <c r="F2441" s="9" t="s">
        <v>5113</v>
      </c>
      <c r="G2441" s="9" t="s">
        <v>142</v>
      </c>
      <c r="H2441" s="9" t="s">
        <v>166</v>
      </c>
      <c r="I2441" s="9" t="s">
        <v>411</v>
      </c>
      <c r="J2441" s="9" t="s">
        <v>139</v>
      </c>
      <c r="K2441" s="10">
        <v>39785.523252314815</v>
      </c>
    </row>
    <row r="2442" spans="1:11" x14ac:dyDescent="0.25">
      <c r="A2442" s="8">
        <v>3626</v>
      </c>
      <c r="B2442" s="9" t="s">
        <v>6798</v>
      </c>
      <c r="C2442" s="9" t="s">
        <v>5114</v>
      </c>
      <c r="D2442" s="9" t="s">
        <v>139</v>
      </c>
      <c r="E2442" s="9" t="s">
        <v>4248</v>
      </c>
      <c r="F2442" s="9" t="s">
        <v>4249</v>
      </c>
      <c r="G2442" s="9" t="s">
        <v>142</v>
      </c>
      <c r="H2442" s="9" t="s">
        <v>139</v>
      </c>
      <c r="I2442" s="9" t="s">
        <v>411</v>
      </c>
      <c r="J2442" s="9" t="s">
        <v>5115</v>
      </c>
      <c r="K2442" s="10">
        <v>39785.538194444445</v>
      </c>
    </row>
    <row r="2443" spans="1:11" x14ac:dyDescent="0.25">
      <c r="A2443" s="8">
        <v>3627</v>
      </c>
      <c r="B2443" s="9" t="s">
        <v>6799</v>
      </c>
      <c r="C2443" s="9" t="s">
        <v>5116</v>
      </c>
      <c r="D2443" s="9" t="s">
        <v>139</v>
      </c>
      <c r="E2443" s="9" t="s">
        <v>4678</v>
      </c>
      <c r="F2443" s="9" t="s">
        <v>5117</v>
      </c>
      <c r="G2443" s="9" t="s">
        <v>142</v>
      </c>
      <c r="H2443" s="9" t="s">
        <v>166</v>
      </c>
      <c r="I2443" s="9" t="s">
        <v>411</v>
      </c>
      <c r="J2443" s="9" t="s">
        <v>5118</v>
      </c>
      <c r="K2443" s="10">
        <v>39785.540289351855</v>
      </c>
    </row>
    <row r="2444" spans="1:11" x14ac:dyDescent="0.25">
      <c r="A2444" s="8">
        <v>3628</v>
      </c>
      <c r="B2444" s="9" t="s">
        <v>9281</v>
      </c>
      <c r="C2444" s="9" t="s">
        <v>5119</v>
      </c>
      <c r="D2444" s="9" t="s">
        <v>139</v>
      </c>
      <c r="E2444" s="9" t="s">
        <v>876</v>
      </c>
      <c r="F2444" s="9" t="s">
        <v>5120</v>
      </c>
      <c r="G2444" s="9" t="s">
        <v>142</v>
      </c>
      <c r="H2444" s="9" t="s">
        <v>241</v>
      </c>
      <c r="I2444" s="9" t="s">
        <v>143</v>
      </c>
      <c r="J2444" s="9" t="s">
        <v>139</v>
      </c>
      <c r="K2444" s="10">
        <v>39786.493171296293</v>
      </c>
    </row>
    <row r="2445" spans="1:11" x14ac:dyDescent="0.25">
      <c r="A2445" s="8">
        <v>3630</v>
      </c>
      <c r="B2445" s="9" t="s">
        <v>9282</v>
      </c>
      <c r="C2445" s="9" t="s">
        <v>5121</v>
      </c>
      <c r="D2445" s="9" t="s">
        <v>5122</v>
      </c>
      <c r="E2445" s="9">
        <v>13540</v>
      </c>
      <c r="F2445" s="9" t="s">
        <v>5123</v>
      </c>
      <c r="G2445" s="9" t="s">
        <v>142</v>
      </c>
      <c r="H2445" s="9" t="s">
        <v>166</v>
      </c>
      <c r="I2445" s="9" t="s">
        <v>143</v>
      </c>
      <c r="J2445" s="9" t="s">
        <v>139</v>
      </c>
      <c r="K2445" s="10">
        <v>39786.495474537034</v>
      </c>
    </row>
    <row r="2446" spans="1:11" x14ac:dyDescent="0.25">
      <c r="A2446" s="8">
        <v>3631</v>
      </c>
      <c r="B2446" s="9" t="s">
        <v>9283</v>
      </c>
      <c r="C2446" s="9" t="s">
        <v>5124</v>
      </c>
      <c r="D2446" s="9" t="s">
        <v>139</v>
      </c>
      <c r="E2446" s="9" t="s">
        <v>4674</v>
      </c>
      <c r="F2446" s="9" t="s">
        <v>4675</v>
      </c>
      <c r="G2446" s="9" t="s">
        <v>142</v>
      </c>
      <c r="H2446" s="9" t="s">
        <v>166</v>
      </c>
      <c r="I2446" s="9" t="s">
        <v>143</v>
      </c>
      <c r="J2446" s="9" t="s">
        <v>139</v>
      </c>
      <c r="K2446" s="10">
        <v>39786.496736111112</v>
      </c>
    </row>
    <row r="2447" spans="1:11" x14ac:dyDescent="0.25">
      <c r="A2447" s="8">
        <v>3632</v>
      </c>
      <c r="B2447" s="9" t="s">
        <v>9284</v>
      </c>
      <c r="C2447" s="9" t="s">
        <v>5125</v>
      </c>
      <c r="D2447" s="9" t="s">
        <v>5126</v>
      </c>
      <c r="E2447" s="9" t="s">
        <v>5127</v>
      </c>
      <c r="F2447" s="9" t="s">
        <v>5128</v>
      </c>
      <c r="G2447" s="9" t="s">
        <v>142</v>
      </c>
      <c r="H2447" s="9" t="s">
        <v>166</v>
      </c>
      <c r="I2447" s="9" t="s">
        <v>143</v>
      </c>
      <c r="J2447" s="9" t="s">
        <v>139</v>
      </c>
      <c r="K2447" s="10">
        <v>39786.497511574074</v>
      </c>
    </row>
    <row r="2448" spans="1:11" x14ac:dyDescent="0.25">
      <c r="A2448" s="8">
        <v>3633</v>
      </c>
      <c r="B2448" s="9" t="s">
        <v>6800</v>
      </c>
      <c r="C2448" s="9" t="s">
        <v>5129</v>
      </c>
      <c r="D2448" s="9" t="s">
        <v>139</v>
      </c>
      <c r="E2448" s="9" t="s">
        <v>2823</v>
      </c>
      <c r="F2448" s="9" t="s">
        <v>2824</v>
      </c>
      <c r="G2448" s="9" t="s">
        <v>142</v>
      </c>
      <c r="H2448" s="9" t="s">
        <v>166</v>
      </c>
      <c r="I2448" s="9" t="s">
        <v>411</v>
      </c>
      <c r="J2448" s="9" t="s">
        <v>5130</v>
      </c>
      <c r="K2448" s="10">
        <v>39828.502511574072</v>
      </c>
    </row>
    <row r="2449" spans="1:11" x14ac:dyDescent="0.25">
      <c r="A2449" s="8">
        <v>3634</v>
      </c>
      <c r="B2449" s="9" t="s">
        <v>6801</v>
      </c>
      <c r="C2449" s="9" t="s">
        <v>5131</v>
      </c>
      <c r="D2449" s="9" t="s">
        <v>139</v>
      </c>
      <c r="E2449" s="9" t="s">
        <v>1246</v>
      </c>
      <c r="F2449" s="9" t="s">
        <v>1247</v>
      </c>
      <c r="G2449" s="9" t="s">
        <v>142</v>
      </c>
      <c r="H2449" s="9" t="s">
        <v>139</v>
      </c>
      <c r="I2449" s="9" t="s">
        <v>411</v>
      </c>
      <c r="J2449" s="9" t="s">
        <v>139</v>
      </c>
      <c r="K2449" s="10">
        <v>39840.478958333333</v>
      </c>
    </row>
    <row r="2450" spans="1:11" x14ac:dyDescent="0.25">
      <c r="A2450" s="8">
        <v>3635</v>
      </c>
      <c r="B2450" s="9" t="s">
        <v>6802</v>
      </c>
      <c r="C2450" s="9" t="s">
        <v>1876</v>
      </c>
      <c r="D2450" s="9" t="s">
        <v>139</v>
      </c>
      <c r="E2450" s="9" t="s">
        <v>4118</v>
      </c>
      <c r="F2450" s="9" t="s">
        <v>4119</v>
      </c>
      <c r="G2450" s="9" t="s">
        <v>142</v>
      </c>
      <c r="H2450" s="9" t="s">
        <v>166</v>
      </c>
      <c r="I2450" s="9" t="s">
        <v>411</v>
      </c>
      <c r="J2450" s="9" t="s">
        <v>139</v>
      </c>
      <c r="K2450" s="10">
        <v>39840.527291666665</v>
      </c>
    </row>
    <row r="2451" spans="1:11" x14ac:dyDescent="0.25">
      <c r="A2451" s="8">
        <v>3636</v>
      </c>
      <c r="B2451" s="9" t="s">
        <v>6803</v>
      </c>
      <c r="C2451" s="9" t="s">
        <v>5132</v>
      </c>
      <c r="D2451" s="9" t="s">
        <v>139</v>
      </c>
      <c r="E2451" s="9" t="s">
        <v>815</v>
      </c>
      <c r="F2451" s="9" t="s">
        <v>816</v>
      </c>
      <c r="G2451" s="9" t="s">
        <v>142</v>
      </c>
      <c r="H2451" s="9" t="s">
        <v>166</v>
      </c>
      <c r="I2451" s="9" t="s">
        <v>411</v>
      </c>
      <c r="J2451" s="9" t="s">
        <v>139</v>
      </c>
      <c r="K2451" s="10">
        <v>39840.54482638889</v>
      </c>
    </row>
    <row r="2452" spans="1:11" x14ac:dyDescent="0.25">
      <c r="A2452" s="8">
        <v>3637</v>
      </c>
      <c r="B2452" s="9" t="s">
        <v>6804</v>
      </c>
      <c r="C2452" s="9" t="s">
        <v>5133</v>
      </c>
      <c r="D2452" s="9" t="s">
        <v>139</v>
      </c>
      <c r="E2452" s="9" t="s">
        <v>5134</v>
      </c>
      <c r="F2452" s="9" t="s">
        <v>5135</v>
      </c>
      <c r="G2452" s="9" t="s">
        <v>142</v>
      </c>
      <c r="H2452" s="9" t="s">
        <v>166</v>
      </c>
      <c r="I2452" s="9" t="s">
        <v>411</v>
      </c>
      <c r="J2452" s="9" t="s">
        <v>139</v>
      </c>
      <c r="K2452" s="10">
        <v>39840.551817129628</v>
      </c>
    </row>
    <row r="2453" spans="1:11" x14ac:dyDescent="0.25">
      <c r="A2453" s="8">
        <v>3638</v>
      </c>
      <c r="B2453" s="9" t="s">
        <v>6805</v>
      </c>
      <c r="C2453" s="9" t="s">
        <v>5136</v>
      </c>
      <c r="D2453" s="9" t="s">
        <v>139</v>
      </c>
      <c r="E2453" s="9" t="s">
        <v>1293</v>
      </c>
      <c r="F2453" s="9" t="s">
        <v>1294</v>
      </c>
      <c r="G2453" s="9" t="s">
        <v>142</v>
      </c>
      <c r="H2453" s="9" t="s">
        <v>139</v>
      </c>
      <c r="I2453" s="9" t="s">
        <v>411</v>
      </c>
      <c r="J2453" s="9" t="s">
        <v>5137</v>
      </c>
      <c r="K2453" s="10">
        <v>39840.566666666666</v>
      </c>
    </row>
    <row r="2454" spans="1:11" x14ac:dyDescent="0.25">
      <c r="A2454" s="8">
        <v>3640</v>
      </c>
      <c r="B2454" s="9" t="s">
        <v>6806</v>
      </c>
      <c r="C2454" s="9" t="s">
        <v>5138</v>
      </c>
      <c r="D2454" s="9" t="s">
        <v>139</v>
      </c>
      <c r="E2454" s="9" t="s">
        <v>5139</v>
      </c>
      <c r="F2454" s="9" t="s">
        <v>1346</v>
      </c>
      <c r="G2454" s="9" t="s">
        <v>142</v>
      </c>
      <c r="H2454" s="9" t="s">
        <v>139</v>
      </c>
      <c r="I2454" s="9" t="s">
        <v>411</v>
      </c>
      <c r="J2454" s="9" t="s">
        <v>139</v>
      </c>
      <c r="K2454" s="10">
        <v>39843.428981481484</v>
      </c>
    </row>
    <row r="2455" spans="1:11" x14ac:dyDescent="0.25">
      <c r="A2455" s="8">
        <v>3641</v>
      </c>
      <c r="B2455" s="9" t="s">
        <v>6807</v>
      </c>
      <c r="C2455" s="9" t="s">
        <v>5140</v>
      </c>
      <c r="D2455" s="9" t="s">
        <v>139</v>
      </c>
      <c r="E2455" s="9" t="s">
        <v>180</v>
      </c>
      <c r="F2455" s="9" t="s">
        <v>141</v>
      </c>
      <c r="G2455" s="9" t="s">
        <v>142</v>
      </c>
      <c r="H2455" s="9" t="s">
        <v>139</v>
      </c>
      <c r="I2455" s="9" t="s">
        <v>411</v>
      </c>
      <c r="J2455" s="9" t="s">
        <v>139</v>
      </c>
      <c r="K2455" s="10">
        <v>39843.439247685186</v>
      </c>
    </row>
    <row r="2456" spans="1:11" x14ac:dyDescent="0.25">
      <c r="A2456" s="8">
        <v>3642</v>
      </c>
      <c r="B2456" s="9" t="s">
        <v>6808</v>
      </c>
      <c r="C2456" s="9" t="s">
        <v>5141</v>
      </c>
      <c r="D2456" s="9" t="s">
        <v>139</v>
      </c>
      <c r="E2456" s="9" t="s">
        <v>3559</v>
      </c>
      <c r="F2456" s="9" t="s">
        <v>5142</v>
      </c>
      <c r="G2456" s="9" t="s">
        <v>1042</v>
      </c>
      <c r="H2456" s="9" t="s">
        <v>139</v>
      </c>
      <c r="I2456" s="9" t="s">
        <v>411</v>
      </c>
      <c r="J2456" s="9" t="s">
        <v>139</v>
      </c>
      <c r="K2456" s="10">
        <v>39843.440578703703</v>
      </c>
    </row>
    <row r="2457" spans="1:11" x14ac:dyDescent="0.25">
      <c r="A2457" s="8">
        <v>3643</v>
      </c>
      <c r="B2457" s="9" t="s">
        <v>6809</v>
      </c>
      <c r="C2457" s="9" t="s">
        <v>5143</v>
      </c>
      <c r="D2457" s="9" t="s">
        <v>5144</v>
      </c>
      <c r="E2457" s="9" t="s">
        <v>5145</v>
      </c>
      <c r="F2457" s="9" t="s">
        <v>5146</v>
      </c>
      <c r="G2457" s="9" t="s">
        <v>142</v>
      </c>
      <c r="H2457" s="9" t="s">
        <v>139</v>
      </c>
      <c r="I2457" s="9" t="s">
        <v>411</v>
      </c>
      <c r="J2457" s="9" t="s">
        <v>139</v>
      </c>
      <c r="K2457" s="10">
        <v>39843.442071759258</v>
      </c>
    </row>
    <row r="2458" spans="1:11" x14ac:dyDescent="0.25">
      <c r="A2458" s="8">
        <v>3644</v>
      </c>
      <c r="B2458" s="9" t="s">
        <v>6810</v>
      </c>
      <c r="C2458" s="9" t="s">
        <v>5147</v>
      </c>
      <c r="D2458" s="9" t="s">
        <v>139</v>
      </c>
      <c r="E2458" s="9" t="s">
        <v>4546</v>
      </c>
      <c r="F2458" s="9" t="s">
        <v>4547</v>
      </c>
      <c r="G2458" s="9" t="s">
        <v>142</v>
      </c>
      <c r="H2458" s="9" t="s">
        <v>139</v>
      </c>
      <c r="I2458" s="9" t="s">
        <v>411</v>
      </c>
      <c r="J2458" s="9" t="s">
        <v>139</v>
      </c>
      <c r="K2458" s="10">
        <v>39865.584409722222</v>
      </c>
    </row>
    <row r="2459" spans="1:11" x14ac:dyDescent="0.25">
      <c r="A2459" s="8">
        <v>3645</v>
      </c>
      <c r="B2459" s="9" t="s">
        <v>6811</v>
      </c>
      <c r="C2459" s="9" t="s">
        <v>5148</v>
      </c>
      <c r="D2459" s="9" t="s">
        <v>139</v>
      </c>
      <c r="E2459" s="9" t="s">
        <v>2793</v>
      </c>
      <c r="F2459" s="9" t="s">
        <v>5149</v>
      </c>
      <c r="G2459" s="9" t="s">
        <v>142</v>
      </c>
      <c r="H2459" s="9" t="s">
        <v>139</v>
      </c>
      <c r="I2459" s="9" t="s">
        <v>411</v>
      </c>
      <c r="J2459" s="9" t="s">
        <v>5150</v>
      </c>
      <c r="K2459" s="10">
        <v>39865.587743055556</v>
      </c>
    </row>
    <row r="2460" spans="1:11" x14ac:dyDescent="0.25">
      <c r="A2460" s="8">
        <v>3646</v>
      </c>
      <c r="B2460" s="9" t="s">
        <v>6812</v>
      </c>
      <c r="C2460" s="9" t="s">
        <v>5151</v>
      </c>
      <c r="D2460" s="9" t="s">
        <v>139</v>
      </c>
      <c r="E2460" s="9" t="s">
        <v>2165</v>
      </c>
      <c r="F2460" s="9" t="s">
        <v>5152</v>
      </c>
      <c r="G2460" s="9" t="s">
        <v>142</v>
      </c>
      <c r="H2460" s="9" t="s">
        <v>166</v>
      </c>
      <c r="I2460" s="9" t="s">
        <v>411</v>
      </c>
      <c r="J2460" s="9" t="s">
        <v>5153</v>
      </c>
      <c r="K2460" s="10">
        <v>39875.701597222222</v>
      </c>
    </row>
    <row r="2461" spans="1:11" x14ac:dyDescent="0.25">
      <c r="A2461" s="8">
        <v>3647</v>
      </c>
      <c r="B2461" s="9" t="s">
        <v>6813</v>
      </c>
      <c r="C2461" s="9" t="s">
        <v>5154</v>
      </c>
      <c r="D2461" s="9" t="s">
        <v>139</v>
      </c>
      <c r="E2461" s="9" t="s">
        <v>5155</v>
      </c>
      <c r="F2461" s="9" t="s">
        <v>5156</v>
      </c>
      <c r="G2461" s="9" t="s">
        <v>142</v>
      </c>
      <c r="H2461" s="9" t="s">
        <v>241</v>
      </c>
      <c r="I2461" s="9" t="s">
        <v>411</v>
      </c>
      <c r="J2461" s="9" t="s">
        <v>5157</v>
      </c>
      <c r="K2461" s="10">
        <v>39875.704108796293</v>
      </c>
    </row>
    <row r="2462" spans="1:11" x14ac:dyDescent="0.25">
      <c r="A2462" s="8">
        <v>3648</v>
      </c>
      <c r="B2462" s="9" t="s">
        <v>6814</v>
      </c>
      <c r="C2462" s="9" t="s">
        <v>5158</v>
      </c>
      <c r="D2462" s="9" t="s">
        <v>139</v>
      </c>
      <c r="E2462" s="9" t="s">
        <v>2438</v>
      </c>
      <c r="F2462" s="9" t="s">
        <v>5159</v>
      </c>
      <c r="G2462" s="9" t="s">
        <v>142</v>
      </c>
      <c r="H2462" s="9" t="s">
        <v>139</v>
      </c>
      <c r="I2462" s="9" t="s">
        <v>411</v>
      </c>
      <c r="J2462" s="9" t="s">
        <v>5160</v>
      </c>
      <c r="K2462" s="10">
        <v>39889.560266203705</v>
      </c>
    </row>
    <row r="2463" spans="1:11" x14ac:dyDescent="0.25">
      <c r="A2463" s="8">
        <v>3649</v>
      </c>
      <c r="B2463" s="9" t="s">
        <v>6815</v>
      </c>
      <c r="C2463" s="9" t="s">
        <v>5161</v>
      </c>
      <c r="D2463" s="9" t="s">
        <v>139</v>
      </c>
      <c r="E2463" s="9" t="s">
        <v>5162</v>
      </c>
      <c r="F2463" s="9" t="s">
        <v>5163</v>
      </c>
      <c r="G2463" s="9" t="s">
        <v>142</v>
      </c>
      <c r="H2463" s="9" t="s">
        <v>139</v>
      </c>
      <c r="I2463" s="9" t="s">
        <v>411</v>
      </c>
      <c r="J2463" s="9" t="s">
        <v>5164</v>
      </c>
      <c r="K2463" s="10">
        <v>39896.505069444444</v>
      </c>
    </row>
    <row r="2464" spans="1:11" x14ac:dyDescent="0.25">
      <c r="A2464" s="8">
        <v>3650</v>
      </c>
      <c r="B2464" s="9" t="s">
        <v>6816</v>
      </c>
      <c r="C2464" s="9" t="s">
        <v>5165</v>
      </c>
      <c r="D2464" s="9" t="s">
        <v>139</v>
      </c>
      <c r="E2464" s="9" t="s">
        <v>876</v>
      </c>
      <c r="F2464" s="9" t="s">
        <v>1823</v>
      </c>
      <c r="G2464" s="9" t="s">
        <v>142</v>
      </c>
      <c r="H2464" s="9" t="s">
        <v>139</v>
      </c>
      <c r="I2464" s="9" t="s">
        <v>411</v>
      </c>
      <c r="J2464" s="9" t="s">
        <v>5166</v>
      </c>
      <c r="K2464" s="10">
        <v>39923.374444444446</v>
      </c>
    </row>
    <row r="2465" spans="1:11" x14ac:dyDescent="0.25">
      <c r="A2465" s="8">
        <v>3651</v>
      </c>
      <c r="B2465" s="9" t="s">
        <v>6817</v>
      </c>
      <c r="C2465" s="9" t="s">
        <v>5167</v>
      </c>
      <c r="D2465" s="9" t="s">
        <v>139</v>
      </c>
      <c r="E2465" s="9" t="s">
        <v>2939</v>
      </c>
      <c r="F2465" s="9" t="s">
        <v>5168</v>
      </c>
      <c r="G2465" s="9" t="s">
        <v>142</v>
      </c>
      <c r="H2465" s="9" t="s">
        <v>139</v>
      </c>
      <c r="I2465" s="9" t="s">
        <v>411</v>
      </c>
      <c r="J2465" s="9" t="s">
        <v>5169</v>
      </c>
      <c r="K2465" s="10">
        <v>39925.751504629632</v>
      </c>
    </row>
    <row r="2466" spans="1:11" x14ac:dyDescent="0.25">
      <c r="A2466" s="8">
        <v>3652</v>
      </c>
      <c r="B2466" s="9" t="s">
        <v>9285</v>
      </c>
      <c r="C2466" s="9" t="s">
        <v>5170</v>
      </c>
      <c r="D2466" s="9" t="s">
        <v>139</v>
      </c>
      <c r="E2466" s="9" t="s">
        <v>5171</v>
      </c>
      <c r="F2466" s="9" t="s">
        <v>1415</v>
      </c>
      <c r="G2466" s="9" t="s">
        <v>142</v>
      </c>
      <c r="H2466" s="9" t="s">
        <v>166</v>
      </c>
      <c r="I2466" s="9" t="s">
        <v>143</v>
      </c>
      <c r="J2466" s="9" t="s">
        <v>139</v>
      </c>
      <c r="K2466" s="10">
        <v>39959.530868055554</v>
      </c>
    </row>
    <row r="2467" spans="1:11" x14ac:dyDescent="0.25">
      <c r="A2467" s="8">
        <v>3653</v>
      </c>
      <c r="B2467" s="9" t="s">
        <v>9286</v>
      </c>
      <c r="C2467" s="9" t="s">
        <v>5172</v>
      </c>
      <c r="D2467" s="9" t="s">
        <v>139</v>
      </c>
      <c r="E2467" s="9" t="s">
        <v>263</v>
      </c>
      <c r="F2467" s="9" t="s">
        <v>141</v>
      </c>
      <c r="G2467" s="9" t="s">
        <v>142</v>
      </c>
      <c r="H2467" s="9" t="s">
        <v>139</v>
      </c>
      <c r="I2467" s="9" t="s">
        <v>143</v>
      </c>
      <c r="J2467" s="9" t="s">
        <v>139</v>
      </c>
      <c r="K2467" s="10">
        <v>39972.727361111109</v>
      </c>
    </row>
    <row r="2468" spans="1:11" x14ac:dyDescent="0.25">
      <c r="A2468" s="8">
        <v>3654</v>
      </c>
      <c r="B2468" s="9" t="s">
        <v>9287</v>
      </c>
      <c r="C2468" s="9" t="s">
        <v>5173</v>
      </c>
      <c r="D2468" s="9" t="s">
        <v>139</v>
      </c>
      <c r="E2468" s="9" t="s">
        <v>263</v>
      </c>
      <c r="F2468" s="9" t="s">
        <v>141</v>
      </c>
      <c r="G2468" s="9" t="s">
        <v>142</v>
      </c>
      <c r="H2468" s="9" t="s">
        <v>139</v>
      </c>
      <c r="I2468" s="9" t="s">
        <v>143</v>
      </c>
      <c r="J2468" s="9" t="s">
        <v>139</v>
      </c>
      <c r="K2468" s="10">
        <v>39972.730000000003</v>
      </c>
    </row>
    <row r="2469" spans="1:11" x14ac:dyDescent="0.25">
      <c r="A2469" s="8">
        <v>3655</v>
      </c>
      <c r="B2469" s="9" t="s">
        <v>6818</v>
      </c>
      <c r="C2469" s="9" t="s">
        <v>5174</v>
      </c>
      <c r="D2469" s="9" t="s">
        <v>139</v>
      </c>
      <c r="E2469" s="9" t="s">
        <v>147</v>
      </c>
      <c r="F2469" s="9" t="s">
        <v>141</v>
      </c>
      <c r="G2469" s="9" t="s">
        <v>142</v>
      </c>
      <c r="H2469" s="9" t="s">
        <v>139</v>
      </c>
      <c r="I2469" s="9" t="s">
        <v>411</v>
      </c>
      <c r="J2469" s="9" t="s">
        <v>5175</v>
      </c>
      <c r="K2469" s="10">
        <v>39972.741770833331</v>
      </c>
    </row>
    <row r="2470" spans="1:11" x14ac:dyDescent="0.25">
      <c r="A2470" s="8">
        <v>3656</v>
      </c>
      <c r="B2470" s="9" t="s">
        <v>6819</v>
      </c>
      <c r="C2470" s="9" t="s">
        <v>5176</v>
      </c>
      <c r="D2470" s="9" t="s">
        <v>139</v>
      </c>
      <c r="E2470" s="9" t="s">
        <v>5177</v>
      </c>
      <c r="F2470" s="9" t="s">
        <v>5178</v>
      </c>
      <c r="G2470" s="9" t="s">
        <v>142</v>
      </c>
      <c r="H2470" s="9" t="s">
        <v>166</v>
      </c>
      <c r="I2470" s="9" t="s">
        <v>411</v>
      </c>
      <c r="J2470" s="9" t="s">
        <v>5179</v>
      </c>
      <c r="K2470" s="10">
        <v>39976.488993055558</v>
      </c>
    </row>
    <row r="2471" spans="1:11" x14ac:dyDescent="0.25">
      <c r="A2471" s="8">
        <v>3657</v>
      </c>
      <c r="B2471" s="9" t="s">
        <v>6820</v>
      </c>
      <c r="C2471" s="9" t="s">
        <v>5180</v>
      </c>
      <c r="D2471" s="9" t="s">
        <v>139</v>
      </c>
      <c r="E2471" s="9" t="s">
        <v>4646</v>
      </c>
      <c r="F2471" s="9" t="s">
        <v>4647</v>
      </c>
      <c r="G2471" s="9" t="s">
        <v>142</v>
      </c>
      <c r="H2471" s="9" t="s">
        <v>166</v>
      </c>
      <c r="I2471" s="9" t="s">
        <v>411</v>
      </c>
      <c r="J2471" s="9" t="s">
        <v>5181</v>
      </c>
      <c r="K2471" s="10">
        <v>39980.598020833335</v>
      </c>
    </row>
    <row r="2472" spans="1:11" x14ac:dyDescent="0.25">
      <c r="A2472" s="8">
        <v>3658</v>
      </c>
      <c r="B2472" s="9" t="s">
        <v>9288</v>
      </c>
      <c r="C2472" s="9" t="s">
        <v>5182</v>
      </c>
      <c r="D2472" s="9" t="s">
        <v>139</v>
      </c>
      <c r="E2472" s="9" t="s">
        <v>328</v>
      </c>
      <c r="F2472" s="9" t="s">
        <v>141</v>
      </c>
      <c r="G2472" s="9" t="s">
        <v>142</v>
      </c>
      <c r="H2472" s="9" t="s">
        <v>166</v>
      </c>
      <c r="I2472" s="9" t="s">
        <v>143</v>
      </c>
      <c r="J2472" s="9" t="s">
        <v>139</v>
      </c>
      <c r="K2472" s="10">
        <v>40002.739224537036</v>
      </c>
    </row>
    <row r="2473" spans="1:11" x14ac:dyDescent="0.25">
      <c r="A2473" s="8">
        <v>3659</v>
      </c>
      <c r="B2473" s="9" t="s">
        <v>6821</v>
      </c>
      <c r="C2473" s="9" t="s">
        <v>5183</v>
      </c>
      <c r="D2473" s="9" t="s">
        <v>139</v>
      </c>
      <c r="E2473" s="9" t="s">
        <v>5184</v>
      </c>
      <c r="F2473" s="9" t="s">
        <v>341</v>
      </c>
      <c r="G2473" s="9" t="s">
        <v>3567</v>
      </c>
      <c r="H2473" s="9" t="s">
        <v>139</v>
      </c>
      <c r="I2473" s="9" t="s">
        <v>411</v>
      </c>
      <c r="J2473" s="9" t="s">
        <v>139</v>
      </c>
      <c r="K2473" s="10">
        <v>40065.723067129627</v>
      </c>
    </row>
    <row r="2474" spans="1:11" x14ac:dyDescent="0.25">
      <c r="A2474" s="8">
        <v>3660</v>
      </c>
      <c r="B2474" s="9" t="s">
        <v>6822</v>
      </c>
      <c r="C2474" s="9" t="s">
        <v>5185</v>
      </c>
      <c r="D2474" s="9" t="s">
        <v>139</v>
      </c>
      <c r="E2474" s="9" t="s">
        <v>2678</v>
      </c>
      <c r="F2474" s="9" t="s">
        <v>5186</v>
      </c>
      <c r="G2474" s="9" t="s">
        <v>142</v>
      </c>
      <c r="H2474" s="9" t="s">
        <v>139</v>
      </c>
      <c r="I2474" s="9" t="s">
        <v>411</v>
      </c>
      <c r="J2474" s="9" t="s">
        <v>139</v>
      </c>
      <c r="K2474" s="10">
        <v>40065.74019675926</v>
      </c>
    </row>
    <row r="2475" spans="1:11" x14ac:dyDescent="0.25">
      <c r="A2475" s="8">
        <v>3661</v>
      </c>
      <c r="B2475" s="9" t="s">
        <v>6823</v>
      </c>
      <c r="C2475" s="9" t="s">
        <v>5187</v>
      </c>
      <c r="D2475" s="9" t="s">
        <v>139</v>
      </c>
      <c r="E2475" s="9" t="s">
        <v>139</v>
      </c>
      <c r="F2475" s="9" t="s">
        <v>1144</v>
      </c>
      <c r="G2475" s="9" t="s">
        <v>424</v>
      </c>
      <c r="H2475" s="9" t="s">
        <v>241</v>
      </c>
      <c r="I2475" s="9" t="s">
        <v>411</v>
      </c>
      <c r="J2475" s="9" t="s">
        <v>5188</v>
      </c>
      <c r="K2475" s="10">
        <v>40065.752500000002</v>
      </c>
    </row>
    <row r="2476" spans="1:11" x14ac:dyDescent="0.25">
      <c r="A2476" s="8">
        <v>3662</v>
      </c>
      <c r="B2476" s="9" t="s">
        <v>6824</v>
      </c>
      <c r="C2476" s="9" t="s">
        <v>5189</v>
      </c>
      <c r="D2476" s="9" t="s">
        <v>139</v>
      </c>
      <c r="E2476" s="9" t="s">
        <v>308</v>
      </c>
      <c r="F2476" s="9" t="s">
        <v>141</v>
      </c>
      <c r="G2476" s="9" t="s">
        <v>142</v>
      </c>
      <c r="H2476" s="9" t="s">
        <v>139</v>
      </c>
      <c r="I2476" s="9" t="s">
        <v>411</v>
      </c>
      <c r="J2476" s="9" t="s">
        <v>5190</v>
      </c>
      <c r="K2476" s="10">
        <v>40072.549837962964</v>
      </c>
    </row>
    <row r="2477" spans="1:11" x14ac:dyDescent="0.25">
      <c r="A2477" s="8">
        <v>3663</v>
      </c>
      <c r="B2477" s="9" t="s">
        <v>6825</v>
      </c>
      <c r="C2477" s="9" t="s">
        <v>5191</v>
      </c>
      <c r="D2477" s="9" t="s">
        <v>139</v>
      </c>
      <c r="E2477" s="9" t="s">
        <v>1328</v>
      </c>
      <c r="F2477" s="9" t="s">
        <v>1329</v>
      </c>
      <c r="G2477" s="9" t="s">
        <v>142</v>
      </c>
      <c r="H2477" s="9" t="s">
        <v>166</v>
      </c>
      <c r="I2477" s="9" t="s">
        <v>411</v>
      </c>
      <c r="J2477" s="9" t="s">
        <v>139</v>
      </c>
      <c r="K2477" s="10">
        <v>40072.557650462964</v>
      </c>
    </row>
    <row r="2478" spans="1:11" x14ac:dyDescent="0.25">
      <c r="A2478" s="8">
        <v>3664</v>
      </c>
      <c r="B2478" s="9" t="s">
        <v>6826</v>
      </c>
      <c r="C2478" s="9" t="s">
        <v>5192</v>
      </c>
      <c r="D2478" s="9" t="s">
        <v>139</v>
      </c>
      <c r="E2478" s="9" t="s">
        <v>3052</v>
      </c>
      <c r="F2478" s="9" t="s">
        <v>3053</v>
      </c>
      <c r="G2478" s="9" t="s">
        <v>142</v>
      </c>
      <c r="H2478" s="9" t="s">
        <v>139</v>
      </c>
      <c r="I2478" s="9" t="s">
        <v>411</v>
      </c>
      <c r="J2478" s="9" t="s">
        <v>5193</v>
      </c>
      <c r="K2478" s="10">
        <v>40100.633923611109</v>
      </c>
    </row>
    <row r="2479" spans="1:11" x14ac:dyDescent="0.25">
      <c r="A2479" s="8">
        <v>3665</v>
      </c>
      <c r="B2479" s="9" t="s">
        <v>6827</v>
      </c>
      <c r="C2479" s="9" t="s">
        <v>5194</v>
      </c>
      <c r="D2479" s="9" t="s">
        <v>139</v>
      </c>
      <c r="E2479" s="9" t="s">
        <v>3043</v>
      </c>
      <c r="F2479" s="9" t="s">
        <v>5195</v>
      </c>
      <c r="G2479" s="9" t="s">
        <v>882</v>
      </c>
      <c r="H2479" s="9" t="s">
        <v>321</v>
      </c>
      <c r="I2479" s="9" t="s">
        <v>411</v>
      </c>
      <c r="J2479" s="9" t="s">
        <v>5196</v>
      </c>
      <c r="K2479" s="10">
        <v>40100.638067129628</v>
      </c>
    </row>
    <row r="2480" spans="1:11" x14ac:dyDescent="0.25">
      <c r="A2480" s="8">
        <v>3666</v>
      </c>
      <c r="B2480" s="9" t="s">
        <v>9289</v>
      </c>
      <c r="C2480" s="9" t="s">
        <v>5197</v>
      </c>
      <c r="D2480" s="9" t="s">
        <v>139</v>
      </c>
      <c r="E2480" s="9" t="s">
        <v>5198</v>
      </c>
      <c r="F2480" s="9" t="s">
        <v>5199</v>
      </c>
      <c r="G2480" s="9" t="s">
        <v>142</v>
      </c>
      <c r="H2480" s="9" t="s">
        <v>241</v>
      </c>
      <c r="I2480" s="9" t="s">
        <v>143</v>
      </c>
      <c r="J2480" s="9" t="s">
        <v>139</v>
      </c>
      <c r="K2480" s="10">
        <v>40106.599988425929</v>
      </c>
    </row>
    <row r="2481" spans="1:11" x14ac:dyDescent="0.25">
      <c r="A2481" s="8">
        <v>3667</v>
      </c>
      <c r="B2481" s="9" t="s">
        <v>6828</v>
      </c>
      <c r="C2481" s="9" t="s">
        <v>5200</v>
      </c>
      <c r="D2481" s="9" t="s">
        <v>139</v>
      </c>
      <c r="E2481" s="9" t="s">
        <v>163</v>
      </c>
      <c r="F2481" s="9" t="s">
        <v>413</v>
      </c>
      <c r="G2481" s="9" t="s">
        <v>142</v>
      </c>
      <c r="H2481" s="9" t="s">
        <v>139</v>
      </c>
      <c r="I2481" s="9" t="s">
        <v>411</v>
      </c>
      <c r="J2481" s="9" t="s">
        <v>5201</v>
      </c>
      <c r="K2481" s="10">
        <v>40110.455509259256</v>
      </c>
    </row>
    <row r="2482" spans="1:11" x14ac:dyDescent="0.25">
      <c r="A2482" s="8">
        <v>3668</v>
      </c>
      <c r="B2482" s="9" t="s">
        <v>6829</v>
      </c>
      <c r="C2482" s="9" t="s">
        <v>5202</v>
      </c>
      <c r="D2482" s="9" t="s">
        <v>139</v>
      </c>
      <c r="E2482" s="9" t="s">
        <v>286</v>
      </c>
      <c r="F2482" s="9" t="s">
        <v>413</v>
      </c>
      <c r="G2482" s="9" t="s">
        <v>142</v>
      </c>
      <c r="H2482" s="9" t="s">
        <v>139</v>
      </c>
      <c r="I2482" s="9" t="s">
        <v>411</v>
      </c>
      <c r="J2482" s="9" t="s">
        <v>5203</v>
      </c>
      <c r="K2482" s="10">
        <v>40110.463171296295</v>
      </c>
    </row>
    <row r="2483" spans="1:11" x14ac:dyDescent="0.25">
      <c r="A2483" s="8">
        <v>3669</v>
      </c>
      <c r="B2483" s="9" t="s">
        <v>6830</v>
      </c>
      <c r="C2483" s="9" t="s">
        <v>5204</v>
      </c>
      <c r="D2483" s="9" t="s">
        <v>139</v>
      </c>
      <c r="E2483" s="9" t="s">
        <v>808</v>
      </c>
      <c r="F2483" s="9" t="s">
        <v>809</v>
      </c>
      <c r="G2483" s="9" t="s">
        <v>142</v>
      </c>
      <c r="H2483" s="9" t="s">
        <v>139</v>
      </c>
      <c r="I2483" s="9" t="s">
        <v>411</v>
      </c>
      <c r="J2483" s="9" t="s">
        <v>139</v>
      </c>
      <c r="K2483" s="10">
        <v>40110.507847222223</v>
      </c>
    </row>
    <row r="2484" spans="1:11" x14ac:dyDescent="0.25">
      <c r="A2484" s="8">
        <v>3671</v>
      </c>
      <c r="B2484" s="9" t="s">
        <v>6831</v>
      </c>
      <c r="C2484" s="9" t="s">
        <v>5205</v>
      </c>
      <c r="D2484" s="9" t="s">
        <v>139</v>
      </c>
      <c r="E2484" s="9" t="s">
        <v>3891</v>
      </c>
      <c r="F2484" s="9" t="s">
        <v>3892</v>
      </c>
      <c r="G2484" s="9" t="s">
        <v>142</v>
      </c>
      <c r="H2484" s="9" t="s">
        <v>258</v>
      </c>
      <c r="I2484" s="9" t="s">
        <v>411</v>
      </c>
      <c r="J2484" s="9" t="s">
        <v>5206</v>
      </c>
      <c r="K2484" s="10">
        <v>40137.708460648151</v>
      </c>
    </row>
    <row r="2485" spans="1:11" x14ac:dyDescent="0.25">
      <c r="A2485" s="8">
        <v>3672</v>
      </c>
      <c r="B2485" s="9" t="s">
        <v>9290</v>
      </c>
      <c r="C2485" s="9" t="s">
        <v>5207</v>
      </c>
      <c r="D2485" s="9" t="s">
        <v>139</v>
      </c>
      <c r="E2485" s="9" t="s">
        <v>5208</v>
      </c>
      <c r="F2485" s="9" t="s">
        <v>5209</v>
      </c>
      <c r="G2485" s="9" t="s">
        <v>142</v>
      </c>
      <c r="H2485" s="9" t="s">
        <v>258</v>
      </c>
      <c r="I2485" s="9" t="s">
        <v>143</v>
      </c>
      <c r="J2485" s="9" t="s">
        <v>139</v>
      </c>
      <c r="K2485" s="10">
        <v>40140.784722222219</v>
      </c>
    </row>
    <row r="2486" spans="1:11" x14ac:dyDescent="0.25">
      <c r="A2486" s="8">
        <v>3673</v>
      </c>
      <c r="B2486" s="9" t="s">
        <v>9291</v>
      </c>
      <c r="C2486" s="9" t="s">
        <v>5210</v>
      </c>
      <c r="D2486" s="9" t="s">
        <v>139</v>
      </c>
      <c r="E2486" s="9" t="s">
        <v>328</v>
      </c>
      <c r="F2486" s="9" t="s">
        <v>141</v>
      </c>
      <c r="G2486" s="9" t="s">
        <v>142</v>
      </c>
      <c r="H2486" s="9" t="s">
        <v>166</v>
      </c>
      <c r="I2486" s="9" t="s">
        <v>143</v>
      </c>
      <c r="J2486" s="9" t="s">
        <v>139</v>
      </c>
      <c r="K2486" s="10">
        <v>40140.786296296297</v>
      </c>
    </row>
    <row r="2487" spans="1:11" x14ac:dyDescent="0.25">
      <c r="A2487" s="8">
        <v>3674</v>
      </c>
      <c r="B2487" s="9" t="s">
        <v>9292</v>
      </c>
      <c r="C2487" s="9" t="s">
        <v>5211</v>
      </c>
      <c r="D2487" s="9" t="s">
        <v>139</v>
      </c>
      <c r="E2487" s="9" t="s">
        <v>5212</v>
      </c>
      <c r="F2487" s="9" t="s">
        <v>5213</v>
      </c>
      <c r="G2487" s="9" t="s">
        <v>142</v>
      </c>
      <c r="H2487" s="9" t="s">
        <v>166</v>
      </c>
      <c r="I2487" s="9" t="s">
        <v>143</v>
      </c>
      <c r="J2487" s="9" t="s">
        <v>139</v>
      </c>
      <c r="K2487" s="10">
        <v>40150.4450462963</v>
      </c>
    </row>
    <row r="2488" spans="1:11" x14ac:dyDescent="0.25">
      <c r="A2488" s="8">
        <v>3675</v>
      </c>
      <c r="B2488" s="9" t="s">
        <v>9293</v>
      </c>
      <c r="C2488" s="9" t="s">
        <v>5214</v>
      </c>
      <c r="D2488" s="9" t="s">
        <v>139</v>
      </c>
      <c r="E2488" s="9" t="s">
        <v>229</v>
      </c>
      <c r="F2488" s="9" t="s">
        <v>413</v>
      </c>
      <c r="G2488" s="9" t="s">
        <v>142</v>
      </c>
      <c r="H2488" s="9" t="s">
        <v>258</v>
      </c>
      <c r="I2488" s="9" t="s">
        <v>143</v>
      </c>
      <c r="J2488" s="9" t="s">
        <v>139</v>
      </c>
      <c r="K2488" s="10">
        <v>40153.685717592591</v>
      </c>
    </row>
    <row r="2489" spans="1:11" x14ac:dyDescent="0.25">
      <c r="A2489" s="8">
        <v>3677</v>
      </c>
      <c r="B2489" s="9" t="s">
        <v>6832</v>
      </c>
      <c r="C2489" s="9" t="s">
        <v>5215</v>
      </c>
      <c r="D2489" s="9" t="s">
        <v>139</v>
      </c>
      <c r="E2489" s="9" t="s">
        <v>948</v>
      </c>
      <c r="F2489" s="9" t="s">
        <v>949</v>
      </c>
      <c r="G2489" s="9" t="s">
        <v>142</v>
      </c>
      <c r="H2489" s="9" t="s">
        <v>139</v>
      </c>
      <c r="I2489" s="9" t="s">
        <v>411</v>
      </c>
      <c r="J2489" s="9" t="s">
        <v>139</v>
      </c>
      <c r="K2489" s="10">
        <v>40155.062916666669</v>
      </c>
    </row>
    <row r="2490" spans="1:11" x14ac:dyDescent="0.25">
      <c r="A2490" s="8">
        <v>3678</v>
      </c>
      <c r="B2490" s="9" t="s">
        <v>9294</v>
      </c>
      <c r="C2490" s="9" t="s">
        <v>5216</v>
      </c>
      <c r="D2490" s="9" t="s">
        <v>139</v>
      </c>
      <c r="E2490" s="9" t="s">
        <v>286</v>
      </c>
      <c r="F2490" s="9" t="s">
        <v>709</v>
      </c>
      <c r="G2490" s="9" t="s">
        <v>142</v>
      </c>
      <c r="H2490" s="9" t="s">
        <v>139</v>
      </c>
      <c r="I2490" s="9" t="s">
        <v>143</v>
      </c>
      <c r="J2490" s="9" t="s">
        <v>139</v>
      </c>
      <c r="K2490" s="10">
        <v>40160.713425925926</v>
      </c>
    </row>
    <row r="2491" spans="1:11" x14ac:dyDescent="0.25">
      <c r="A2491" s="8">
        <v>3679</v>
      </c>
      <c r="B2491" s="9" t="s">
        <v>6833</v>
      </c>
      <c r="C2491" s="9" t="s">
        <v>5217</v>
      </c>
      <c r="D2491" s="9" t="s">
        <v>139</v>
      </c>
      <c r="E2491" s="9" t="s">
        <v>756</v>
      </c>
      <c r="F2491" s="9" t="s">
        <v>4414</v>
      </c>
      <c r="G2491" s="9" t="s">
        <v>142</v>
      </c>
      <c r="H2491" s="9" t="s">
        <v>139</v>
      </c>
      <c r="I2491" s="9" t="s">
        <v>411</v>
      </c>
      <c r="J2491" s="9" t="s">
        <v>139</v>
      </c>
      <c r="K2491" s="10">
        <v>40169.719467592593</v>
      </c>
    </row>
    <row r="2492" spans="1:11" x14ac:dyDescent="0.25">
      <c r="A2492" s="8">
        <v>3680</v>
      </c>
      <c r="B2492" s="9" t="s">
        <v>6834</v>
      </c>
      <c r="C2492" s="9" t="s">
        <v>5218</v>
      </c>
      <c r="D2492" s="9" t="s">
        <v>139</v>
      </c>
      <c r="E2492" s="9" t="s">
        <v>2952</v>
      </c>
      <c r="F2492" s="9" t="s">
        <v>5219</v>
      </c>
      <c r="G2492" s="9" t="s">
        <v>142</v>
      </c>
      <c r="H2492" s="9" t="s">
        <v>139</v>
      </c>
      <c r="I2492" s="9" t="s">
        <v>411</v>
      </c>
      <c r="J2492" s="9" t="s">
        <v>5220</v>
      </c>
      <c r="K2492" s="10">
        <v>40222.47446759259</v>
      </c>
    </row>
    <row r="2493" spans="1:11" x14ac:dyDescent="0.25">
      <c r="A2493" s="8">
        <v>3681</v>
      </c>
      <c r="B2493" s="9" t="s">
        <v>6835</v>
      </c>
      <c r="C2493" s="9" t="s">
        <v>5221</v>
      </c>
      <c r="D2493" s="9" t="s">
        <v>139</v>
      </c>
      <c r="E2493" s="9" t="s">
        <v>2678</v>
      </c>
      <c r="F2493" s="9" t="s">
        <v>2679</v>
      </c>
      <c r="G2493" s="9" t="s">
        <v>142</v>
      </c>
      <c r="H2493" s="9" t="s">
        <v>241</v>
      </c>
      <c r="I2493" s="9" t="s">
        <v>411</v>
      </c>
      <c r="J2493" s="9" t="s">
        <v>139</v>
      </c>
      <c r="K2493" s="10">
        <v>40253.630439814813</v>
      </c>
    </row>
    <row r="2494" spans="1:11" x14ac:dyDescent="0.25">
      <c r="A2494" s="8">
        <v>3682</v>
      </c>
      <c r="B2494" s="9" t="s">
        <v>6836</v>
      </c>
      <c r="C2494" s="9" t="s">
        <v>3027</v>
      </c>
      <c r="D2494" s="9" t="s">
        <v>139</v>
      </c>
      <c r="E2494" s="9" t="s">
        <v>5222</v>
      </c>
      <c r="F2494" s="9" t="s">
        <v>5223</v>
      </c>
      <c r="G2494" s="9" t="s">
        <v>142</v>
      </c>
      <c r="H2494" s="9" t="s">
        <v>166</v>
      </c>
      <c r="I2494" s="9" t="s">
        <v>411</v>
      </c>
      <c r="J2494" s="9" t="s">
        <v>139</v>
      </c>
      <c r="K2494" s="10">
        <v>40283.61378472222</v>
      </c>
    </row>
    <row r="2495" spans="1:11" x14ac:dyDescent="0.25">
      <c r="A2495" s="8">
        <v>3683</v>
      </c>
      <c r="B2495" s="9" t="s">
        <v>6837</v>
      </c>
      <c r="C2495" s="9" t="s">
        <v>5224</v>
      </c>
      <c r="D2495" s="9" t="s">
        <v>139</v>
      </c>
      <c r="E2495" s="9" t="s">
        <v>5225</v>
      </c>
      <c r="F2495" s="9" t="s">
        <v>471</v>
      </c>
      <c r="G2495" s="9" t="s">
        <v>142</v>
      </c>
      <c r="H2495" s="9" t="s">
        <v>166</v>
      </c>
      <c r="I2495" s="9" t="s">
        <v>411</v>
      </c>
      <c r="J2495" s="9" t="s">
        <v>139</v>
      </c>
      <c r="K2495" s="10">
        <v>40294.674108796295</v>
      </c>
    </row>
    <row r="2496" spans="1:11" x14ac:dyDescent="0.25">
      <c r="A2496" s="8">
        <v>3684</v>
      </c>
      <c r="B2496" s="9" t="s">
        <v>9295</v>
      </c>
      <c r="C2496" s="9" t="s">
        <v>5226</v>
      </c>
      <c r="D2496" s="9" t="s">
        <v>139</v>
      </c>
      <c r="E2496" s="9" t="s">
        <v>706</v>
      </c>
      <c r="F2496" s="9" t="s">
        <v>141</v>
      </c>
      <c r="G2496" s="9" t="s">
        <v>142</v>
      </c>
      <c r="H2496" s="9" t="s">
        <v>139</v>
      </c>
      <c r="I2496" s="9" t="s">
        <v>143</v>
      </c>
      <c r="J2496" s="9" t="s">
        <v>5227</v>
      </c>
      <c r="K2496" s="10">
        <v>40294.778981481482</v>
      </c>
    </row>
    <row r="2497" spans="1:11" x14ac:dyDescent="0.25">
      <c r="A2497" s="8">
        <v>3685</v>
      </c>
      <c r="B2497" s="9" t="s">
        <v>6838</v>
      </c>
      <c r="C2497" s="9" t="s">
        <v>5228</v>
      </c>
      <c r="D2497" s="9" t="s">
        <v>139</v>
      </c>
      <c r="E2497" s="9" t="s">
        <v>197</v>
      </c>
      <c r="F2497" s="9" t="s">
        <v>141</v>
      </c>
      <c r="G2497" s="9" t="s">
        <v>142</v>
      </c>
      <c r="H2497" s="9" t="s">
        <v>139</v>
      </c>
      <c r="I2497" s="9" t="s">
        <v>411</v>
      </c>
      <c r="J2497" s="9" t="s">
        <v>5229</v>
      </c>
      <c r="K2497" s="10">
        <v>40347.703275462962</v>
      </c>
    </row>
    <row r="2498" spans="1:11" x14ac:dyDescent="0.25">
      <c r="A2498" s="8">
        <v>3686</v>
      </c>
      <c r="B2498" s="9" t="s">
        <v>6839</v>
      </c>
      <c r="C2498" s="9" t="s">
        <v>5230</v>
      </c>
      <c r="D2498" s="9" t="s">
        <v>139</v>
      </c>
      <c r="E2498" s="9" t="s">
        <v>2764</v>
      </c>
      <c r="F2498" s="9" t="s">
        <v>3925</v>
      </c>
      <c r="G2498" s="9" t="s">
        <v>142</v>
      </c>
      <c r="H2498" s="9" t="s">
        <v>139</v>
      </c>
      <c r="I2498" s="9" t="s">
        <v>411</v>
      </c>
      <c r="J2498" s="9" t="s">
        <v>5231</v>
      </c>
      <c r="K2498" s="10">
        <v>40357.703067129631</v>
      </c>
    </row>
    <row r="2499" spans="1:11" x14ac:dyDescent="0.25">
      <c r="A2499" s="8">
        <v>3687</v>
      </c>
      <c r="B2499" s="9" t="s">
        <v>9296</v>
      </c>
      <c r="C2499" s="9" t="s">
        <v>5232</v>
      </c>
      <c r="D2499" s="9" t="s">
        <v>139</v>
      </c>
      <c r="E2499" s="9" t="s">
        <v>267</v>
      </c>
      <c r="F2499" s="9" t="s">
        <v>141</v>
      </c>
      <c r="G2499" s="9" t="s">
        <v>142</v>
      </c>
      <c r="H2499" s="9" t="s">
        <v>166</v>
      </c>
      <c r="I2499" s="9" t="s">
        <v>143</v>
      </c>
      <c r="J2499" s="9" t="s">
        <v>139</v>
      </c>
      <c r="K2499" s="10">
        <v>42156.935046296298</v>
      </c>
    </row>
    <row r="2500" spans="1:11" x14ac:dyDescent="0.25">
      <c r="A2500" s="8">
        <v>3688</v>
      </c>
      <c r="B2500" s="9" t="s">
        <v>9297</v>
      </c>
      <c r="C2500" s="9" t="s">
        <v>8409</v>
      </c>
      <c r="D2500" s="9" t="s">
        <v>139</v>
      </c>
      <c r="E2500" s="9" t="s">
        <v>267</v>
      </c>
      <c r="F2500" s="9" t="s">
        <v>141</v>
      </c>
      <c r="G2500" s="9" t="s">
        <v>142</v>
      </c>
      <c r="H2500" s="9" t="s">
        <v>241</v>
      </c>
      <c r="I2500" s="9" t="s">
        <v>143</v>
      </c>
      <c r="J2500" s="9" t="s">
        <v>139</v>
      </c>
      <c r="K2500" s="10">
        <v>42156.975671296299</v>
      </c>
    </row>
  </sheetData>
  <autoFilter ref="A1:K2500" xr:uid="{6657AFFD-CEE0-48EE-8017-3A7CF8751BFD}"/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FE22-1A47-43A8-906D-0335F9E56D46}">
  <sheetPr codeName="Feuil7"/>
  <dimension ref="A1:L570"/>
  <sheetViews>
    <sheetView workbookViewId="0">
      <selection activeCell="B9" sqref="B9"/>
    </sheetView>
  </sheetViews>
  <sheetFormatPr baseColWidth="10" defaultRowHeight="15" x14ac:dyDescent="0.25"/>
  <cols>
    <col min="1" max="1" width="16.7109375" bestFit="1" customWidth="1"/>
    <col min="2" max="2" width="9.85546875" bestFit="1" customWidth="1"/>
    <col min="3" max="3" width="33.7109375" customWidth="1"/>
    <col min="4" max="4" width="33.7109375" bestFit="1" customWidth="1"/>
    <col min="5" max="5" width="21.85546875" bestFit="1" customWidth="1"/>
    <col min="6" max="6" width="148.42578125" bestFit="1" customWidth="1"/>
    <col min="7" max="7" width="15.42578125" bestFit="1" customWidth="1"/>
    <col min="8" max="8" width="10.85546875" bestFit="1" customWidth="1"/>
    <col min="9" max="9" width="8" bestFit="1" customWidth="1"/>
    <col min="10" max="10" width="9.42578125" bestFit="1" customWidth="1"/>
    <col min="11" max="11" width="12.85546875" bestFit="1" customWidth="1"/>
    <col min="12" max="12" width="8.140625" bestFit="1" customWidth="1"/>
  </cols>
  <sheetData>
    <row r="1" spans="1:12" x14ac:dyDescent="0.25">
      <c r="A1" s="36" t="s">
        <v>7846</v>
      </c>
      <c r="B1" s="36" t="s">
        <v>7843</v>
      </c>
      <c r="C1" s="41" t="s">
        <v>9307</v>
      </c>
      <c r="D1" s="36" t="s">
        <v>7847</v>
      </c>
      <c r="E1" s="36" t="s">
        <v>7848</v>
      </c>
      <c r="F1" s="36" t="s">
        <v>7145</v>
      </c>
      <c r="G1" s="36" t="s">
        <v>7849</v>
      </c>
      <c r="H1" s="36" t="s">
        <v>7146</v>
      </c>
      <c r="I1" s="41" t="s">
        <v>9319</v>
      </c>
      <c r="J1" s="41" t="s">
        <v>9320</v>
      </c>
      <c r="K1" s="36" t="s">
        <v>7144</v>
      </c>
      <c r="L1" s="36" t="s">
        <v>6840</v>
      </c>
    </row>
    <row r="2" spans="1:12" x14ac:dyDescent="0.25">
      <c r="A2" s="37" t="s">
        <v>7147</v>
      </c>
      <c r="B2" s="38" t="s">
        <v>7844</v>
      </c>
      <c r="C2" s="38" t="s">
        <v>9309</v>
      </c>
      <c r="D2" s="38" t="s">
        <v>7850</v>
      </c>
      <c r="E2" s="38" t="s">
        <v>7851</v>
      </c>
      <c r="F2" s="37" t="s">
        <v>7148</v>
      </c>
      <c r="G2" s="37" t="s">
        <v>7852</v>
      </c>
      <c r="H2" s="39">
        <v>80.945700000000002</v>
      </c>
      <c r="I2" s="39">
        <v>249</v>
      </c>
      <c r="J2" s="39">
        <v>545</v>
      </c>
      <c r="K2" s="39">
        <v>64.516099999999994</v>
      </c>
      <c r="L2" s="38">
        <v>1</v>
      </c>
    </row>
    <row r="3" spans="1:12" x14ac:dyDescent="0.25">
      <c r="A3" s="37" t="s">
        <v>13</v>
      </c>
      <c r="B3" s="38" t="s">
        <v>7844</v>
      </c>
      <c r="C3" s="38" t="s">
        <v>9308</v>
      </c>
      <c r="D3" s="38" t="s">
        <v>7853</v>
      </c>
      <c r="E3" s="38" t="s">
        <v>7854</v>
      </c>
      <c r="F3" s="37" t="s">
        <v>6841</v>
      </c>
      <c r="G3" s="37" t="s">
        <v>7855</v>
      </c>
      <c r="H3" s="39">
        <v>5.4526000000000003</v>
      </c>
      <c r="I3" s="39">
        <v>22</v>
      </c>
      <c r="J3" s="39">
        <v>49</v>
      </c>
      <c r="K3" s="39">
        <v>4.3620999999999999</v>
      </c>
      <c r="L3" s="38">
        <v>10</v>
      </c>
    </row>
    <row r="4" spans="1:12" x14ac:dyDescent="0.25">
      <c r="A4" s="37" t="s">
        <v>7149</v>
      </c>
      <c r="B4" s="38" t="s">
        <v>7844</v>
      </c>
      <c r="C4" s="38" t="s">
        <v>9311</v>
      </c>
      <c r="D4" s="38" t="s">
        <v>7856</v>
      </c>
      <c r="E4" s="38" t="s">
        <v>7857</v>
      </c>
      <c r="F4" s="37" t="s">
        <v>7150</v>
      </c>
      <c r="G4" s="37" t="s">
        <v>7858</v>
      </c>
      <c r="H4" s="39">
        <v>60.9848</v>
      </c>
      <c r="I4" s="39">
        <v>235</v>
      </c>
      <c r="J4" s="39">
        <v>585</v>
      </c>
      <c r="K4" s="39">
        <v>53.030299999999997</v>
      </c>
      <c r="L4" s="38">
        <v>1</v>
      </c>
    </row>
    <row r="5" spans="1:12" x14ac:dyDescent="0.25">
      <c r="A5" s="37" t="s">
        <v>7151</v>
      </c>
      <c r="B5" s="38" t="s">
        <v>7844</v>
      </c>
      <c r="C5" s="38" t="s">
        <v>9311</v>
      </c>
      <c r="D5" s="38" t="s">
        <v>7859</v>
      </c>
      <c r="E5" s="38" t="s">
        <v>7857</v>
      </c>
      <c r="F5" s="37" t="s">
        <v>7152</v>
      </c>
      <c r="G5" s="37" t="s">
        <v>7860</v>
      </c>
      <c r="H5" s="39">
        <v>156.81819999999999</v>
      </c>
      <c r="I5" s="39">
        <v>470</v>
      </c>
      <c r="J5" s="39">
        <v>1175</v>
      </c>
      <c r="K5" s="39">
        <v>136.36359999999999</v>
      </c>
      <c r="L5" s="38">
        <v>1</v>
      </c>
    </row>
    <row r="6" spans="1:12" x14ac:dyDescent="0.25">
      <c r="A6" s="37" t="s">
        <v>7153</v>
      </c>
      <c r="B6" s="38" t="s">
        <v>7844</v>
      </c>
      <c r="C6" s="38" t="s">
        <v>9311</v>
      </c>
      <c r="D6" s="38" t="s">
        <v>7861</v>
      </c>
      <c r="E6" s="38" t="s">
        <v>7857</v>
      </c>
      <c r="F6" s="37" t="s">
        <v>7154</v>
      </c>
      <c r="G6" s="37" t="s">
        <v>7862</v>
      </c>
      <c r="H6" s="39">
        <v>121.9697</v>
      </c>
      <c r="I6" s="39">
        <v>390</v>
      </c>
      <c r="J6" s="39">
        <v>975</v>
      </c>
      <c r="K6" s="39">
        <v>106.06059999999999</v>
      </c>
      <c r="L6" s="38">
        <v>1</v>
      </c>
    </row>
    <row r="7" spans="1:12" x14ac:dyDescent="0.25">
      <c r="A7" s="37" t="s">
        <v>7155</v>
      </c>
      <c r="B7" s="38" t="s">
        <v>7844</v>
      </c>
      <c r="C7" s="38" t="s">
        <v>9311</v>
      </c>
      <c r="D7" s="38" t="s">
        <v>7861</v>
      </c>
      <c r="E7" s="38" t="s">
        <v>7857</v>
      </c>
      <c r="F7" s="37" t="s">
        <v>7156</v>
      </c>
      <c r="G7" s="37" t="s">
        <v>7863</v>
      </c>
      <c r="H7" s="39">
        <v>104.5455</v>
      </c>
      <c r="I7" s="39">
        <v>385</v>
      </c>
      <c r="J7" s="39">
        <v>960</v>
      </c>
      <c r="K7" s="39">
        <v>90.909099999999995</v>
      </c>
      <c r="L7" s="38">
        <v>1</v>
      </c>
    </row>
    <row r="8" spans="1:12" x14ac:dyDescent="0.25">
      <c r="A8" s="37" t="s">
        <v>7157</v>
      </c>
      <c r="B8" s="38" t="s">
        <v>7844</v>
      </c>
      <c r="C8" s="38" t="s">
        <v>9311</v>
      </c>
      <c r="D8" s="38" t="s">
        <v>7856</v>
      </c>
      <c r="E8" s="38" t="s">
        <v>7857</v>
      </c>
      <c r="F8" s="37" t="s">
        <v>7158</v>
      </c>
      <c r="G8" s="37" t="s">
        <v>7864</v>
      </c>
      <c r="H8" s="39">
        <v>60.9848</v>
      </c>
      <c r="I8" s="39">
        <v>225</v>
      </c>
      <c r="J8" s="39">
        <v>560</v>
      </c>
      <c r="K8" s="39">
        <v>53.030299999999997</v>
      </c>
      <c r="L8" s="38">
        <v>1</v>
      </c>
    </row>
    <row r="9" spans="1:12" x14ac:dyDescent="0.25">
      <c r="A9" s="37" t="s">
        <v>40</v>
      </c>
      <c r="B9" s="38" t="s">
        <v>7159</v>
      </c>
      <c r="C9" s="38" t="s">
        <v>7865</v>
      </c>
      <c r="D9" s="40" t="s">
        <v>9313</v>
      </c>
      <c r="E9" s="38" t="s">
        <v>7866</v>
      </c>
      <c r="F9" s="37" t="s">
        <v>6842</v>
      </c>
      <c r="G9" s="37" t="s">
        <v>7867</v>
      </c>
      <c r="H9" s="39">
        <v>2.12</v>
      </c>
      <c r="I9" s="39">
        <v>5.15</v>
      </c>
      <c r="J9" s="39">
        <v>14</v>
      </c>
      <c r="K9" s="39">
        <v>1.52</v>
      </c>
      <c r="L9" s="38">
        <v>8</v>
      </c>
    </row>
    <row r="10" spans="1:12" x14ac:dyDescent="0.25">
      <c r="A10" s="37" t="s">
        <v>39</v>
      </c>
      <c r="B10" s="38" t="s">
        <v>7159</v>
      </c>
      <c r="C10" s="38" t="s">
        <v>7865</v>
      </c>
      <c r="D10" s="40" t="s">
        <v>9313</v>
      </c>
      <c r="E10" s="38" t="s">
        <v>7866</v>
      </c>
      <c r="F10" s="37" t="s">
        <v>6843</v>
      </c>
      <c r="G10" s="37" t="s">
        <v>7867</v>
      </c>
      <c r="H10" s="39">
        <v>2.12</v>
      </c>
      <c r="I10" s="39">
        <v>5.15</v>
      </c>
      <c r="J10" s="39">
        <v>14</v>
      </c>
      <c r="K10" s="39">
        <v>1.52</v>
      </c>
      <c r="L10" s="38">
        <v>8</v>
      </c>
    </row>
    <row r="11" spans="1:12" x14ac:dyDescent="0.25">
      <c r="A11" s="37" t="s">
        <v>103</v>
      </c>
      <c r="B11" s="38" t="s">
        <v>7159</v>
      </c>
      <c r="C11" s="38" t="s">
        <v>7865</v>
      </c>
      <c r="D11" s="40" t="s">
        <v>9313</v>
      </c>
      <c r="E11" s="38" t="s">
        <v>7866</v>
      </c>
      <c r="F11" s="37" t="s">
        <v>6844</v>
      </c>
      <c r="G11" s="37" t="s">
        <v>7867</v>
      </c>
      <c r="H11" s="39">
        <v>2.12</v>
      </c>
      <c r="I11" s="39">
        <v>5.15</v>
      </c>
      <c r="J11" s="39">
        <v>14</v>
      </c>
      <c r="K11" s="39">
        <v>1.52</v>
      </c>
      <c r="L11" s="38">
        <v>1</v>
      </c>
    </row>
    <row r="12" spans="1:12" x14ac:dyDescent="0.25">
      <c r="A12" s="37" t="s">
        <v>104</v>
      </c>
      <c r="B12" s="38" t="s">
        <v>7159</v>
      </c>
      <c r="C12" s="38" t="s">
        <v>7865</v>
      </c>
      <c r="D12" s="40" t="s">
        <v>9313</v>
      </c>
      <c r="E12" s="38" t="s">
        <v>7866</v>
      </c>
      <c r="F12" s="37" t="s">
        <v>6845</v>
      </c>
      <c r="G12" s="37" t="s">
        <v>7867</v>
      </c>
      <c r="H12" s="39">
        <v>2.12</v>
      </c>
      <c r="I12" s="39">
        <v>5.15</v>
      </c>
      <c r="J12" s="39">
        <v>14</v>
      </c>
      <c r="K12" s="39">
        <v>1.52</v>
      </c>
      <c r="L12" s="38">
        <v>1</v>
      </c>
    </row>
    <row r="13" spans="1:12" x14ac:dyDescent="0.25">
      <c r="A13" s="37" t="s">
        <v>102</v>
      </c>
      <c r="B13" s="38" t="s">
        <v>7159</v>
      </c>
      <c r="C13" s="38" t="s">
        <v>7865</v>
      </c>
      <c r="D13" s="40" t="s">
        <v>9313</v>
      </c>
      <c r="E13" s="38" t="s">
        <v>7866</v>
      </c>
      <c r="F13" s="37" t="s">
        <v>6846</v>
      </c>
      <c r="G13" s="37" t="s">
        <v>7867</v>
      </c>
      <c r="H13" s="39">
        <v>2.12</v>
      </c>
      <c r="I13" s="39">
        <v>5.15</v>
      </c>
      <c r="J13" s="39">
        <v>14</v>
      </c>
      <c r="K13" s="39">
        <v>1.52</v>
      </c>
      <c r="L13" s="38">
        <v>1</v>
      </c>
    </row>
    <row r="14" spans="1:12" x14ac:dyDescent="0.25">
      <c r="A14" s="37" t="s">
        <v>15</v>
      </c>
      <c r="B14" s="38" t="s">
        <v>7159</v>
      </c>
      <c r="C14" s="38" t="s">
        <v>7865</v>
      </c>
      <c r="D14" s="40" t="s">
        <v>9314</v>
      </c>
      <c r="E14" s="38" t="s">
        <v>7866</v>
      </c>
      <c r="F14" s="37" t="s">
        <v>6847</v>
      </c>
      <c r="G14" s="37" t="s">
        <v>7868</v>
      </c>
      <c r="H14" s="39">
        <v>11.68</v>
      </c>
      <c r="I14" s="39">
        <v>30</v>
      </c>
      <c r="J14" s="39">
        <v>75</v>
      </c>
      <c r="K14" s="39">
        <v>8.4</v>
      </c>
      <c r="L14" s="38">
        <v>1</v>
      </c>
    </row>
    <row r="15" spans="1:12" x14ac:dyDescent="0.25">
      <c r="A15" s="37" t="s">
        <v>14</v>
      </c>
      <c r="B15" s="38" t="s">
        <v>7159</v>
      </c>
      <c r="C15" s="38" t="s">
        <v>7865</v>
      </c>
      <c r="D15" s="40" t="s">
        <v>9314</v>
      </c>
      <c r="E15" s="38" t="s">
        <v>7866</v>
      </c>
      <c r="F15" s="37" t="s">
        <v>6848</v>
      </c>
      <c r="G15" s="37" t="s">
        <v>7868</v>
      </c>
      <c r="H15" s="39">
        <v>11.68</v>
      </c>
      <c r="I15" s="39">
        <v>30</v>
      </c>
      <c r="J15" s="39">
        <v>75</v>
      </c>
      <c r="K15" s="39">
        <v>8.4</v>
      </c>
      <c r="L15" s="38">
        <v>1</v>
      </c>
    </row>
    <row r="16" spans="1:12" x14ac:dyDescent="0.25">
      <c r="A16" s="37" t="s">
        <v>116</v>
      </c>
      <c r="B16" s="38" t="s">
        <v>7159</v>
      </c>
      <c r="C16" s="38" t="s">
        <v>7865</v>
      </c>
      <c r="D16" s="40" t="s">
        <v>9314</v>
      </c>
      <c r="E16" s="38" t="s">
        <v>7866</v>
      </c>
      <c r="F16" s="37" t="s">
        <v>6849</v>
      </c>
      <c r="G16" s="37" t="s">
        <v>7868</v>
      </c>
      <c r="H16" s="39">
        <v>11.68</v>
      </c>
      <c r="I16" s="39">
        <v>30</v>
      </c>
      <c r="J16" s="39">
        <v>75</v>
      </c>
      <c r="K16" s="39">
        <v>8.4</v>
      </c>
      <c r="L16" s="38">
        <v>1</v>
      </c>
    </row>
    <row r="17" spans="1:12" x14ac:dyDescent="0.25">
      <c r="A17" s="37" t="s">
        <v>117</v>
      </c>
      <c r="B17" s="38" t="s">
        <v>7159</v>
      </c>
      <c r="C17" s="38" t="s">
        <v>7865</v>
      </c>
      <c r="D17" s="40" t="s">
        <v>9314</v>
      </c>
      <c r="E17" s="38" t="s">
        <v>7866</v>
      </c>
      <c r="F17" s="37" t="s">
        <v>6850</v>
      </c>
      <c r="G17" s="37" t="s">
        <v>7868</v>
      </c>
      <c r="H17" s="39">
        <v>11.68</v>
      </c>
      <c r="I17" s="39">
        <v>30</v>
      </c>
      <c r="J17" s="39">
        <v>75</v>
      </c>
      <c r="K17" s="39">
        <v>8.4</v>
      </c>
      <c r="L17" s="38">
        <v>1</v>
      </c>
    </row>
    <row r="18" spans="1:12" x14ac:dyDescent="0.25">
      <c r="A18" s="37" t="s">
        <v>38</v>
      </c>
      <c r="B18" s="38" t="s">
        <v>7159</v>
      </c>
      <c r="C18" s="38" t="s">
        <v>9308</v>
      </c>
      <c r="D18" s="38" t="s">
        <v>7869</v>
      </c>
      <c r="E18" s="38" t="s">
        <v>7866</v>
      </c>
      <c r="F18" s="37" t="s">
        <v>7160</v>
      </c>
      <c r="G18" s="37" t="s">
        <v>7870</v>
      </c>
      <c r="H18" s="39">
        <v>6.3</v>
      </c>
      <c r="I18" s="39">
        <v>18</v>
      </c>
      <c r="J18" s="39">
        <v>40</v>
      </c>
      <c r="K18" s="39">
        <v>4.95</v>
      </c>
      <c r="L18" s="38">
        <v>1</v>
      </c>
    </row>
    <row r="19" spans="1:12" x14ac:dyDescent="0.25">
      <c r="A19" s="37" t="s">
        <v>69</v>
      </c>
      <c r="B19" s="38" t="s">
        <v>7159</v>
      </c>
      <c r="C19" s="38" t="s">
        <v>9308</v>
      </c>
      <c r="D19" s="38" t="s">
        <v>7869</v>
      </c>
      <c r="E19" s="38" t="s">
        <v>7866</v>
      </c>
      <c r="F19" s="37" t="s">
        <v>7161</v>
      </c>
      <c r="G19" s="37" t="s">
        <v>7870</v>
      </c>
      <c r="H19" s="39">
        <v>4.8464</v>
      </c>
      <c r="I19" s="39">
        <v>13</v>
      </c>
      <c r="J19" s="39">
        <v>30</v>
      </c>
      <c r="K19" s="39">
        <v>3.7288999999999999</v>
      </c>
      <c r="L19" s="38">
        <v>1</v>
      </c>
    </row>
    <row r="20" spans="1:12" x14ac:dyDescent="0.25">
      <c r="A20" s="37" t="s">
        <v>37</v>
      </c>
      <c r="B20" s="38" t="s">
        <v>7159</v>
      </c>
      <c r="C20" s="38" t="s">
        <v>9308</v>
      </c>
      <c r="D20" s="38" t="s">
        <v>7869</v>
      </c>
      <c r="E20" s="38" t="s">
        <v>7866</v>
      </c>
      <c r="F20" s="37" t="s">
        <v>7162</v>
      </c>
      <c r="G20" s="37" t="s">
        <v>7870</v>
      </c>
      <c r="H20" s="39">
        <v>6.3</v>
      </c>
      <c r="I20" s="39">
        <v>18</v>
      </c>
      <c r="J20" s="39">
        <v>40</v>
      </c>
      <c r="K20" s="39">
        <v>4.95</v>
      </c>
      <c r="L20" s="38">
        <v>1</v>
      </c>
    </row>
    <row r="21" spans="1:12" x14ac:dyDescent="0.25">
      <c r="A21" s="37" t="s">
        <v>118</v>
      </c>
      <c r="B21" s="38" t="s">
        <v>7159</v>
      </c>
      <c r="C21" s="40" t="s">
        <v>9308</v>
      </c>
      <c r="D21" s="40" t="s">
        <v>7869</v>
      </c>
      <c r="E21" s="38" t="s">
        <v>7866</v>
      </c>
      <c r="F21" s="37" t="s">
        <v>7163</v>
      </c>
      <c r="G21" s="37" t="s">
        <v>7870</v>
      </c>
      <c r="H21" s="39">
        <v>6.3</v>
      </c>
      <c r="I21" s="39">
        <v>18</v>
      </c>
      <c r="J21" s="39">
        <v>40</v>
      </c>
      <c r="K21" s="39">
        <v>4.95</v>
      </c>
      <c r="L21" s="38">
        <v>1</v>
      </c>
    </row>
    <row r="22" spans="1:12" x14ac:dyDescent="0.25">
      <c r="A22" s="37" t="s">
        <v>119</v>
      </c>
      <c r="B22" s="38" t="s">
        <v>7159</v>
      </c>
      <c r="C22" s="40" t="s">
        <v>9308</v>
      </c>
      <c r="D22" s="40" t="s">
        <v>7869</v>
      </c>
      <c r="E22" s="38" t="s">
        <v>7866</v>
      </c>
      <c r="F22" s="37" t="s">
        <v>7164</v>
      </c>
      <c r="G22" s="37" t="s">
        <v>7870</v>
      </c>
      <c r="H22" s="39">
        <v>6.3</v>
      </c>
      <c r="I22" s="39">
        <v>18</v>
      </c>
      <c r="J22" s="39">
        <v>40</v>
      </c>
      <c r="K22" s="39">
        <v>4.95</v>
      </c>
      <c r="L22" s="38">
        <v>1</v>
      </c>
    </row>
    <row r="23" spans="1:12" x14ac:dyDescent="0.25">
      <c r="A23" s="37" t="s">
        <v>17</v>
      </c>
      <c r="B23" s="38" t="s">
        <v>7159</v>
      </c>
      <c r="C23" s="38" t="s">
        <v>9308</v>
      </c>
      <c r="D23" s="38" t="s">
        <v>7869</v>
      </c>
      <c r="E23" s="38" t="s">
        <v>7866</v>
      </c>
      <c r="F23" s="37" t="s">
        <v>6851</v>
      </c>
      <c r="G23" s="37" t="s">
        <v>7871</v>
      </c>
      <c r="H23" s="39">
        <v>20</v>
      </c>
      <c r="I23" s="39">
        <v>55</v>
      </c>
      <c r="J23" s="39">
        <v>120</v>
      </c>
      <c r="K23" s="39">
        <v>15.13</v>
      </c>
      <c r="L23" s="38">
        <v>1</v>
      </c>
    </row>
    <row r="24" spans="1:12" x14ac:dyDescent="0.25">
      <c r="A24" s="37" t="s">
        <v>16</v>
      </c>
      <c r="B24" s="38" t="s">
        <v>7159</v>
      </c>
      <c r="C24" s="38" t="s">
        <v>9308</v>
      </c>
      <c r="D24" s="38" t="s">
        <v>7869</v>
      </c>
      <c r="E24" s="38" t="s">
        <v>7866</v>
      </c>
      <c r="F24" s="37" t="s">
        <v>6852</v>
      </c>
      <c r="G24" s="37" t="s">
        <v>7871</v>
      </c>
      <c r="H24" s="39">
        <v>20</v>
      </c>
      <c r="I24" s="39">
        <v>55</v>
      </c>
      <c r="J24" s="39">
        <v>120</v>
      </c>
      <c r="K24" s="39">
        <v>15.13</v>
      </c>
      <c r="L24" s="38">
        <v>1</v>
      </c>
    </row>
    <row r="25" spans="1:12" x14ac:dyDescent="0.25">
      <c r="A25" s="37" t="s">
        <v>41</v>
      </c>
      <c r="B25" s="38" t="s">
        <v>7159</v>
      </c>
      <c r="C25" s="38" t="s">
        <v>7865</v>
      </c>
      <c r="D25" s="40" t="s">
        <v>9315</v>
      </c>
      <c r="E25" s="38" t="s">
        <v>7866</v>
      </c>
      <c r="F25" s="37" t="s">
        <v>6853</v>
      </c>
      <c r="G25" s="37" t="s">
        <v>7872</v>
      </c>
      <c r="H25" s="39">
        <v>3.2</v>
      </c>
      <c r="I25" s="39">
        <v>9</v>
      </c>
      <c r="J25" s="39">
        <v>22</v>
      </c>
      <c r="K25" s="39">
        <v>2.5</v>
      </c>
      <c r="L25" s="38">
        <v>8</v>
      </c>
    </row>
    <row r="26" spans="1:12" x14ac:dyDescent="0.25">
      <c r="A26" s="37" t="s">
        <v>18</v>
      </c>
      <c r="B26" s="38" t="s">
        <v>7159</v>
      </c>
      <c r="C26" s="38" t="s">
        <v>7865</v>
      </c>
      <c r="D26" s="40" t="s">
        <v>9315</v>
      </c>
      <c r="E26" s="38" t="s">
        <v>7866</v>
      </c>
      <c r="F26" s="37" t="s">
        <v>6854</v>
      </c>
      <c r="G26" s="37" t="s">
        <v>7872</v>
      </c>
      <c r="H26" s="39">
        <v>3.2</v>
      </c>
      <c r="I26" s="39">
        <v>9</v>
      </c>
      <c r="J26" s="39">
        <v>22</v>
      </c>
      <c r="K26" s="39">
        <v>2.5</v>
      </c>
      <c r="L26" s="38">
        <v>8</v>
      </c>
    </row>
    <row r="27" spans="1:12" x14ac:dyDescent="0.25">
      <c r="A27" s="37" t="s">
        <v>120</v>
      </c>
      <c r="B27" s="38" t="s">
        <v>7159</v>
      </c>
      <c r="C27" s="38" t="s">
        <v>7865</v>
      </c>
      <c r="D27" s="40" t="s">
        <v>9315</v>
      </c>
      <c r="E27" s="38" t="s">
        <v>7866</v>
      </c>
      <c r="F27" s="37" t="s">
        <v>6855</v>
      </c>
      <c r="G27" s="37" t="s">
        <v>7872</v>
      </c>
      <c r="H27" s="39">
        <v>3.2</v>
      </c>
      <c r="I27" s="39">
        <v>9</v>
      </c>
      <c r="J27" s="39">
        <v>22</v>
      </c>
      <c r="K27" s="39">
        <v>2.5</v>
      </c>
      <c r="L27" s="38">
        <v>1</v>
      </c>
    </row>
    <row r="28" spans="1:12" x14ac:dyDescent="0.25">
      <c r="A28" s="37" t="s">
        <v>121</v>
      </c>
      <c r="B28" s="38" t="s">
        <v>7159</v>
      </c>
      <c r="C28" s="38" t="s">
        <v>7865</v>
      </c>
      <c r="D28" s="40" t="s">
        <v>9315</v>
      </c>
      <c r="E28" s="38" t="s">
        <v>7866</v>
      </c>
      <c r="F28" s="37" t="s">
        <v>6856</v>
      </c>
      <c r="G28" s="37" t="s">
        <v>7872</v>
      </c>
      <c r="H28" s="39">
        <v>3.2</v>
      </c>
      <c r="I28" s="39">
        <v>9</v>
      </c>
      <c r="J28" s="39">
        <v>22</v>
      </c>
      <c r="K28" s="39">
        <v>2.5</v>
      </c>
      <c r="L28" s="38">
        <v>1</v>
      </c>
    </row>
    <row r="29" spans="1:12" x14ac:dyDescent="0.25">
      <c r="A29" s="37" t="s">
        <v>44</v>
      </c>
      <c r="B29" s="38" t="s">
        <v>7159</v>
      </c>
      <c r="C29" s="38" t="s">
        <v>9310</v>
      </c>
      <c r="D29" s="38" t="s">
        <v>7873</v>
      </c>
      <c r="E29" s="38" t="s">
        <v>7866</v>
      </c>
      <c r="F29" s="37" t="s">
        <v>7165</v>
      </c>
      <c r="G29" s="37" t="s">
        <v>7874</v>
      </c>
      <c r="H29" s="39">
        <v>1.85</v>
      </c>
      <c r="I29" s="39">
        <v>4.5</v>
      </c>
      <c r="J29" s="39">
        <v>10</v>
      </c>
      <c r="K29" s="39">
        <v>1.45</v>
      </c>
      <c r="L29" s="38">
        <v>1</v>
      </c>
    </row>
    <row r="30" spans="1:12" x14ac:dyDescent="0.25">
      <c r="A30" s="37" t="s">
        <v>43</v>
      </c>
      <c r="B30" s="38" t="s">
        <v>7159</v>
      </c>
      <c r="C30" s="38" t="s">
        <v>9310</v>
      </c>
      <c r="D30" s="38" t="s">
        <v>7873</v>
      </c>
      <c r="E30" s="38" t="s">
        <v>7866</v>
      </c>
      <c r="F30" s="37" t="s">
        <v>7166</v>
      </c>
      <c r="G30" s="37" t="s">
        <v>7874</v>
      </c>
      <c r="H30" s="39">
        <v>1.85</v>
      </c>
      <c r="I30" s="39">
        <v>4.5</v>
      </c>
      <c r="J30" s="39">
        <v>10</v>
      </c>
      <c r="K30" s="39">
        <v>1.45</v>
      </c>
      <c r="L30" s="38">
        <v>1</v>
      </c>
    </row>
    <row r="31" spans="1:12" x14ac:dyDescent="0.25">
      <c r="A31" s="37" t="s">
        <v>122</v>
      </c>
      <c r="B31" s="38" t="s">
        <v>7159</v>
      </c>
      <c r="C31" s="38" t="s">
        <v>7865</v>
      </c>
      <c r="D31" s="40" t="s">
        <v>9315</v>
      </c>
      <c r="E31" s="38" t="s">
        <v>7866</v>
      </c>
      <c r="F31" s="37" t="s">
        <v>7167</v>
      </c>
      <c r="G31" s="37" t="s">
        <v>7874</v>
      </c>
      <c r="H31" s="39">
        <v>1.85</v>
      </c>
      <c r="I31" s="39">
        <v>4.5</v>
      </c>
      <c r="J31" s="39">
        <v>10</v>
      </c>
      <c r="K31" s="39">
        <v>1.45</v>
      </c>
      <c r="L31" s="38">
        <v>1</v>
      </c>
    </row>
    <row r="32" spans="1:12" x14ac:dyDescent="0.25">
      <c r="A32" s="37" t="s">
        <v>123</v>
      </c>
      <c r="B32" s="38" t="s">
        <v>7159</v>
      </c>
      <c r="C32" s="38" t="s">
        <v>7865</v>
      </c>
      <c r="D32" s="40" t="s">
        <v>9315</v>
      </c>
      <c r="E32" s="38" t="s">
        <v>7866</v>
      </c>
      <c r="F32" s="37" t="s">
        <v>7168</v>
      </c>
      <c r="G32" s="37" t="s">
        <v>7874</v>
      </c>
      <c r="H32" s="39">
        <v>1.85</v>
      </c>
      <c r="I32" s="39">
        <v>4.5</v>
      </c>
      <c r="J32" s="39">
        <v>10</v>
      </c>
      <c r="K32" s="39">
        <v>1.45</v>
      </c>
      <c r="L32" s="38">
        <v>1</v>
      </c>
    </row>
    <row r="33" spans="1:12" x14ac:dyDescent="0.25">
      <c r="A33" s="37" t="s">
        <v>7169</v>
      </c>
      <c r="B33" s="38" t="s">
        <v>7159</v>
      </c>
      <c r="C33" s="38" t="s">
        <v>7865</v>
      </c>
      <c r="D33" s="40" t="s">
        <v>8123</v>
      </c>
      <c r="E33" s="38" t="s">
        <v>7866</v>
      </c>
      <c r="F33" s="37" t="s">
        <v>7170</v>
      </c>
      <c r="G33" s="37" t="s">
        <v>7875</v>
      </c>
      <c r="H33" s="39">
        <v>0.55000000000000004</v>
      </c>
      <c r="I33" s="39">
        <v>1.2</v>
      </c>
      <c r="J33" s="39">
        <v>3</v>
      </c>
      <c r="K33" s="39">
        <v>0.45</v>
      </c>
      <c r="L33" s="38">
        <v>1</v>
      </c>
    </row>
    <row r="34" spans="1:12" x14ac:dyDescent="0.25">
      <c r="A34" s="37" t="s">
        <v>6857</v>
      </c>
      <c r="B34" s="38" t="s">
        <v>7845</v>
      </c>
      <c r="C34" s="38" t="s">
        <v>7865</v>
      </c>
      <c r="D34" s="40" t="s">
        <v>9316</v>
      </c>
      <c r="E34" s="38" t="s">
        <v>7876</v>
      </c>
      <c r="F34" s="37" t="s">
        <v>6858</v>
      </c>
      <c r="G34" s="37" t="s">
        <v>7877</v>
      </c>
      <c r="H34" s="39">
        <v>2.8331</v>
      </c>
      <c r="I34" s="39">
        <v>4</v>
      </c>
      <c r="J34" s="39">
        <v>8</v>
      </c>
      <c r="K34" s="39">
        <v>1.8888</v>
      </c>
      <c r="L34" s="38">
        <v>1</v>
      </c>
    </row>
    <row r="35" spans="1:12" x14ac:dyDescent="0.25">
      <c r="A35" s="37" t="s">
        <v>6859</v>
      </c>
      <c r="B35" s="38" t="s">
        <v>7845</v>
      </c>
      <c r="C35" s="38" t="s">
        <v>9309</v>
      </c>
      <c r="D35" s="38" t="s">
        <v>7878</v>
      </c>
      <c r="E35" s="38" t="s">
        <v>7879</v>
      </c>
      <c r="F35" s="37" t="s">
        <v>6860</v>
      </c>
      <c r="G35" s="37" t="s">
        <v>7880</v>
      </c>
      <c r="H35" s="39">
        <v>3.2206000000000001</v>
      </c>
      <c r="I35" s="39">
        <v>9.66</v>
      </c>
      <c r="J35" s="39">
        <v>25</v>
      </c>
      <c r="K35" s="39">
        <v>2.3170000000000002</v>
      </c>
      <c r="L35" s="38">
        <v>4</v>
      </c>
    </row>
    <row r="36" spans="1:12" x14ac:dyDescent="0.25">
      <c r="A36" s="37" t="s">
        <v>6861</v>
      </c>
      <c r="B36" s="38" t="s">
        <v>7845</v>
      </c>
      <c r="C36" s="38" t="s">
        <v>7865</v>
      </c>
      <c r="D36" s="38" t="s">
        <v>7881</v>
      </c>
      <c r="E36" s="38" t="s">
        <v>7882</v>
      </c>
      <c r="F36" s="37" t="s">
        <v>6862</v>
      </c>
      <c r="G36" s="37" t="s">
        <v>7883</v>
      </c>
      <c r="H36" s="39">
        <v>4.9966999999999997</v>
      </c>
      <c r="I36" s="39">
        <v>9</v>
      </c>
      <c r="J36" s="39">
        <v>18</v>
      </c>
      <c r="K36" s="39">
        <v>3.4942000000000002</v>
      </c>
      <c r="L36" s="38">
        <v>1</v>
      </c>
    </row>
    <row r="37" spans="1:12" x14ac:dyDescent="0.25">
      <c r="A37" s="37" t="s">
        <v>98</v>
      </c>
      <c r="B37" s="38" t="s">
        <v>7845</v>
      </c>
      <c r="C37" s="38" t="s">
        <v>7865</v>
      </c>
      <c r="D37" s="40" t="s">
        <v>9316</v>
      </c>
      <c r="E37" s="38" t="s">
        <v>7884</v>
      </c>
      <c r="F37" s="37" t="s">
        <v>6863</v>
      </c>
      <c r="G37" s="37" t="s">
        <v>7885</v>
      </c>
      <c r="H37" s="39">
        <v>1.8938999999999999</v>
      </c>
      <c r="I37" s="39">
        <v>5</v>
      </c>
      <c r="J37" s="39">
        <v>12</v>
      </c>
      <c r="K37" s="39">
        <v>1.3061</v>
      </c>
      <c r="L37" s="38">
        <v>1</v>
      </c>
    </row>
    <row r="38" spans="1:12" x14ac:dyDescent="0.25">
      <c r="A38" s="37" t="s">
        <v>6864</v>
      </c>
      <c r="B38" s="38" t="s">
        <v>7845</v>
      </c>
      <c r="C38" s="38" t="s">
        <v>7865</v>
      </c>
      <c r="D38" s="40" t="s">
        <v>9316</v>
      </c>
      <c r="E38" s="38" t="s">
        <v>7884</v>
      </c>
      <c r="F38" s="37" t="s">
        <v>6865</v>
      </c>
      <c r="G38" s="37" t="s">
        <v>7886</v>
      </c>
      <c r="H38" s="39">
        <v>0.318</v>
      </c>
      <c r="I38" s="39">
        <v>0.95</v>
      </c>
      <c r="J38" s="39">
        <v>2.5</v>
      </c>
      <c r="K38" s="39">
        <v>0.23899999999999999</v>
      </c>
      <c r="L38" s="38">
        <v>1</v>
      </c>
    </row>
    <row r="39" spans="1:12" x14ac:dyDescent="0.25">
      <c r="A39" s="37" t="s">
        <v>99</v>
      </c>
      <c r="B39" s="38" t="s">
        <v>7845</v>
      </c>
      <c r="C39" s="38" t="s">
        <v>7865</v>
      </c>
      <c r="D39" s="40" t="s">
        <v>9316</v>
      </c>
      <c r="E39" s="38" t="s">
        <v>7884</v>
      </c>
      <c r="F39" s="37" t="s">
        <v>6866</v>
      </c>
      <c r="G39" s="37" t="s">
        <v>7887</v>
      </c>
      <c r="H39" s="39">
        <v>3.0259999999999998</v>
      </c>
      <c r="I39" s="39">
        <v>4.9000000000000004</v>
      </c>
      <c r="J39" s="39">
        <v>9</v>
      </c>
      <c r="K39" s="39">
        <v>2.2749999999999999</v>
      </c>
      <c r="L39" s="38">
        <v>1</v>
      </c>
    </row>
    <row r="40" spans="1:12" x14ac:dyDescent="0.25">
      <c r="A40" s="37" t="s">
        <v>107</v>
      </c>
      <c r="B40" s="38" t="s">
        <v>7845</v>
      </c>
      <c r="C40" s="38" t="s">
        <v>7865</v>
      </c>
      <c r="D40" s="40" t="s">
        <v>9316</v>
      </c>
      <c r="E40" s="38" t="s">
        <v>7884</v>
      </c>
      <c r="F40" s="37" t="s">
        <v>6867</v>
      </c>
      <c r="G40" s="37" t="s">
        <v>7887</v>
      </c>
      <c r="H40" s="39">
        <v>2.4500000000000002</v>
      </c>
      <c r="I40" s="39">
        <v>3.9</v>
      </c>
      <c r="J40" s="39">
        <v>7</v>
      </c>
      <c r="K40" s="39">
        <v>1.91</v>
      </c>
      <c r="L40" s="38">
        <v>1</v>
      </c>
    </row>
    <row r="41" spans="1:12" x14ac:dyDescent="0.25">
      <c r="A41" s="37" t="s">
        <v>6868</v>
      </c>
      <c r="B41" s="38" t="s">
        <v>7845</v>
      </c>
      <c r="C41" s="38" t="s">
        <v>9308</v>
      </c>
      <c r="D41" s="38" t="s">
        <v>7888</v>
      </c>
      <c r="E41" s="38" t="s">
        <v>7884</v>
      </c>
      <c r="F41" s="37" t="s">
        <v>6869</v>
      </c>
      <c r="G41" s="37" t="s">
        <v>7889</v>
      </c>
      <c r="H41" s="39">
        <v>10.9795</v>
      </c>
      <c r="I41" s="39">
        <v>19</v>
      </c>
      <c r="J41" s="39">
        <v>39</v>
      </c>
      <c r="K41" s="39">
        <v>7.8989000000000003</v>
      </c>
      <c r="L41" s="38">
        <v>1</v>
      </c>
    </row>
    <row r="42" spans="1:12" x14ac:dyDescent="0.25">
      <c r="A42" s="37" t="s">
        <v>6870</v>
      </c>
      <c r="B42" s="38" t="s">
        <v>7845</v>
      </c>
      <c r="C42" s="38" t="s">
        <v>9308</v>
      </c>
      <c r="D42" s="38" t="s">
        <v>7888</v>
      </c>
      <c r="E42" s="38" t="s">
        <v>7884</v>
      </c>
      <c r="F42" s="37" t="s">
        <v>6871</v>
      </c>
      <c r="G42" s="37" t="s">
        <v>7890</v>
      </c>
      <c r="H42" s="39">
        <v>8.7835999999999999</v>
      </c>
      <c r="I42" s="39">
        <v>16</v>
      </c>
      <c r="J42" s="39">
        <v>29</v>
      </c>
      <c r="K42" s="39">
        <v>6.3190999999999997</v>
      </c>
      <c r="L42" s="38">
        <v>1</v>
      </c>
    </row>
    <row r="43" spans="1:12" x14ac:dyDescent="0.25">
      <c r="A43" s="37" t="s">
        <v>6872</v>
      </c>
      <c r="B43" s="38" t="s">
        <v>7845</v>
      </c>
      <c r="C43" s="38" t="s">
        <v>9308</v>
      </c>
      <c r="D43" s="38" t="s">
        <v>7888</v>
      </c>
      <c r="E43" s="38" t="s">
        <v>7884</v>
      </c>
      <c r="F43" s="37" t="s">
        <v>6873</v>
      </c>
      <c r="G43" s="37" t="s">
        <v>7891</v>
      </c>
      <c r="H43" s="39">
        <v>2.64</v>
      </c>
      <c r="I43" s="39">
        <v>4.9000000000000004</v>
      </c>
      <c r="J43" s="39">
        <v>9</v>
      </c>
      <c r="K43" s="39">
        <v>1.89</v>
      </c>
      <c r="L43" s="38">
        <v>1</v>
      </c>
    </row>
    <row r="44" spans="1:12" x14ac:dyDescent="0.25">
      <c r="A44" s="37" t="s">
        <v>6874</v>
      </c>
      <c r="B44" s="38" t="s">
        <v>7845</v>
      </c>
      <c r="C44" s="38" t="s">
        <v>9308</v>
      </c>
      <c r="D44" s="38" t="s">
        <v>7892</v>
      </c>
      <c r="E44" s="38" t="s">
        <v>7893</v>
      </c>
      <c r="F44" s="37" t="s">
        <v>6875</v>
      </c>
      <c r="G44" s="37" t="s">
        <v>7894</v>
      </c>
      <c r="H44" s="39">
        <v>5.6208999999999998</v>
      </c>
      <c r="I44" s="39">
        <v>15</v>
      </c>
      <c r="J44" s="39">
        <v>39</v>
      </c>
      <c r="K44" s="39">
        <v>4.3238000000000003</v>
      </c>
      <c r="L44" s="38">
        <v>1</v>
      </c>
    </row>
    <row r="45" spans="1:12" x14ac:dyDescent="0.25">
      <c r="A45" s="37" t="s">
        <v>72</v>
      </c>
      <c r="B45" s="38" t="s">
        <v>7845</v>
      </c>
      <c r="C45" s="38" t="s">
        <v>9308</v>
      </c>
      <c r="D45" s="38" t="s">
        <v>7895</v>
      </c>
      <c r="E45" s="38" t="s">
        <v>7896</v>
      </c>
      <c r="F45" s="37" t="s">
        <v>6876</v>
      </c>
      <c r="G45" s="37" t="s">
        <v>7897</v>
      </c>
      <c r="H45" s="39">
        <v>1.6862999999999999</v>
      </c>
      <c r="I45" s="39">
        <v>6</v>
      </c>
      <c r="J45" s="39">
        <v>15</v>
      </c>
      <c r="K45" s="39">
        <v>1.2970999999999999</v>
      </c>
      <c r="L45" s="38">
        <v>1</v>
      </c>
    </row>
    <row r="46" spans="1:12" x14ac:dyDescent="0.25">
      <c r="A46" s="37" t="s">
        <v>6877</v>
      </c>
      <c r="B46" s="38" t="s">
        <v>7845</v>
      </c>
      <c r="C46" s="38" t="s">
        <v>9309</v>
      </c>
      <c r="D46" s="38" t="s">
        <v>7898</v>
      </c>
      <c r="E46" s="38" t="s">
        <v>7851</v>
      </c>
      <c r="F46" s="37" t="s">
        <v>6878</v>
      </c>
      <c r="G46" s="37" t="s">
        <v>7899</v>
      </c>
      <c r="H46" s="39">
        <v>39.346200000000003</v>
      </c>
      <c r="I46" s="39">
        <v>60</v>
      </c>
      <c r="J46" s="39">
        <v>95</v>
      </c>
      <c r="K46" s="39">
        <v>30.266300000000001</v>
      </c>
      <c r="L46" s="38">
        <v>1</v>
      </c>
    </row>
    <row r="47" spans="1:12" x14ac:dyDescent="0.25">
      <c r="A47" s="37" t="s">
        <v>6879</v>
      </c>
      <c r="B47" s="38" t="s">
        <v>7845</v>
      </c>
      <c r="C47" s="38" t="s">
        <v>7865</v>
      </c>
      <c r="D47" s="40" t="s">
        <v>9317</v>
      </c>
      <c r="E47" s="38" t="s">
        <v>7879</v>
      </c>
      <c r="F47" s="37" t="s">
        <v>6880</v>
      </c>
      <c r="G47" s="37" t="s">
        <v>7900</v>
      </c>
      <c r="H47" s="39">
        <v>2.6882000000000001</v>
      </c>
      <c r="I47" s="39">
        <v>6</v>
      </c>
      <c r="J47" s="39">
        <v>15</v>
      </c>
      <c r="K47" s="39">
        <v>2.1505000000000001</v>
      </c>
      <c r="L47" s="38">
        <v>1</v>
      </c>
    </row>
    <row r="48" spans="1:12" x14ac:dyDescent="0.25">
      <c r="A48" s="37" t="s">
        <v>6881</v>
      </c>
      <c r="B48" s="38" t="s">
        <v>7845</v>
      </c>
      <c r="C48" s="38" t="s">
        <v>9309</v>
      </c>
      <c r="D48" s="38" t="s">
        <v>7901</v>
      </c>
      <c r="E48" s="38" t="s">
        <v>7902</v>
      </c>
      <c r="F48" s="37" t="s">
        <v>6882</v>
      </c>
      <c r="G48" s="37" t="s">
        <v>7903</v>
      </c>
      <c r="H48" s="39">
        <v>13.4901</v>
      </c>
      <c r="I48" s="39">
        <v>25</v>
      </c>
      <c r="J48" s="39">
        <v>50</v>
      </c>
      <c r="K48" s="39">
        <v>10.377000000000001</v>
      </c>
      <c r="L48" s="38">
        <v>1</v>
      </c>
    </row>
    <row r="49" spans="1:12" x14ac:dyDescent="0.25">
      <c r="A49" s="37" t="s">
        <v>6883</v>
      </c>
      <c r="B49" s="38" t="s">
        <v>7845</v>
      </c>
      <c r="C49" s="38" t="s">
        <v>9309</v>
      </c>
      <c r="D49" s="38" t="s">
        <v>7901</v>
      </c>
      <c r="E49" s="38" t="s">
        <v>7902</v>
      </c>
      <c r="F49" s="37" t="s">
        <v>6884</v>
      </c>
      <c r="G49" s="37" t="s">
        <v>7903</v>
      </c>
      <c r="H49" s="39">
        <v>13.4901</v>
      </c>
      <c r="I49" s="39">
        <v>25</v>
      </c>
      <c r="J49" s="39">
        <v>50</v>
      </c>
      <c r="K49" s="39">
        <v>10.377000000000001</v>
      </c>
      <c r="L49" s="38">
        <v>1</v>
      </c>
    </row>
    <row r="50" spans="1:12" x14ac:dyDescent="0.25">
      <c r="A50" s="37" t="s">
        <v>6885</v>
      </c>
      <c r="B50" s="38" t="s">
        <v>7845</v>
      </c>
      <c r="C50" s="38" t="s">
        <v>9309</v>
      </c>
      <c r="D50" s="38" t="s">
        <v>7901</v>
      </c>
      <c r="E50" s="38" t="s">
        <v>7902</v>
      </c>
      <c r="F50" s="37" t="s">
        <v>6886</v>
      </c>
      <c r="G50" s="37" t="s">
        <v>7904</v>
      </c>
      <c r="H50" s="39">
        <v>7.8692000000000002</v>
      </c>
      <c r="I50" s="39">
        <v>15</v>
      </c>
      <c r="J50" s="39">
        <v>30</v>
      </c>
      <c r="K50" s="39">
        <v>6.0533000000000001</v>
      </c>
      <c r="L50" s="38">
        <v>1</v>
      </c>
    </row>
    <row r="51" spans="1:12" x14ac:dyDescent="0.25">
      <c r="A51" s="37" t="s">
        <v>6887</v>
      </c>
      <c r="B51" s="38" t="s">
        <v>7845</v>
      </c>
      <c r="C51" s="38" t="s">
        <v>9311</v>
      </c>
      <c r="D51" s="38" t="s">
        <v>7905</v>
      </c>
      <c r="E51" s="38" t="s">
        <v>7906</v>
      </c>
      <c r="F51" s="37" t="s">
        <v>6888</v>
      </c>
      <c r="G51" s="37" t="s">
        <v>7907</v>
      </c>
      <c r="H51" s="39">
        <v>101.17610000000001</v>
      </c>
      <c r="I51" s="39">
        <v>220</v>
      </c>
      <c r="J51" s="39">
        <v>390</v>
      </c>
      <c r="K51" s="39">
        <v>77.827699999999993</v>
      </c>
      <c r="L51" s="38">
        <v>1</v>
      </c>
    </row>
    <row r="52" spans="1:12" x14ac:dyDescent="0.25">
      <c r="A52" s="37" t="s">
        <v>6889</v>
      </c>
      <c r="B52" s="38" t="s">
        <v>7845</v>
      </c>
      <c r="C52" s="38" t="s">
        <v>9309</v>
      </c>
      <c r="D52" s="38" t="s">
        <v>7908</v>
      </c>
      <c r="E52" s="38" t="s">
        <v>7876</v>
      </c>
      <c r="F52" s="37" t="s">
        <v>6890</v>
      </c>
      <c r="G52" s="37" t="s">
        <v>7909</v>
      </c>
      <c r="H52" s="39">
        <v>17.975000000000001</v>
      </c>
      <c r="I52" s="39">
        <v>30</v>
      </c>
      <c r="J52" s="39">
        <v>65</v>
      </c>
      <c r="K52" s="39">
        <v>13.515000000000001</v>
      </c>
      <c r="L52" s="38">
        <v>1</v>
      </c>
    </row>
    <row r="53" spans="1:12" x14ac:dyDescent="0.25">
      <c r="A53" s="37" t="s">
        <v>91</v>
      </c>
      <c r="B53" s="38" t="s">
        <v>7845</v>
      </c>
      <c r="C53" s="38" t="s">
        <v>9311</v>
      </c>
      <c r="D53" s="38" t="s">
        <v>7905</v>
      </c>
      <c r="E53" s="38" t="s">
        <v>7906</v>
      </c>
      <c r="F53" s="37" t="s">
        <v>6891</v>
      </c>
      <c r="G53" s="37" t="s">
        <v>7907</v>
      </c>
      <c r="H53" s="39">
        <v>101.17610000000001</v>
      </c>
      <c r="I53" s="39">
        <v>220</v>
      </c>
      <c r="J53" s="39">
        <v>390</v>
      </c>
      <c r="K53" s="39">
        <v>77.827699999999993</v>
      </c>
      <c r="L53" s="38">
        <v>1</v>
      </c>
    </row>
    <row r="54" spans="1:12" x14ac:dyDescent="0.25">
      <c r="A54" s="37" t="s">
        <v>6892</v>
      </c>
      <c r="B54" s="38" t="s">
        <v>7845</v>
      </c>
      <c r="C54" s="38" t="s">
        <v>9311</v>
      </c>
      <c r="D54" s="38" t="s">
        <v>7905</v>
      </c>
      <c r="E54" s="38" t="s">
        <v>7906</v>
      </c>
      <c r="F54" s="37" t="s">
        <v>6893</v>
      </c>
      <c r="G54" s="37" t="s">
        <v>7910</v>
      </c>
      <c r="H54" s="39">
        <v>61.829799999999999</v>
      </c>
      <c r="I54" s="39">
        <v>130</v>
      </c>
      <c r="J54" s="39">
        <v>290</v>
      </c>
      <c r="K54" s="39">
        <v>47.561399999999999</v>
      </c>
      <c r="L54" s="38">
        <v>1</v>
      </c>
    </row>
    <row r="55" spans="1:12" x14ac:dyDescent="0.25">
      <c r="A55" s="37" t="s">
        <v>6894</v>
      </c>
      <c r="B55" s="38" t="s">
        <v>7845</v>
      </c>
      <c r="C55" s="38" t="s">
        <v>9311</v>
      </c>
      <c r="D55" s="38" t="s">
        <v>7911</v>
      </c>
      <c r="E55" s="38" t="s">
        <v>7906</v>
      </c>
      <c r="F55" s="37" t="s">
        <v>6895</v>
      </c>
      <c r="G55" s="37" t="s">
        <v>7912</v>
      </c>
      <c r="H55" s="39">
        <v>101.17610000000001</v>
      </c>
      <c r="I55" s="39">
        <v>240</v>
      </c>
      <c r="J55" s="39">
        <v>400</v>
      </c>
      <c r="K55" s="39">
        <v>77.827699999999993</v>
      </c>
      <c r="L55" s="38">
        <v>1</v>
      </c>
    </row>
    <row r="56" spans="1:12" x14ac:dyDescent="0.25">
      <c r="A56" s="37" t="s">
        <v>6896</v>
      </c>
      <c r="B56" s="38" t="s">
        <v>7845</v>
      </c>
      <c r="C56" s="38" t="s">
        <v>7865</v>
      </c>
      <c r="D56" s="38" t="s">
        <v>7881</v>
      </c>
      <c r="E56" s="38" t="s">
        <v>7913</v>
      </c>
      <c r="F56" s="37" t="s">
        <v>6897</v>
      </c>
      <c r="G56" s="37" t="s">
        <v>7914</v>
      </c>
      <c r="H56" s="39">
        <v>3.3877999999999999</v>
      </c>
      <c r="I56" s="39">
        <v>5</v>
      </c>
      <c r="J56" s="39">
        <v>10</v>
      </c>
      <c r="K56" s="39">
        <v>2.3691</v>
      </c>
      <c r="L56" s="38">
        <v>1</v>
      </c>
    </row>
    <row r="57" spans="1:12" x14ac:dyDescent="0.25">
      <c r="A57" s="37" t="s">
        <v>76</v>
      </c>
      <c r="B57" s="38" t="s">
        <v>7844</v>
      </c>
      <c r="C57" s="38" t="s">
        <v>9308</v>
      </c>
      <c r="D57" s="38" t="s">
        <v>7915</v>
      </c>
      <c r="E57" s="38" t="s">
        <v>7857</v>
      </c>
      <c r="F57" s="37" t="s">
        <v>6898</v>
      </c>
      <c r="G57" s="37" t="s">
        <v>7916</v>
      </c>
      <c r="H57" s="39">
        <v>5.9981999999999998</v>
      </c>
      <c r="I57" s="39">
        <v>15</v>
      </c>
      <c r="J57" s="39">
        <v>40</v>
      </c>
      <c r="K57" s="39">
        <v>4.9165999999999999</v>
      </c>
      <c r="L57" s="38">
        <v>1</v>
      </c>
    </row>
    <row r="58" spans="1:12" x14ac:dyDescent="0.25">
      <c r="A58" s="37" t="s">
        <v>100</v>
      </c>
      <c r="B58" s="38" t="s">
        <v>7844</v>
      </c>
      <c r="C58" s="38" t="s">
        <v>9312</v>
      </c>
      <c r="D58" s="38" t="s">
        <v>7917</v>
      </c>
      <c r="E58" s="38" t="s">
        <v>7857</v>
      </c>
      <c r="F58" s="37" t="s">
        <v>6899</v>
      </c>
      <c r="G58" s="37" t="s">
        <v>7918</v>
      </c>
      <c r="H58" s="39">
        <v>8.3975000000000009</v>
      </c>
      <c r="I58" s="39">
        <v>16</v>
      </c>
      <c r="J58" s="39">
        <v>39</v>
      </c>
      <c r="K58" s="39">
        <v>6.8832000000000004</v>
      </c>
      <c r="L58" s="38">
        <v>1</v>
      </c>
    </row>
    <row r="59" spans="1:12" x14ac:dyDescent="0.25">
      <c r="A59" s="37" t="s">
        <v>96</v>
      </c>
      <c r="B59" s="38" t="s">
        <v>7844</v>
      </c>
      <c r="C59" s="38" t="s">
        <v>9312</v>
      </c>
      <c r="D59" s="38" t="s">
        <v>7917</v>
      </c>
      <c r="E59" s="38" t="s">
        <v>7857</v>
      </c>
      <c r="F59" s="37" t="s">
        <v>6900</v>
      </c>
      <c r="G59" s="37" t="s">
        <v>7919</v>
      </c>
      <c r="H59" s="39">
        <v>8.3975000000000009</v>
      </c>
      <c r="I59" s="39">
        <v>21</v>
      </c>
      <c r="J59" s="39">
        <v>46</v>
      </c>
      <c r="K59" s="39">
        <v>6.8832000000000004</v>
      </c>
      <c r="L59" s="38">
        <v>1</v>
      </c>
    </row>
    <row r="60" spans="1:12" x14ac:dyDescent="0.25">
      <c r="A60" s="37" t="s">
        <v>6901</v>
      </c>
      <c r="B60" s="38" t="s">
        <v>7844</v>
      </c>
      <c r="C60" s="38" t="s">
        <v>9312</v>
      </c>
      <c r="D60" s="38" t="s">
        <v>7917</v>
      </c>
      <c r="E60" s="38" t="s">
        <v>7857</v>
      </c>
      <c r="F60" s="37" t="s">
        <v>6902</v>
      </c>
      <c r="G60" s="37" t="s">
        <v>7920</v>
      </c>
      <c r="H60" s="39">
        <v>10.796799999999999</v>
      </c>
      <c r="I60" s="39">
        <v>27</v>
      </c>
      <c r="J60" s="39">
        <v>59</v>
      </c>
      <c r="K60" s="39">
        <v>8.8498999999999999</v>
      </c>
      <c r="L60" s="38">
        <v>1</v>
      </c>
    </row>
    <row r="61" spans="1:12" x14ac:dyDescent="0.25">
      <c r="A61" s="37" t="s">
        <v>21</v>
      </c>
      <c r="B61" s="38" t="s">
        <v>7844</v>
      </c>
      <c r="C61" s="38" t="s">
        <v>9308</v>
      </c>
      <c r="D61" s="38" t="s">
        <v>7915</v>
      </c>
      <c r="E61" s="38" t="s">
        <v>7851</v>
      </c>
      <c r="F61" s="37" t="s">
        <v>6903</v>
      </c>
      <c r="G61" s="37" t="s">
        <v>7921</v>
      </c>
      <c r="H61" s="39">
        <v>2.9990999999999999</v>
      </c>
      <c r="I61" s="39">
        <v>4.5</v>
      </c>
      <c r="J61" s="39">
        <v>9</v>
      </c>
      <c r="K61" s="39">
        <v>2.4582999999999999</v>
      </c>
      <c r="L61" s="38">
        <v>1</v>
      </c>
    </row>
    <row r="62" spans="1:12" x14ac:dyDescent="0.25">
      <c r="A62" s="37" t="s">
        <v>6904</v>
      </c>
      <c r="B62" s="38" t="s">
        <v>7844</v>
      </c>
      <c r="C62" s="38" t="s">
        <v>9312</v>
      </c>
      <c r="D62" s="38" t="s">
        <v>7917</v>
      </c>
      <c r="E62" s="38" t="s">
        <v>7922</v>
      </c>
      <c r="F62" s="37" t="s">
        <v>6905</v>
      </c>
      <c r="G62" s="37" t="s">
        <v>7923</v>
      </c>
      <c r="H62" s="39">
        <v>10.796799999999999</v>
      </c>
      <c r="I62" s="39">
        <v>15</v>
      </c>
      <c r="J62" s="39">
        <v>20</v>
      </c>
      <c r="K62" s="39">
        <v>8.8498999999999999</v>
      </c>
      <c r="L62" s="38">
        <v>1</v>
      </c>
    </row>
    <row r="63" spans="1:12" x14ac:dyDescent="0.25">
      <c r="A63" s="37" t="s">
        <v>52</v>
      </c>
      <c r="B63" s="38" t="s">
        <v>7844</v>
      </c>
      <c r="C63" s="38" t="s">
        <v>9308</v>
      </c>
      <c r="D63" s="38" t="s">
        <v>7924</v>
      </c>
      <c r="E63" s="38" t="s">
        <v>7922</v>
      </c>
      <c r="F63" s="37" t="s">
        <v>6906</v>
      </c>
      <c r="G63" s="37" t="s">
        <v>7925</v>
      </c>
      <c r="H63" s="39">
        <v>5.9981999999999998</v>
      </c>
      <c r="I63" s="39">
        <v>12</v>
      </c>
      <c r="J63" s="39">
        <v>29</v>
      </c>
      <c r="K63" s="39">
        <v>4.9165999999999999</v>
      </c>
      <c r="L63" s="38">
        <v>1</v>
      </c>
    </row>
    <row r="64" spans="1:12" x14ac:dyDescent="0.25">
      <c r="A64" s="37" t="s">
        <v>63</v>
      </c>
      <c r="B64" s="38" t="s">
        <v>7844</v>
      </c>
      <c r="C64" s="38" t="s">
        <v>9309</v>
      </c>
      <c r="D64" s="38" t="s">
        <v>7901</v>
      </c>
      <c r="E64" s="38" t="s">
        <v>7857</v>
      </c>
      <c r="F64" s="37" t="s">
        <v>6907</v>
      </c>
      <c r="G64" s="37" t="s">
        <v>7921</v>
      </c>
      <c r="H64" s="39">
        <v>13.196099999999999</v>
      </c>
      <c r="I64" s="39">
        <v>35</v>
      </c>
      <c r="J64" s="39">
        <v>79</v>
      </c>
      <c r="K64" s="39">
        <v>10.8165</v>
      </c>
      <c r="L64" s="38">
        <v>1</v>
      </c>
    </row>
    <row r="65" spans="1:12" x14ac:dyDescent="0.25">
      <c r="A65" s="37" t="s">
        <v>6908</v>
      </c>
      <c r="B65" s="38" t="s">
        <v>7844</v>
      </c>
      <c r="C65" s="38" t="s">
        <v>9308</v>
      </c>
      <c r="D65" s="38" t="s">
        <v>7915</v>
      </c>
      <c r="E65" s="38" t="s">
        <v>7922</v>
      </c>
      <c r="F65" s="37" t="s">
        <v>6909</v>
      </c>
      <c r="G65" s="37" t="s">
        <v>7926</v>
      </c>
      <c r="H65" s="39">
        <v>5.2785000000000002</v>
      </c>
      <c r="I65" s="39">
        <v>10</v>
      </c>
      <c r="J65" s="39">
        <v>16</v>
      </c>
      <c r="K65" s="39">
        <v>4.3266</v>
      </c>
      <c r="L65" s="38">
        <v>1</v>
      </c>
    </row>
    <row r="66" spans="1:12" x14ac:dyDescent="0.25">
      <c r="A66" s="37" t="s">
        <v>19</v>
      </c>
      <c r="B66" s="38" t="s">
        <v>7844</v>
      </c>
      <c r="C66" s="38" t="s">
        <v>9308</v>
      </c>
      <c r="D66" s="38" t="s">
        <v>7915</v>
      </c>
      <c r="E66" s="38" t="s">
        <v>7922</v>
      </c>
      <c r="F66" s="37" t="s">
        <v>6910</v>
      </c>
      <c r="G66" s="37" t="s">
        <v>7927</v>
      </c>
      <c r="H66" s="39">
        <v>3.5989</v>
      </c>
      <c r="I66" s="39">
        <v>8</v>
      </c>
      <c r="J66" s="39">
        <v>15</v>
      </c>
      <c r="K66" s="39">
        <v>2.95</v>
      </c>
      <c r="L66" s="38">
        <v>1</v>
      </c>
    </row>
    <row r="67" spans="1:12" x14ac:dyDescent="0.25">
      <c r="A67" s="37" t="s">
        <v>108</v>
      </c>
      <c r="B67" s="38" t="s">
        <v>7844</v>
      </c>
      <c r="C67" s="38" t="s">
        <v>9308</v>
      </c>
      <c r="D67" s="38" t="s">
        <v>7915</v>
      </c>
      <c r="E67" s="38" t="s">
        <v>7857</v>
      </c>
      <c r="F67" s="37" t="s">
        <v>6911</v>
      </c>
      <c r="G67" s="37" t="s">
        <v>7928</v>
      </c>
      <c r="H67" s="39">
        <v>8.3975000000000009</v>
      </c>
      <c r="I67" s="39">
        <v>19</v>
      </c>
      <c r="J67" s="39">
        <v>40</v>
      </c>
      <c r="K67" s="39">
        <v>6.8832000000000004</v>
      </c>
      <c r="L67" s="38">
        <v>1</v>
      </c>
    </row>
    <row r="68" spans="1:12" x14ac:dyDescent="0.25">
      <c r="A68" s="37" t="s">
        <v>20</v>
      </c>
      <c r="B68" s="38" t="s">
        <v>7844</v>
      </c>
      <c r="C68" s="38" t="s">
        <v>7865</v>
      </c>
      <c r="D68" s="40" t="s">
        <v>9316</v>
      </c>
      <c r="E68" s="38" t="s">
        <v>7929</v>
      </c>
      <c r="F68" s="37" t="s">
        <v>6912</v>
      </c>
      <c r="G68" s="37" t="s">
        <v>7921</v>
      </c>
      <c r="H68" s="39">
        <v>1.0797000000000001</v>
      </c>
      <c r="I68" s="39">
        <v>3</v>
      </c>
      <c r="J68" s="39">
        <v>9</v>
      </c>
      <c r="K68" s="39">
        <v>0.88500000000000001</v>
      </c>
      <c r="L68" s="38">
        <v>1</v>
      </c>
    </row>
    <row r="69" spans="1:12" x14ac:dyDescent="0.25">
      <c r="A69" s="37" t="s">
        <v>88</v>
      </c>
      <c r="B69" s="38" t="s">
        <v>7844</v>
      </c>
      <c r="C69" s="38" t="s">
        <v>9308</v>
      </c>
      <c r="D69" s="38" t="s">
        <v>7915</v>
      </c>
      <c r="E69" s="38" t="s">
        <v>7857</v>
      </c>
      <c r="F69" s="37" t="s">
        <v>6913</v>
      </c>
      <c r="G69" s="37" t="s">
        <v>7930</v>
      </c>
      <c r="H69" s="39">
        <v>6.718</v>
      </c>
      <c r="I69" s="39">
        <v>14</v>
      </c>
      <c r="J69" s="39">
        <v>29</v>
      </c>
      <c r="K69" s="39">
        <v>5.5065999999999997</v>
      </c>
      <c r="L69" s="38">
        <v>1</v>
      </c>
    </row>
    <row r="70" spans="1:12" x14ac:dyDescent="0.25">
      <c r="A70" s="37" t="s">
        <v>57</v>
      </c>
      <c r="B70" s="38" t="s">
        <v>7844</v>
      </c>
      <c r="C70" s="38" t="s">
        <v>9308</v>
      </c>
      <c r="D70" s="38" t="s">
        <v>7931</v>
      </c>
      <c r="E70" s="38" t="s">
        <v>7857</v>
      </c>
      <c r="F70" s="37" t="s">
        <v>6914</v>
      </c>
      <c r="G70" s="37" t="s">
        <v>7932</v>
      </c>
      <c r="H70" s="39">
        <v>11.5166</v>
      </c>
      <c r="I70" s="39">
        <v>30</v>
      </c>
      <c r="J70" s="39">
        <v>75</v>
      </c>
      <c r="K70" s="39">
        <v>9.4398999999999997</v>
      </c>
      <c r="L70" s="38">
        <v>1</v>
      </c>
    </row>
    <row r="71" spans="1:12" x14ac:dyDescent="0.25">
      <c r="A71" s="37" t="s">
        <v>64</v>
      </c>
      <c r="B71" s="38" t="s">
        <v>7844</v>
      </c>
      <c r="C71" s="38" t="s">
        <v>9308</v>
      </c>
      <c r="D71" s="38" t="s">
        <v>7869</v>
      </c>
      <c r="E71" s="38" t="s">
        <v>7857</v>
      </c>
      <c r="F71" s="37" t="s">
        <v>6915</v>
      </c>
      <c r="G71" s="37" t="s">
        <v>7933</v>
      </c>
      <c r="H71" s="39">
        <v>4.8794000000000004</v>
      </c>
      <c r="I71" s="39">
        <v>17</v>
      </c>
      <c r="J71" s="39">
        <v>37</v>
      </c>
      <c r="K71" s="39">
        <v>3.7534000000000001</v>
      </c>
      <c r="L71" s="38">
        <v>1</v>
      </c>
    </row>
    <row r="72" spans="1:12" x14ac:dyDescent="0.25">
      <c r="A72" s="37" t="s">
        <v>25</v>
      </c>
      <c r="B72" s="38" t="s">
        <v>7844</v>
      </c>
      <c r="C72" s="38" t="s">
        <v>9312</v>
      </c>
      <c r="D72" s="38" t="s">
        <v>7917</v>
      </c>
      <c r="E72" s="38" t="s">
        <v>7857</v>
      </c>
      <c r="F72" s="37" t="s">
        <v>6916</v>
      </c>
      <c r="G72" s="37" t="s">
        <v>7934</v>
      </c>
      <c r="H72" s="39">
        <v>3.8887999999999998</v>
      </c>
      <c r="I72" s="39">
        <v>11</v>
      </c>
      <c r="J72" s="39">
        <v>24</v>
      </c>
      <c r="K72" s="39">
        <v>3.2406000000000001</v>
      </c>
      <c r="L72" s="38">
        <v>1</v>
      </c>
    </row>
    <row r="73" spans="1:12" x14ac:dyDescent="0.25">
      <c r="A73" s="37" t="s">
        <v>6917</v>
      </c>
      <c r="B73" s="38" t="s">
        <v>7844</v>
      </c>
      <c r="C73" s="38" t="s">
        <v>9312</v>
      </c>
      <c r="D73" s="38" t="s">
        <v>7917</v>
      </c>
      <c r="E73" s="38" t="s">
        <v>7857</v>
      </c>
      <c r="F73" s="37" t="s">
        <v>6918</v>
      </c>
      <c r="G73" s="37" t="s">
        <v>7935</v>
      </c>
      <c r="H73" s="39">
        <v>17.2834</v>
      </c>
      <c r="I73" s="39">
        <v>60</v>
      </c>
      <c r="J73" s="39">
        <v>129</v>
      </c>
      <c r="K73" s="39">
        <v>14.402799999999999</v>
      </c>
      <c r="L73" s="38">
        <v>1</v>
      </c>
    </row>
    <row r="74" spans="1:12" x14ac:dyDescent="0.25">
      <c r="A74" s="37" t="s">
        <v>23</v>
      </c>
      <c r="B74" s="38" t="s">
        <v>7844</v>
      </c>
      <c r="C74" s="38" t="s">
        <v>9312</v>
      </c>
      <c r="D74" s="38" t="s">
        <v>7917</v>
      </c>
      <c r="E74" s="38" t="s">
        <v>7851</v>
      </c>
      <c r="F74" s="37" t="s">
        <v>6919</v>
      </c>
      <c r="G74" s="37" t="s">
        <v>7936</v>
      </c>
      <c r="H74" s="39">
        <v>5.4010999999999996</v>
      </c>
      <c r="I74" s="39">
        <v>19</v>
      </c>
      <c r="J74" s="39">
        <v>39</v>
      </c>
      <c r="K74" s="39">
        <v>4.5008999999999997</v>
      </c>
      <c r="L74" s="38">
        <v>1</v>
      </c>
    </row>
    <row r="75" spans="1:12" x14ac:dyDescent="0.25">
      <c r="A75" s="37" t="s">
        <v>93</v>
      </c>
      <c r="B75" s="38" t="s">
        <v>7844</v>
      </c>
      <c r="C75" s="38" t="s">
        <v>9312</v>
      </c>
      <c r="D75" s="38" t="s">
        <v>7917</v>
      </c>
      <c r="E75" s="38" t="s">
        <v>7851</v>
      </c>
      <c r="F75" s="37" t="s">
        <v>6920</v>
      </c>
      <c r="G75" s="37" t="s">
        <v>7937</v>
      </c>
      <c r="H75" s="39">
        <v>5.4010999999999996</v>
      </c>
      <c r="I75" s="39">
        <v>19</v>
      </c>
      <c r="J75" s="39">
        <v>39</v>
      </c>
      <c r="K75" s="39">
        <v>4.5008999999999997</v>
      </c>
      <c r="L75" s="38">
        <v>1</v>
      </c>
    </row>
    <row r="76" spans="1:12" x14ac:dyDescent="0.25">
      <c r="A76" s="37" t="s">
        <v>24</v>
      </c>
      <c r="B76" s="38" t="s">
        <v>7844</v>
      </c>
      <c r="C76" s="38" t="s">
        <v>9312</v>
      </c>
      <c r="D76" s="38" t="s">
        <v>7917</v>
      </c>
      <c r="E76" s="38" t="s">
        <v>7851</v>
      </c>
      <c r="F76" s="37" t="s">
        <v>6921</v>
      </c>
      <c r="G76" s="37" t="s">
        <v>7938</v>
      </c>
      <c r="H76" s="39">
        <v>3.2406000000000001</v>
      </c>
      <c r="I76" s="39">
        <v>9</v>
      </c>
      <c r="J76" s="39">
        <v>19</v>
      </c>
      <c r="K76" s="39">
        <v>2.7004999999999999</v>
      </c>
      <c r="L76" s="38">
        <v>1</v>
      </c>
    </row>
    <row r="77" spans="1:12" x14ac:dyDescent="0.25">
      <c r="A77" s="37" t="s">
        <v>83</v>
      </c>
      <c r="B77" s="40" t="s">
        <v>7845</v>
      </c>
      <c r="C77" s="38" t="s">
        <v>9309</v>
      </c>
      <c r="D77" s="38" t="s">
        <v>7901</v>
      </c>
      <c r="E77" s="38" t="s">
        <v>7922</v>
      </c>
      <c r="F77" s="37" t="s">
        <v>6922</v>
      </c>
      <c r="G77" s="37" t="s">
        <v>7939</v>
      </c>
      <c r="H77" s="39">
        <v>6.4813000000000001</v>
      </c>
      <c r="I77" s="39">
        <v>10</v>
      </c>
      <c r="J77" s="39">
        <v>20</v>
      </c>
      <c r="K77" s="39">
        <v>5.4010999999999996</v>
      </c>
      <c r="L77" s="38">
        <v>1</v>
      </c>
    </row>
    <row r="78" spans="1:12" x14ac:dyDescent="0.25">
      <c r="A78" s="37" t="s">
        <v>56</v>
      </c>
      <c r="B78" s="40" t="s">
        <v>7845</v>
      </c>
      <c r="C78" s="38" t="s">
        <v>9309</v>
      </c>
      <c r="D78" s="38" t="s">
        <v>7901</v>
      </c>
      <c r="E78" s="38" t="s">
        <v>7922</v>
      </c>
      <c r="F78" s="37" t="s">
        <v>6922</v>
      </c>
      <c r="G78" s="37" t="s">
        <v>7940</v>
      </c>
      <c r="H78" s="39">
        <v>6.4813000000000001</v>
      </c>
      <c r="I78" s="39">
        <v>18</v>
      </c>
      <c r="J78" s="39">
        <v>39</v>
      </c>
      <c r="K78" s="39">
        <v>5.4010999999999996</v>
      </c>
      <c r="L78" s="38">
        <v>1</v>
      </c>
    </row>
    <row r="79" spans="1:12" x14ac:dyDescent="0.25">
      <c r="A79" s="37" t="s">
        <v>68</v>
      </c>
      <c r="B79" s="38" t="s">
        <v>7844</v>
      </c>
      <c r="C79" s="38" t="s">
        <v>9312</v>
      </c>
      <c r="D79" s="38" t="s">
        <v>7917</v>
      </c>
      <c r="E79" s="38" t="s">
        <v>7857</v>
      </c>
      <c r="F79" s="37" t="s">
        <v>6923</v>
      </c>
      <c r="G79" s="37" t="s">
        <v>7941</v>
      </c>
      <c r="H79" s="39">
        <v>9.7218999999999998</v>
      </c>
      <c r="I79" s="39">
        <v>29</v>
      </c>
      <c r="J79" s="39">
        <v>60</v>
      </c>
      <c r="K79" s="39">
        <v>8.1015999999999995</v>
      </c>
      <c r="L79" s="38">
        <v>1</v>
      </c>
    </row>
    <row r="80" spans="1:12" x14ac:dyDescent="0.25">
      <c r="A80" s="37" t="s">
        <v>49</v>
      </c>
      <c r="B80" s="38" t="s">
        <v>7844</v>
      </c>
      <c r="C80" s="38" t="s">
        <v>9312</v>
      </c>
      <c r="D80" s="38" t="s">
        <v>7917</v>
      </c>
      <c r="E80" s="38" t="s">
        <v>7857</v>
      </c>
      <c r="F80" s="37" t="s">
        <v>6924</v>
      </c>
      <c r="G80" s="37" t="s">
        <v>7942</v>
      </c>
      <c r="H80" s="39">
        <v>6.6973000000000003</v>
      </c>
      <c r="I80" s="39">
        <v>19</v>
      </c>
      <c r="J80" s="39">
        <v>40</v>
      </c>
      <c r="K80" s="39">
        <v>5.5811000000000002</v>
      </c>
      <c r="L80" s="38">
        <v>1</v>
      </c>
    </row>
    <row r="81" spans="1:12" x14ac:dyDescent="0.25">
      <c r="A81" s="37" t="s">
        <v>6925</v>
      </c>
      <c r="B81" s="38" t="s">
        <v>7844</v>
      </c>
      <c r="C81" s="38" t="s">
        <v>9308</v>
      </c>
      <c r="D81" s="38" t="s">
        <v>7943</v>
      </c>
      <c r="E81" s="38" t="s">
        <v>7944</v>
      </c>
      <c r="F81" s="37" t="s">
        <v>6926</v>
      </c>
      <c r="G81" s="37" t="s">
        <v>7945</v>
      </c>
      <c r="H81" s="39">
        <v>3.4567000000000001</v>
      </c>
      <c r="I81" s="39">
        <v>6</v>
      </c>
      <c r="J81" s="39">
        <v>12</v>
      </c>
      <c r="K81" s="39">
        <v>2.8805999999999998</v>
      </c>
      <c r="L81" s="38">
        <v>1</v>
      </c>
    </row>
    <row r="82" spans="1:12" x14ac:dyDescent="0.25">
      <c r="A82" s="37" t="s">
        <v>51</v>
      </c>
      <c r="B82" s="38" t="s">
        <v>7844</v>
      </c>
      <c r="C82" s="38" t="s">
        <v>9312</v>
      </c>
      <c r="D82" s="38" t="s">
        <v>7917</v>
      </c>
      <c r="E82" s="38" t="s">
        <v>7946</v>
      </c>
      <c r="F82" s="37" t="s">
        <v>6927</v>
      </c>
      <c r="G82" s="37" t="s">
        <v>7947</v>
      </c>
      <c r="H82" s="39">
        <v>1.7282999999999999</v>
      </c>
      <c r="I82" s="39">
        <v>4</v>
      </c>
      <c r="J82" s="39">
        <v>9</v>
      </c>
      <c r="K82" s="39">
        <v>1.4402999999999999</v>
      </c>
      <c r="L82" s="38">
        <v>1</v>
      </c>
    </row>
    <row r="83" spans="1:12" x14ac:dyDescent="0.25">
      <c r="A83" s="37" t="s">
        <v>6928</v>
      </c>
      <c r="B83" s="38" t="s">
        <v>7844</v>
      </c>
      <c r="C83" s="38" t="s">
        <v>9312</v>
      </c>
      <c r="D83" s="38" t="s">
        <v>7917</v>
      </c>
      <c r="E83" s="38" t="s">
        <v>7946</v>
      </c>
      <c r="F83" s="37" t="s">
        <v>6929</v>
      </c>
      <c r="G83" s="37" t="s">
        <v>7948</v>
      </c>
      <c r="H83" s="39">
        <v>0.86419999999999997</v>
      </c>
      <c r="I83" s="39">
        <v>3</v>
      </c>
      <c r="J83" s="39">
        <v>7</v>
      </c>
      <c r="K83" s="39">
        <v>0.72009999999999996</v>
      </c>
      <c r="L83" s="38">
        <v>1</v>
      </c>
    </row>
    <row r="84" spans="1:12" x14ac:dyDescent="0.25">
      <c r="A84" s="37" t="s">
        <v>54</v>
      </c>
      <c r="B84" s="38" t="s">
        <v>7844</v>
      </c>
      <c r="C84" s="38" t="s">
        <v>9309</v>
      </c>
      <c r="D84" s="38" t="s">
        <v>7901</v>
      </c>
      <c r="E84" s="38" t="s">
        <v>7949</v>
      </c>
      <c r="F84" s="37" t="s">
        <v>6930</v>
      </c>
      <c r="G84" s="37" t="s">
        <v>7950</v>
      </c>
      <c r="H84" s="39">
        <v>2.7004999999999999</v>
      </c>
      <c r="I84" s="39">
        <v>5</v>
      </c>
      <c r="J84" s="39">
        <v>9</v>
      </c>
      <c r="K84" s="39">
        <v>2.2504</v>
      </c>
      <c r="L84" s="38">
        <v>1</v>
      </c>
    </row>
    <row r="85" spans="1:12" x14ac:dyDescent="0.25">
      <c r="A85" s="37" t="s">
        <v>55</v>
      </c>
      <c r="B85" s="38" t="s">
        <v>7844</v>
      </c>
      <c r="C85" s="38" t="s">
        <v>9309</v>
      </c>
      <c r="D85" s="38" t="s">
        <v>7901</v>
      </c>
      <c r="E85" s="38" t="s">
        <v>7949</v>
      </c>
      <c r="F85" s="37" t="s">
        <v>6931</v>
      </c>
      <c r="G85" s="37" t="s">
        <v>7951</v>
      </c>
      <c r="H85" s="39">
        <v>4.3208000000000002</v>
      </c>
      <c r="I85" s="39">
        <v>8</v>
      </c>
      <c r="J85" s="39">
        <v>15</v>
      </c>
      <c r="K85" s="39">
        <v>3.6006999999999998</v>
      </c>
      <c r="L85" s="38">
        <v>1</v>
      </c>
    </row>
    <row r="86" spans="1:12" x14ac:dyDescent="0.25">
      <c r="A86" s="37" t="s">
        <v>6932</v>
      </c>
      <c r="B86" s="38" t="s">
        <v>7844</v>
      </c>
      <c r="C86" s="38" t="s">
        <v>9312</v>
      </c>
      <c r="D86" s="38" t="s">
        <v>7917</v>
      </c>
      <c r="E86" s="38" t="s">
        <v>7952</v>
      </c>
      <c r="F86" s="37" t="s">
        <v>6933</v>
      </c>
      <c r="G86" s="37" t="s">
        <v>7953</v>
      </c>
      <c r="H86" s="39">
        <v>14.746</v>
      </c>
      <c r="I86" s="39">
        <v>44</v>
      </c>
      <c r="J86" s="39">
        <v>98</v>
      </c>
      <c r="K86" s="39">
        <v>10.873799999999999</v>
      </c>
      <c r="L86" s="38">
        <v>1</v>
      </c>
    </row>
    <row r="87" spans="1:12" x14ac:dyDescent="0.25">
      <c r="A87" s="37" t="s">
        <v>31</v>
      </c>
      <c r="B87" s="40" t="s">
        <v>7845</v>
      </c>
      <c r="C87" s="38" t="s">
        <v>7865</v>
      </c>
      <c r="D87" s="40" t="s">
        <v>9316</v>
      </c>
      <c r="E87" s="38" t="s">
        <v>7954</v>
      </c>
      <c r="F87" s="37" t="s">
        <v>6934</v>
      </c>
      <c r="G87" s="37" t="s">
        <v>7955</v>
      </c>
      <c r="H87" s="39">
        <v>3.62</v>
      </c>
      <c r="I87" s="39">
        <v>9</v>
      </c>
      <c r="J87" s="39">
        <v>25</v>
      </c>
      <c r="K87" s="39">
        <v>2.89</v>
      </c>
      <c r="L87" s="38">
        <v>2</v>
      </c>
    </row>
    <row r="88" spans="1:12" x14ac:dyDescent="0.25">
      <c r="A88" s="37" t="s">
        <v>6935</v>
      </c>
      <c r="B88" s="40" t="s">
        <v>7845</v>
      </c>
      <c r="C88" s="38" t="s">
        <v>7865</v>
      </c>
      <c r="D88" s="40" t="s">
        <v>9316</v>
      </c>
      <c r="E88" s="38" t="s">
        <v>7954</v>
      </c>
      <c r="F88" s="37" t="s">
        <v>6936</v>
      </c>
      <c r="G88" s="37" t="s">
        <v>7955</v>
      </c>
      <c r="H88" s="39">
        <v>3.62</v>
      </c>
      <c r="I88" s="39">
        <v>9</v>
      </c>
      <c r="J88" s="39">
        <v>25</v>
      </c>
      <c r="K88" s="39">
        <v>2.89</v>
      </c>
      <c r="L88" s="38">
        <v>2</v>
      </c>
    </row>
    <row r="89" spans="1:12" x14ac:dyDescent="0.25">
      <c r="A89" s="37" t="s">
        <v>58</v>
      </c>
      <c r="B89" s="40" t="s">
        <v>7845</v>
      </c>
      <c r="C89" s="38" t="s">
        <v>7865</v>
      </c>
      <c r="D89" s="40" t="s">
        <v>9316</v>
      </c>
      <c r="E89" s="38" t="s">
        <v>7956</v>
      </c>
      <c r="F89" s="37" t="s">
        <v>6937</v>
      </c>
      <c r="G89" s="37" t="s">
        <v>7957</v>
      </c>
      <c r="H89" s="39">
        <v>3.75</v>
      </c>
      <c r="I89" s="39">
        <v>9</v>
      </c>
      <c r="J89" s="39">
        <v>25</v>
      </c>
      <c r="K89" s="39">
        <v>3</v>
      </c>
      <c r="L89" s="38">
        <v>2</v>
      </c>
    </row>
    <row r="90" spans="1:12" x14ac:dyDescent="0.25">
      <c r="A90" s="37" t="s">
        <v>6938</v>
      </c>
      <c r="B90" s="40" t="s">
        <v>7845</v>
      </c>
      <c r="C90" s="38" t="s">
        <v>7865</v>
      </c>
      <c r="D90" s="40" t="s">
        <v>9316</v>
      </c>
      <c r="E90" s="38" t="s">
        <v>7956</v>
      </c>
      <c r="F90" s="37" t="s">
        <v>6939</v>
      </c>
      <c r="G90" s="37" t="s">
        <v>7958</v>
      </c>
      <c r="H90" s="39">
        <v>3.88</v>
      </c>
      <c r="I90" s="39">
        <v>9</v>
      </c>
      <c r="J90" s="39">
        <v>25</v>
      </c>
      <c r="K90" s="39">
        <v>3.1</v>
      </c>
      <c r="L90" s="38">
        <v>2</v>
      </c>
    </row>
    <row r="91" spans="1:12" x14ac:dyDescent="0.25">
      <c r="A91" s="37" t="s">
        <v>59</v>
      </c>
      <c r="B91" s="40" t="s">
        <v>7845</v>
      </c>
      <c r="C91" s="38" t="s">
        <v>7865</v>
      </c>
      <c r="D91" s="40" t="s">
        <v>9316</v>
      </c>
      <c r="E91" s="38" t="s">
        <v>7956</v>
      </c>
      <c r="F91" s="37" t="s">
        <v>6940</v>
      </c>
      <c r="G91" s="37" t="s">
        <v>7959</v>
      </c>
      <c r="H91" s="39">
        <v>3.75</v>
      </c>
      <c r="I91" s="39">
        <v>9</v>
      </c>
      <c r="J91" s="39">
        <v>25</v>
      </c>
      <c r="K91" s="39">
        <v>3</v>
      </c>
      <c r="L91" s="38">
        <v>2</v>
      </c>
    </row>
    <row r="92" spans="1:12" x14ac:dyDescent="0.25">
      <c r="A92" s="37" t="s">
        <v>6941</v>
      </c>
      <c r="B92" s="38" t="s">
        <v>7844</v>
      </c>
      <c r="C92" s="38" t="s">
        <v>9312</v>
      </c>
      <c r="D92" s="38" t="s">
        <v>7917</v>
      </c>
      <c r="E92" s="38" t="s">
        <v>7857</v>
      </c>
      <c r="F92" s="37" t="s">
        <v>6942</v>
      </c>
      <c r="G92" s="37" t="s">
        <v>7960</v>
      </c>
      <c r="H92" s="39">
        <v>5.0865</v>
      </c>
      <c r="I92" s="39">
        <v>24</v>
      </c>
      <c r="J92" s="39">
        <v>55</v>
      </c>
      <c r="K92" s="39">
        <v>4.1692999999999998</v>
      </c>
      <c r="L92" s="38">
        <v>1</v>
      </c>
    </row>
    <row r="93" spans="1:12" x14ac:dyDescent="0.25">
      <c r="A93" s="37" t="s">
        <v>80</v>
      </c>
      <c r="B93" s="38" t="s">
        <v>7844</v>
      </c>
      <c r="C93" s="38" t="s">
        <v>7865</v>
      </c>
      <c r="D93" s="38" t="s">
        <v>7881</v>
      </c>
      <c r="E93" s="38" t="s">
        <v>7851</v>
      </c>
      <c r="F93" s="37" t="s">
        <v>6943</v>
      </c>
      <c r="G93" s="37" t="s">
        <v>7961</v>
      </c>
      <c r="H93" s="39">
        <v>11.396699999999999</v>
      </c>
      <c r="I93" s="39">
        <v>29</v>
      </c>
      <c r="J93" s="39">
        <v>65</v>
      </c>
      <c r="K93" s="39">
        <v>9.3414999999999999</v>
      </c>
      <c r="L93" s="38">
        <v>1</v>
      </c>
    </row>
    <row r="94" spans="1:12" x14ac:dyDescent="0.25">
      <c r="A94" s="37" t="s">
        <v>6944</v>
      </c>
      <c r="B94" s="38" t="s">
        <v>7844</v>
      </c>
      <c r="C94" s="38" t="s">
        <v>9311</v>
      </c>
      <c r="D94" s="38" t="s">
        <v>7962</v>
      </c>
      <c r="E94" s="38" t="s">
        <v>7857</v>
      </c>
      <c r="F94" s="37" t="s">
        <v>6945</v>
      </c>
      <c r="G94" s="37" t="s">
        <v>7963</v>
      </c>
      <c r="H94" s="39">
        <v>86.417000000000002</v>
      </c>
      <c r="I94" s="39">
        <v>450</v>
      </c>
      <c r="J94" s="39">
        <v>990</v>
      </c>
      <c r="K94" s="39">
        <v>72.014099999999999</v>
      </c>
      <c r="L94" s="38">
        <v>1</v>
      </c>
    </row>
    <row r="95" spans="1:12" x14ac:dyDescent="0.25">
      <c r="A95" s="37" t="s">
        <v>28</v>
      </c>
      <c r="B95" s="38" t="s">
        <v>7844</v>
      </c>
      <c r="C95" s="38" t="s">
        <v>9308</v>
      </c>
      <c r="D95" s="38" t="s">
        <v>7964</v>
      </c>
      <c r="E95" s="38" t="s">
        <v>7857</v>
      </c>
      <c r="F95" s="37" t="s">
        <v>6946</v>
      </c>
      <c r="G95" s="37" t="s">
        <v>7965</v>
      </c>
      <c r="H95" s="39">
        <v>3.4782999999999999</v>
      </c>
      <c r="I95" s="39">
        <v>12</v>
      </c>
      <c r="J95" s="39">
        <v>29</v>
      </c>
      <c r="K95" s="39">
        <v>2.8986000000000001</v>
      </c>
      <c r="L95" s="38">
        <v>1</v>
      </c>
    </row>
    <row r="96" spans="1:12" x14ac:dyDescent="0.25">
      <c r="A96" s="37" t="s">
        <v>6947</v>
      </c>
      <c r="B96" s="38" t="s">
        <v>7844</v>
      </c>
      <c r="C96" s="38" t="s">
        <v>9311</v>
      </c>
      <c r="D96" s="38" t="s">
        <v>7962</v>
      </c>
      <c r="E96" s="38" t="s">
        <v>7857</v>
      </c>
      <c r="F96" s="37" t="s">
        <v>6948</v>
      </c>
      <c r="G96" s="37" t="s">
        <v>7966</v>
      </c>
      <c r="H96" s="39">
        <v>146.90889999999999</v>
      </c>
      <c r="I96" s="39">
        <v>543</v>
      </c>
      <c r="J96" s="39">
        <v>1195</v>
      </c>
      <c r="K96" s="39">
        <v>122.42400000000001</v>
      </c>
      <c r="L96" s="38">
        <v>1</v>
      </c>
    </row>
    <row r="97" spans="1:12" x14ac:dyDescent="0.25">
      <c r="A97" s="37" t="s">
        <v>6949</v>
      </c>
      <c r="B97" s="38" t="s">
        <v>7844</v>
      </c>
      <c r="C97" s="38" t="s">
        <v>9311</v>
      </c>
      <c r="D97" s="38" t="s">
        <v>7967</v>
      </c>
      <c r="E97" s="38" t="s">
        <v>7857</v>
      </c>
      <c r="F97" s="37" t="s">
        <v>6950</v>
      </c>
      <c r="G97" s="37" t="s">
        <v>7968</v>
      </c>
      <c r="H97" s="39">
        <v>174.06440000000001</v>
      </c>
      <c r="I97" s="39">
        <v>485</v>
      </c>
      <c r="J97" s="39">
        <v>1050</v>
      </c>
      <c r="K97" s="39">
        <v>139.25149999999999</v>
      </c>
      <c r="L97" s="38">
        <v>1</v>
      </c>
    </row>
    <row r="98" spans="1:12" x14ac:dyDescent="0.25">
      <c r="A98" s="37" t="s">
        <v>6951</v>
      </c>
      <c r="B98" s="38" t="s">
        <v>7844</v>
      </c>
      <c r="C98" s="38" t="s">
        <v>9312</v>
      </c>
      <c r="D98" s="38" t="s">
        <v>7917</v>
      </c>
      <c r="E98" s="38" t="s">
        <v>7946</v>
      </c>
      <c r="F98" s="37" t="s">
        <v>6952</v>
      </c>
      <c r="G98" s="37" t="s">
        <v>7969</v>
      </c>
      <c r="H98" s="39">
        <v>239.33860000000001</v>
      </c>
      <c r="I98" s="39">
        <v>550</v>
      </c>
      <c r="J98" s="39">
        <v>1200</v>
      </c>
      <c r="K98" s="39">
        <v>191.4708</v>
      </c>
      <c r="L98" s="38">
        <v>1</v>
      </c>
    </row>
    <row r="99" spans="1:12" x14ac:dyDescent="0.25">
      <c r="A99" s="37" t="s">
        <v>6953</v>
      </c>
      <c r="B99" s="38" t="s">
        <v>7844</v>
      </c>
      <c r="C99" s="38" t="s">
        <v>9312</v>
      </c>
      <c r="D99" s="38" t="s">
        <v>7917</v>
      </c>
      <c r="E99" s="38" t="s">
        <v>7946</v>
      </c>
      <c r="F99" s="37" t="s">
        <v>6952</v>
      </c>
      <c r="G99" s="37" t="s">
        <v>7970</v>
      </c>
      <c r="H99" s="39">
        <v>217.5805</v>
      </c>
      <c r="I99" s="39">
        <v>500</v>
      </c>
      <c r="J99" s="39">
        <v>1200</v>
      </c>
      <c r="K99" s="39">
        <v>174.06440000000001</v>
      </c>
      <c r="L99" s="38">
        <v>1</v>
      </c>
    </row>
    <row r="100" spans="1:12" x14ac:dyDescent="0.25">
      <c r="A100" s="37" t="s">
        <v>6954</v>
      </c>
      <c r="B100" s="40" t="s">
        <v>7845</v>
      </c>
      <c r="C100" s="38" t="s">
        <v>9312</v>
      </c>
      <c r="D100" s="38" t="s">
        <v>7917</v>
      </c>
      <c r="E100" s="38" t="s">
        <v>7893</v>
      </c>
      <c r="F100" s="37" t="s">
        <v>6955</v>
      </c>
      <c r="G100" s="37" t="s">
        <v>7921</v>
      </c>
      <c r="H100" s="39">
        <v>25.9251</v>
      </c>
      <c r="I100" s="39">
        <v>70</v>
      </c>
      <c r="J100" s="39">
        <v>90</v>
      </c>
      <c r="K100" s="39">
        <v>21.604199999999999</v>
      </c>
      <c r="L100" s="38">
        <v>1</v>
      </c>
    </row>
    <row r="101" spans="1:12" x14ac:dyDescent="0.25">
      <c r="A101" s="37" t="s">
        <v>6956</v>
      </c>
      <c r="B101" s="38" t="s">
        <v>7844</v>
      </c>
      <c r="C101" s="38" t="s">
        <v>9312</v>
      </c>
      <c r="D101" s="38" t="s">
        <v>7917</v>
      </c>
      <c r="E101" s="38" t="s">
        <v>7857</v>
      </c>
      <c r="F101" s="37" t="s">
        <v>6957</v>
      </c>
      <c r="G101" s="37" t="s">
        <v>7921</v>
      </c>
      <c r="H101" s="39">
        <v>292.76139999999998</v>
      </c>
      <c r="I101" s="39">
        <v>600</v>
      </c>
      <c r="J101" s="39">
        <v>1200</v>
      </c>
      <c r="K101" s="39">
        <v>225.2011</v>
      </c>
      <c r="L101" s="38">
        <v>1</v>
      </c>
    </row>
    <row r="102" spans="1:12" x14ac:dyDescent="0.25">
      <c r="A102" s="37" t="s">
        <v>60</v>
      </c>
      <c r="B102" s="38" t="s">
        <v>7844</v>
      </c>
      <c r="C102" s="38" t="s">
        <v>9308</v>
      </c>
      <c r="D102" s="38" t="s">
        <v>7915</v>
      </c>
      <c r="E102" s="38" t="s">
        <v>7851</v>
      </c>
      <c r="F102" s="37" t="s">
        <v>6958</v>
      </c>
      <c r="G102" s="37" t="s">
        <v>7971</v>
      </c>
      <c r="H102" s="39">
        <v>1.2402</v>
      </c>
      <c r="I102" s="39">
        <v>2.9</v>
      </c>
      <c r="J102" s="39">
        <v>6</v>
      </c>
      <c r="K102" s="39">
        <v>0.99219999999999997</v>
      </c>
      <c r="L102" s="38">
        <v>1</v>
      </c>
    </row>
    <row r="103" spans="1:12" x14ac:dyDescent="0.25">
      <c r="A103" s="37" t="s">
        <v>66</v>
      </c>
      <c r="B103" s="38" t="s">
        <v>7844</v>
      </c>
      <c r="C103" s="38" t="s">
        <v>9308</v>
      </c>
      <c r="D103" s="38" t="s">
        <v>7924</v>
      </c>
      <c r="E103" s="38" t="s">
        <v>7851</v>
      </c>
      <c r="F103" s="37" t="s">
        <v>6959</v>
      </c>
      <c r="G103" s="37" t="s">
        <v>7972</v>
      </c>
      <c r="H103" s="39">
        <v>0.50039999999999996</v>
      </c>
      <c r="I103" s="39">
        <v>1.2</v>
      </c>
      <c r="J103" s="39">
        <v>3</v>
      </c>
      <c r="K103" s="39">
        <v>0.40029999999999999</v>
      </c>
      <c r="L103" s="38">
        <v>1</v>
      </c>
    </row>
    <row r="104" spans="1:12" x14ac:dyDescent="0.25">
      <c r="A104" s="37" t="s">
        <v>67</v>
      </c>
      <c r="B104" s="38" t="s">
        <v>7844</v>
      </c>
      <c r="C104" s="38" t="s">
        <v>9308</v>
      </c>
      <c r="D104" s="38" t="s">
        <v>7924</v>
      </c>
      <c r="E104" s="38" t="s">
        <v>7851</v>
      </c>
      <c r="F104" s="37" t="s">
        <v>6960</v>
      </c>
      <c r="G104" s="37" t="s">
        <v>7972</v>
      </c>
      <c r="H104" s="39">
        <v>0.50039999999999996</v>
      </c>
      <c r="I104" s="39">
        <v>1.2</v>
      </c>
      <c r="J104" s="39">
        <v>3</v>
      </c>
      <c r="K104" s="39">
        <v>0.40029999999999999</v>
      </c>
      <c r="L104" s="38">
        <v>1</v>
      </c>
    </row>
    <row r="105" spans="1:12" x14ac:dyDescent="0.25">
      <c r="A105" s="37" t="s">
        <v>79</v>
      </c>
      <c r="B105" s="38" t="s">
        <v>7844</v>
      </c>
      <c r="C105" s="38" t="s">
        <v>9308</v>
      </c>
      <c r="D105" s="38" t="s">
        <v>7931</v>
      </c>
      <c r="E105" s="38" t="s">
        <v>7973</v>
      </c>
      <c r="F105" s="37" t="s">
        <v>6961</v>
      </c>
      <c r="G105" s="37" t="s">
        <v>7974</v>
      </c>
      <c r="H105" s="39">
        <v>7.6730999999999998</v>
      </c>
      <c r="I105" s="39">
        <v>18</v>
      </c>
      <c r="J105" s="39">
        <v>39</v>
      </c>
      <c r="K105" s="39">
        <v>5.7691999999999997</v>
      </c>
      <c r="L105" s="38">
        <v>2</v>
      </c>
    </row>
    <row r="106" spans="1:12" x14ac:dyDescent="0.25">
      <c r="A106" s="37" t="s">
        <v>84</v>
      </c>
      <c r="B106" s="38" t="s">
        <v>7844</v>
      </c>
      <c r="C106" s="38" t="s">
        <v>9308</v>
      </c>
      <c r="D106" s="38" t="s">
        <v>7931</v>
      </c>
      <c r="E106" s="38" t="s">
        <v>7973</v>
      </c>
      <c r="F106" s="37" t="s">
        <v>6962</v>
      </c>
      <c r="G106" s="37" t="s">
        <v>7975</v>
      </c>
      <c r="H106" s="39">
        <v>2.1758000000000002</v>
      </c>
      <c r="I106" s="39">
        <v>8</v>
      </c>
      <c r="J106" s="39">
        <v>18</v>
      </c>
      <c r="K106" s="39">
        <v>1.7405999999999999</v>
      </c>
      <c r="L106" s="38">
        <v>1</v>
      </c>
    </row>
    <row r="107" spans="1:12" x14ac:dyDescent="0.25">
      <c r="A107" s="37" t="s">
        <v>73</v>
      </c>
      <c r="B107" s="38" t="s">
        <v>7844</v>
      </c>
      <c r="C107" s="38" t="s">
        <v>9308</v>
      </c>
      <c r="D107" s="38" t="s">
        <v>7931</v>
      </c>
      <c r="E107" s="38" t="s">
        <v>7973</v>
      </c>
      <c r="F107" s="37" t="s">
        <v>6963</v>
      </c>
      <c r="G107" s="37" t="s">
        <v>7975</v>
      </c>
      <c r="H107" s="39">
        <v>4.3516000000000004</v>
      </c>
      <c r="I107" s="39">
        <v>14</v>
      </c>
      <c r="J107" s="39">
        <v>29</v>
      </c>
      <c r="K107" s="39">
        <v>3.4813000000000001</v>
      </c>
      <c r="L107" s="38">
        <v>1</v>
      </c>
    </row>
    <row r="108" spans="1:12" x14ac:dyDescent="0.25">
      <c r="A108" s="37" t="s">
        <v>85</v>
      </c>
      <c r="B108" s="38" t="s">
        <v>7844</v>
      </c>
      <c r="C108" s="38" t="s">
        <v>9308</v>
      </c>
      <c r="D108" s="38" t="s">
        <v>7895</v>
      </c>
      <c r="E108" s="38" t="s">
        <v>7973</v>
      </c>
      <c r="F108" s="37" t="s">
        <v>6964</v>
      </c>
      <c r="G108" s="37" t="s">
        <v>7976</v>
      </c>
      <c r="H108" s="39">
        <v>2.1758000000000002</v>
      </c>
      <c r="I108" s="39">
        <v>12</v>
      </c>
      <c r="J108" s="39">
        <v>26</v>
      </c>
      <c r="K108" s="39">
        <v>1.7405999999999999</v>
      </c>
      <c r="L108" s="38">
        <v>1</v>
      </c>
    </row>
    <row r="109" spans="1:12" x14ac:dyDescent="0.25">
      <c r="A109" s="37" t="s">
        <v>86</v>
      </c>
      <c r="B109" s="38" t="s">
        <v>7844</v>
      </c>
      <c r="C109" s="38" t="s">
        <v>9308</v>
      </c>
      <c r="D109" s="38" t="s">
        <v>7895</v>
      </c>
      <c r="E109" s="38" t="s">
        <v>7973</v>
      </c>
      <c r="F109" s="37" t="s">
        <v>6965</v>
      </c>
      <c r="G109" s="37" t="s">
        <v>7977</v>
      </c>
      <c r="H109" s="39">
        <v>2.1758000000000002</v>
      </c>
      <c r="I109" s="39">
        <v>12</v>
      </c>
      <c r="J109" s="39">
        <v>26</v>
      </c>
      <c r="K109" s="39">
        <v>1.7405999999999999</v>
      </c>
      <c r="L109" s="38">
        <v>1</v>
      </c>
    </row>
    <row r="110" spans="1:12" x14ac:dyDescent="0.25">
      <c r="A110" s="37" t="s">
        <v>6966</v>
      </c>
      <c r="B110" s="40" t="s">
        <v>7845</v>
      </c>
      <c r="C110" s="38" t="s">
        <v>9310</v>
      </c>
      <c r="D110" s="38" t="s">
        <v>7873</v>
      </c>
      <c r="E110" s="38" t="s">
        <v>7866</v>
      </c>
      <c r="F110" s="37" t="s">
        <v>6967</v>
      </c>
      <c r="G110" s="37" t="s">
        <v>7978</v>
      </c>
      <c r="H110" s="39">
        <v>0.77480000000000004</v>
      </c>
      <c r="I110" s="39">
        <v>2.5</v>
      </c>
      <c r="J110" s="39">
        <v>7</v>
      </c>
      <c r="K110" s="39">
        <v>0.59599999999999997</v>
      </c>
      <c r="L110" s="38">
        <v>1</v>
      </c>
    </row>
    <row r="111" spans="1:12" x14ac:dyDescent="0.25">
      <c r="A111" s="37" t="s">
        <v>42</v>
      </c>
      <c r="B111" s="38" t="s">
        <v>7844</v>
      </c>
      <c r="C111" s="38" t="s">
        <v>9308</v>
      </c>
      <c r="D111" s="38" t="s">
        <v>7892</v>
      </c>
      <c r="E111" s="38" t="s">
        <v>7973</v>
      </c>
      <c r="F111" s="37" t="s">
        <v>6968</v>
      </c>
      <c r="G111" s="37" t="s">
        <v>7979</v>
      </c>
      <c r="H111" s="39">
        <v>1.9581999999999999</v>
      </c>
      <c r="I111" s="39">
        <v>4</v>
      </c>
      <c r="J111" s="39">
        <v>9</v>
      </c>
      <c r="K111" s="39">
        <v>1.5666</v>
      </c>
      <c r="L111" s="38">
        <v>1</v>
      </c>
    </row>
    <row r="112" spans="1:12" x14ac:dyDescent="0.25">
      <c r="A112" s="37" t="s">
        <v>6969</v>
      </c>
      <c r="B112" s="38" t="s">
        <v>7844</v>
      </c>
      <c r="C112" s="38" t="s">
        <v>9309</v>
      </c>
      <c r="D112" s="38" t="s">
        <v>7908</v>
      </c>
      <c r="E112" s="38" t="s">
        <v>7854</v>
      </c>
      <c r="F112" s="37" t="s">
        <v>6970</v>
      </c>
      <c r="G112" s="37" t="s">
        <v>7980</v>
      </c>
      <c r="H112" s="39">
        <v>9.0388999999999999</v>
      </c>
      <c r="I112" s="39">
        <v>15</v>
      </c>
      <c r="J112" s="39">
        <v>30</v>
      </c>
      <c r="K112" s="39">
        <v>6.8627000000000002</v>
      </c>
      <c r="L112" s="38">
        <v>1</v>
      </c>
    </row>
    <row r="113" spans="1:12" x14ac:dyDescent="0.25">
      <c r="A113" s="37" t="s">
        <v>6971</v>
      </c>
      <c r="B113" s="38" t="s">
        <v>7844</v>
      </c>
      <c r="C113" s="38" t="s">
        <v>9308</v>
      </c>
      <c r="D113" s="38" t="s">
        <v>7943</v>
      </c>
      <c r="E113" s="38" t="s">
        <v>7854</v>
      </c>
      <c r="F113" s="37" t="s">
        <v>6972</v>
      </c>
      <c r="G113" s="37" t="s">
        <v>7981</v>
      </c>
      <c r="H113" s="39">
        <v>9.0388999999999999</v>
      </c>
      <c r="I113" s="39">
        <v>20</v>
      </c>
      <c r="J113" s="39">
        <v>30</v>
      </c>
      <c r="K113" s="39">
        <v>6.8627000000000002</v>
      </c>
      <c r="L113" s="38">
        <v>1</v>
      </c>
    </row>
    <row r="114" spans="1:12" x14ac:dyDescent="0.25">
      <c r="A114" s="37" t="s">
        <v>6973</v>
      </c>
      <c r="B114" s="38" t="s">
        <v>7844</v>
      </c>
      <c r="C114" s="38" t="s">
        <v>7865</v>
      </c>
      <c r="D114" s="38" t="s">
        <v>7881</v>
      </c>
      <c r="E114" s="38" t="s">
        <v>7982</v>
      </c>
      <c r="F114" s="37" t="s">
        <v>6974</v>
      </c>
      <c r="G114" s="37" t="s">
        <v>7983</v>
      </c>
      <c r="H114" s="39">
        <v>14.1198</v>
      </c>
      <c r="I114" s="39">
        <v>32</v>
      </c>
      <c r="J114" s="39">
        <v>76</v>
      </c>
      <c r="K114" s="39">
        <v>10.7784</v>
      </c>
      <c r="L114" s="38">
        <v>1</v>
      </c>
    </row>
    <row r="115" spans="1:12" x14ac:dyDescent="0.25">
      <c r="A115" s="37" t="s">
        <v>81</v>
      </c>
      <c r="B115" s="38" t="s">
        <v>7844</v>
      </c>
      <c r="C115" s="38" t="s">
        <v>9309</v>
      </c>
      <c r="D115" s="38" t="s">
        <v>7908</v>
      </c>
      <c r="E115" s="38" t="s">
        <v>7973</v>
      </c>
      <c r="F115" s="37" t="s">
        <v>6975</v>
      </c>
      <c r="G115" s="37" t="s">
        <v>7984</v>
      </c>
      <c r="H115" s="39">
        <v>16.851900000000001</v>
      </c>
      <c r="I115" s="39">
        <v>30</v>
      </c>
      <c r="J115" s="39">
        <v>50</v>
      </c>
      <c r="K115" s="39">
        <v>12.962999999999999</v>
      </c>
      <c r="L115" s="38">
        <v>1</v>
      </c>
    </row>
    <row r="116" spans="1:12" x14ac:dyDescent="0.25">
      <c r="A116" s="37" t="s">
        <v>114</v>
      </c>
      <c r="B116" s="38" t="s">
        <v>7844</v>
      </c>
      <c r="C116" s="38" t="s">
        <v>9309</v>
      </c>
      <c r="D116" s="38" t="s">
        <v>7908</v>
      </c>
      <c r="E116" s="38" t="s">
        <v>7857</v>
      </c>
      <c r="F116" s="37" t="s">
        <v>6976</v>
      </c>
      <c r="G116" s="37" t="s">
        <v>7985</v>
      </c>
      <c r="H116" s="39">
        <v>9.6295999999999999</v>
      </c>
      <c r="I116" s="39">
        <v>30</v>
      </c>
      <c r="J116" s="39">
        <v>79</v>
      </c>
      <c r="K116" s="39">
        <v>7.4074</v>
      </c>
      <c r="L116" s="38">
        <v>1</v>
      </c>
    </row>
    <row r="117" spans="1:12" x14ac:dyDescent="0.25">
      <c r="A117" s="37" t="s">
        <v>6977</v>
      </c>
      <c r="B117" s="38" t="s">
        <v>7844</v>
      </c>
      <c r="C117" s="38" t="s">
        <v>7865</v>
      </c>
      <c r="D117" s="40" t="s">
        <v>9314</v>
      </c>
      <c r="E117" s="38" t="s">
        <v>7973</v>
      </c>
      <c r="F117" s="37" t="s">
        <v>6978</v>
      </c>
      <c r="G117" s="37" t="s">
        <v>7986</v>
      </c>
      <c r="H117" s="39">
        <v>9.61</v>
      </c>
      <c r="I117" s="39">
        <v>24</v>
      </c>
      <c r="J117" s="39">
        <v>55</v>
      </c>
      <c r="K117" s="39">
        <v>6.86</v>
      </c>
      <c r="L117" s="38">
        <v>1</v>
      </c>
    </row>
    <row r="118" spans="1:12" x14ac:dyDescent="0.25">
      <c r="A118" s="37" t="s">
        <v>6979</v>
      </c>
      <c r="B118" s="38" t="s">
        <v>7844</v>
      </c>
      <c r="C118" s="38" t="s">
        <v>7865</v>
      </c>
      <c r="D118" s="40" t="s">
        <v>9314</v>
      </c>
      <c r="E118" s="38" t="s">
        <v>7973</v>
      </c>
      <c r="F118" s="37" t="s">
        <v>6978</v>
      </c>
      <c r="G118" s="37" t="s">
        <v>7987</v>
      </c>
      <c r="H118" s="39">
        <v>5.49</v>
      </c>
      <c r="I118" s="39">
        <v>18</v>
      </c>
      <c r="J118" s="39">
        <v>40</v>
      </c>
      <c r="K118" s="39">
        <v>3.92</v>
      </c>
      <c r="L118" s="38">
        <v>1</v>
      </c>
    </row>
    <row r="119" spans="1:12" x14ac:dyDescent="0.25">
      <c r="A119" s="37" t="s">
        <v>6980</v>
      </c>
      <c r="B119" s="38" t="s">
        <v>7844</v>
      </c>
      <c r="C119" s="38" t="s">
        <v>9312</v>
      </c>
      <c r="D119" s="38" t="s">
        <v>7917</v>
      </c>
      <c r="E119" s="38" t="s">
        <v>7857</v>
      </c>
      <c r="F119" s="37" t="s">
        <v>6981</v>
      </c>
      <c r="G119" s="37" t="s">
        <v>7921</v>
      </c>
      <c r="H119" s="39">
        <v>6.6204000000000001</v>
      </c>
      <c r="I119" s="39">
        <v>20</v>
      </c>
      <c r="J119" s="39">
        <v>45</v>
      </c>
      <c r="K119" s="39">
        <v>5.0926</v>
      </c>
      <c r="L119" s="38">
        <v>1</v>
      </c>
    </row>
    <row r="120" spans="1:12" x14ac:dyDescent="0.25">
      <c r="A120" s="37" t="s">
        <v>110</v>
      </c>
      <c r="B120" s="38" t="s">
        <v>7844</v>
      </c>
      <c r="C120" s="38" t="s">
        <v>9312</v>
      </c>
      <c r="D120" s="38" t="s">
        <v>7917</v>
      </c>
      <c r="E120" s="38" t="s">
        <v>7857</v>
      </c>
      <c r="F120" s="37" t="s">
        <v>6982</v>
      </c>
      <c r="G120" s="37" t="s">
        <v>7921</v>
      </c>
      <c r="H120" s="39">
        <v>3.6111</v>
      </c>
      <c r="I120" s="39">
        <v>12</v>
      </c>
      <c r="J120" s="39">
        <v>29</v>
      </c>
      <c r="K120" s="39">
        <v>2.7778</v>
      </c>
      <c r="L120" s="38">
        <v>1</v>
      </c>
    </row>
    <row r="121" spans="1:12" x14ac:dyDescent="0.25">
      <c r="A121" s="37" t="s">
        <v>109</v>
      </c>
      <c r="B121" s="38" t="s">
        <v>7844</v>
      </c>
      <c r="C121" s="38" t="s">
        <v>9308</v>
      </c>
      <c r="D121" s="38" t="s">
        <v>7892</v>
      </c>
      <c r="E121" s="38" t="s">
        <v>7857</v>
      </c>
      <c r="F121" s="37" t="s">
        <v>6983</v>
      </c>
      <c r="G121" s="37" t="s">
        <v>7988</v>
      </c>
      <c r="H121" s="39">
        <v>1.2037</v>
      </c>
      <c r="I121" s="39">
        <v>3</v>
      </c>
      <c r="J121" s="39">
        <v>9</v>
      </c>
      <c r="K121" s="39">
        <v>0.92589999999999995</v>
      </c>
      <c r="L121" s="38">
        <v>1</v>
      </c>
    </row>
    <row r="122" spans="1:12" x14ac:dyDescent="0.25">
      <c r="A122" s="37" t="s">
        <v>82</v>
      </c>
      <c r="B122" s="38" t="s">
        <v>7844</v>
      </c>
      <c r="C122" s="38" t="s">
        <v>9308</v>
      </c>
      <c r="D122" s="38" t="s">
        <v>7915</v>
      </c>
      <c r="E122" s="38" t="s">
        <v>7857</v>
      </c>
      <c r="F122" s="37" t="s">
        <v>6984</v>
      </c>
      <c r="G122" s="37" t="s">
        <v>7989</v>
      </c>
      <c r="H122" s="39">
        <v>5.2962999999999996</v>
      </c>
      <c r="I122" s="39">
        <v>12</v>
      </c>
      <c r="J122" s="39">
        <v>26</v>
      </c>
      <c r="K122" s="39">
        <v>4.0740999999999996</v>
      </c>
      <c r="L122" s="38">
        <v>1</v>
      </c>
    </row>
    <row r="123" spans="1:12" x14ac:dyDescent="0.25">
      <c r="A123" s="37" t="s">
        <v>48</v>
      </c>
      <c r="B123" s="38" t="s">
        <v>7844</v>
      </c>
      <c r="C123" s="38" t="s">
        <v>9308</v>
      </c>
      <c r="D123" s="38" t="s">
        <v>7915</v>
      </c>
      <c r="E123" s="38" t="s">
        <v>7857</v>
      </c>
      <c r="F123" s="37" t="s">
        <v>6985</v>
      </c>
      <c r="G123" s="37" t="s">
        <v>7990</v>
      </c>
      <c r="H123" s="39">
        <v>5.0616000000000003</v>
      </c>
      <c r="I123" s="39">
        <v>15</v>
      </c>
      <c r="J123" s="39">
        <v>39</v>
      </c>
      <c r="K123" s="39">
        <v>4.0492999999999997</v>
      </c>
      <c r="L123" s="38">
        <v>1</v>
      </c>
    </row>
    <row r="124" spans="1:12" x14ac:dyDescent="0.25">
      <c r="A124" s="37" t="s">
        <v>35</v>
      </c>
      <c r="B124" s="38" t="s">
        <v>7844</v>
      </c>
      <c r="C124" s="38" t="s">
        <v>9308</v>
      </c>
      <c r="D124" s="38" t="s">
        <v>7915</v>
      </c>
      <c r="E124" s="38" t="s">
        <v>7857</v>
      </c>
      <c r="F124" s="37" t="s">
        <v>6986</v>
      </c>
      <c r="G124" s="37" t="s">
        <v>7990</v>
      </c>
      <c r="H124" s="39">
        <v>5.0616000000000003</v>
      </c>
      <c r="I124" s="39">
        <v>15</v>
      </c>
      <c r="J124" s="39">
        <v>39</v>
      </c>
      <c r="K124" s="39">
        <v>4.0492999999999997</v>
      </c>
      <c r="L124" s="38">
        <v>1</v>
      </c>
    </row>
    <row r="125" spans="1:12" x14ac:dyDescent="0.25">
      <c r="A125" s="37" t="s">
        <v>36</v>
      </c>
      <c r="B125" s="38" t="s">
        <v>7844</v>
      </c>
      <c r="C125" s="38" t="s">
        <v>9308</v>
      </c>
      <c r="D125" s="38" t="s">
        <v>7915</v>
      </c>
      <c r="E125" s="38" t="s">
        <v>7857</v>
      </c>
      <c r="F125" s="37" t="s">
        <v>6987</v>
      </c>
      <c r="G125" s="37" t="s">
        <v>7990</v>
      </c>
      <c r="H125" s="39">
        <v>5.0616000000000003</v>
      </c>
      <c r="I125" s="39">
        <v>15</v>
      </c>
      <c r="J125" s="39">
        <v>39</v>
      </c>
      <c r="K125" s="39">
        <v>4.0492999999999997</v>
      </c>
      <c r="L125" s="38">
        <v>1</v>
      </c>
    </row>
    <row r="126" spans="1:12" x14ac:dyDescent="0.25">
      <c r="A126" s="37" t="s">
        <v>6988</v>
      </c>
      <c r="B126" s="38" t="s">
        <v>7844</v>
      </c>
      <c r="C126" s="38" t="s">
        <v>9308</v>
      </c>
      <c r="D126" s="38" t="s">
        <v>7943</v>
      </c>
      <c r="E126" s="38" t="s">
        <v>7857</v>
      </c>
      <c r="F126" s="37" t="s">
        <v>6989</v>
      </c>
      <c r="G126" s="37" t="s">
        <v>7991</v>
      </c>
      <c r="H126" s="39">
        <v>8.25</v>
      </c>
      <c r="I126" s="39">
        <v>21</v>
      </c>
      <c r="J126" s="39">
        <v>38</v>
      </c>
      <c r="K126" s="39">
        <v>6.6</v>
      </c>
      <c r="L126" s="38">
        <v>1</v>
      </c>
    </row>
    <row r="127" spans="1:12" x14ac:dyDescent="0.25">
      <c r="A127" s="37" t="s">
        <v>6990</v>
      </c>
      <c r="B127" s="38" t="s">
        <v>7844</v>
      </c>
      <c r="C127" s="38" t="s">
        <v>9308</v>
      </c>
      <c r="D127" s="38" t="s">
        <v>7915</v>
      </c>
      <c r="E127" s="38" t="s">
        <v>7857</v>
      </c>
      <c r="F127" s="37" t="s">
        <v>6991</v>
      </c>
      <c r="G127" s="37" t="s">
        <v>7992</v>
      </c>
      <c r="H127" s="39">
        <v>8.25</v>
      </c>
      <c r="I127" s="39">
        <v>25</v>
      </c>
      <c r="J127" s="39">
        <v>55</v>
      </c>
      <c r="K127" s="39">
        <v>6.6</v>
      </c>
      <c r="L127" s="38">
        <v>1</v>
      </c>
    </row>
    <row r="128" spans="1:12" x14ac:dyDescent="0.25">
      <c r="A128" s="37" t="s">
        <v>6992</v>
      </c>
      <c r="B128" s="38" t="s">
        <v>7844</v>
      </c>
      <c r="C128" s="38" t="s">
        <v>9309</v>
      </c>
      <c r="D128" s="38" t="s">
        <v>7993</v>
      </c>
      <c r="E128" s="38" t="s">
        <v>7857</v>
      </c>
      <c r="F128" s="37" t="s">
        <v>6993</v>
      </c>
      <c r="G128" s="37" t="s">
        <v>7994</v>
      </c>
      <c r="H128" s="39">
        <v>16.362100000000002</v>
      </c>
      <c r="I128" s="39">
        <v>49</v>
      </c>
      <c r="J128" s="39">
        <v>98</v>
      </c>
      <c r="K128" s="39">
        <v>12.5862</v>
      </c>
      <c r="L128" s="38">
        <v>1</v>
      </c>
    </row>
    <row r="129" spans="1:12" x14ac:dyDescent="0.25">
      <c r="A129" s="37" t="s">
        <v>6994</v>
      </c>
      <c r="B129" s="38" t="s">
        <v>7844</v>
      </c>
      <c r="C129" s="38" t="s">
        <v>9309</v>
      </c>
      <c r="D129" s="38" t="s">
        <v>7995</v>
      </c>
      <c r="E129" s="38" t="s">
        <v>7913</v>
      </c>
      <c r="F129" s="37" t="s">
        <v>6995</v>
      </c>
      <c r="G129" s="37" t="s">
        <v>7996</v>
      </c>
      <c r="H129" s="39">
        <v>13.4483</v>
      </c>
      <c r="I129" s="39">
        <v>29</v>
      </c>
      <c r="J129" s="39">
        <v>49</v>
      </c>
      <c r="K129" s="39">
        <v>10.344799999999999</v>
      </c>
      <c r="L129" s="38">
        <v>1</v>
      </c>
    </row>
    <row r="130" spans="1:12" x14ac:dyDescent="0.25">
      <c r="A130" s="37" t="s">
        <v>90</v>
      </c>
      <c r="B130" s="40" t="s">
        <v>7845</v>
      </c>
      <c r="C130" s="38" t="s">
        <v>9312</v>
      </c>
      <c r="D130" s="38" t="s">
        <v>7917</v>
      </c>
      <c r="E130" s="38" t="s">
        <v>7929</v>
      </c>
      <c r="F130" s="37" t="s">
        <v>6996</v>
      </c>
      <c r="G130" s="37" t="s">
        <v>7997</v>
      </c>
      <c r="H130" s="39">
        <v>8.25</v>
      </c>
      <c r="I130" s="39">
        <v>20</v>
      </c>
      <c r="J130" s="39">
        <v>39</v>
      </c>
      <c r="K130" s="39">
        <v>6.6</v>
      </c>
      <c r="L130" s="38">
        <v>1</v>
      </c>
    </row>
    <row r="131" spans="1:12" x14ac:dyDescent="0.25">
      <c r="A131" s="37" t="s">
        <v>89</v>
      </c>
      <c r="B131" s="38" t="s">
        <v>7844</v>
      </c>
      <c r="C131" s="38" t="s">
        <v>9308</v>
      </c>
      <c r="D131" s="38" t="s">
        <v>7998</v>
      </c>
      <c r="E131" s="38" t="s">
        <v>7999</v>
      </c>
      <c r="F131" s="37" t="s">
        <v>6997</v>
      </c>
      <c r="G131" s="37" t="s">
        <v>8000</v>
      </c>
      <c r="H131" s="39">
        <v>14.15</v>
      </c>
      <c r="I131" s="39">
        <v>29</v>
      </c>
      <c r="J131" s="39">
        <v>58</v>
      </c>
      <c r="K131" s="39">
        <v>11.32</v>
      </c>
      <c r="L131" s="38">
        <v>1</v>
      </c>
    </row>
    <row r="132" spans="1:12" x14ac:dyDescent="0.25">
      <c r="A132" s="37" t="s">
        <v>6998</v>
      </c>
      <c r="B132" s="38" t="s">
        <v>7844</v>
      </c>
      <c r="C132" s="38" t="s">
        <v>9312</v>
      </c>
      <c r="D132" s="38" t="s">
        <v>7917</v>
      </c>
      <c r="E132" s="38" t="s">
        <v>7922</v>
      </c>
      <c r="F132" s="37" t="s">
        <v>6999</v>
      </c>
      <c r="G132" s="37" t="s">
        <v>8001</v>
      </c>
      <c r="H132" s="39">
        <v>13.4483</v>
      </c>
      <c r="I132" s="39">
        <v>50</v>
      </c>
      <c r="J132" s="39">
        <v>125</v>
      </c>
      <c r="K132" s="39">
        <v>10.344799999999999</v>
      </c>
      <c r="L132" s="38">
        <v>1</v>
      </c>
    </row>
    <row r="133" spans="1:12" x14ac:dyDescent="0.25">
      <c r="A133" s="37" t="s">
        <v>7000</v>
      </c>
      <c r="B133" s="38" t="s">
        <v>7844</v>
      </c>
      <c r="C133" s="38" t="s">
        <v>9309</v>
      </c>
      <c r="D133" s="38" t="s">
        <v>7901</v>
      </c>
      <c r="E133" s="38" t="s">
        <v>7946</v>
      </c>
      <c r="F133" s="37" t="s">
        <v>7001</v>
      </c>
      <c r="G133" s="37" t="s">
        <v>8002</v>
      </c>
      <c r="H133" s="39">
        <v>33.620699999999999</v>
      </c>
      <c r="I133" s="39">
        <v>80</v>
      </c>
      <c r="J133" s="39">
        <v>99</v>
      </c>
      <c r="K133" s="39">
        <v>25.862100000000002</v>
      </c>
      <c r="L133" s="38">
        <v>1</v>
      </c>
    </row>
    <row r="134" spans="1:12" x14ac:dyDescent="0.25">
      <c r="A134" s="37" t="s">
        <v>7002</v>
      </c>
      <c r="B134" s="38" t="s">
        <v>7844</v>
      </c>
      <c r="C134" s="38" t="s">
        <v>9309</v>
      </c>
      <c r="D134" s="38" t="s">
        <v>7993</v>
      </c>
      <c r="E134" s="38" t="s">
        <v>7922</v>
      </c>
      <c r="F134" s="37" t="s">
        <v>7003</v>
      </c>
      <c r="G134" s="37" t="s">
        <v>8003</v>
      </c>
      <c r="H134" s="39">
        <v>11.206899999999999</v>
      </c>
      <c r="I134" s="39">
        <v>39</v>
      </c>
      <c r="J134" s="39">
        <v>85</v>
      </c>
      <c r="K134" s="39">
        <v>8.6206999999999994</v>
      </c>
      <c r="L134" s="38">
        <v>1</v>
      </c>
    </row>
    <row r="135" spans="1:12" x14ac:dyDescent="0.25">
      <c r="A135" s="37" t="s">
        <v>7004</v>
      </c>
      <c r="B135" s="38" t="s">
        <v>7844</v>
      </c>
      <c r="C135" s="38" t="s">
        <v>7865</v>
      </c>
      <c r="D135" s="40" t="s">
        <v>9318</v>
      </c>
      <c r="E135" s="38" t="s">
        <v>7902</v>
      </c>
      <c r="F135" s="37" t="s">
        <v>7005</v>
      </c>
      <c r="G135" s="37" t="s">
        <v>8004</v>
      </c>
      <c r="H135" s="39">
        <v>4.4828000000000001</v>
      </c>
      <c r="I135" s="39">
        <v>16</v>
      </c>
      <c r="J135" s="39">
        <v>35</v>
      </c>
      <c r="K135" s="39">
        <v>3.4483000000000001</v>
      </c>
      <c r="L135" s="38">
        <v>1</v>
      </c>
    </row>
    <row r="136" spans="1:12" x14ac:dyDescent="0.25">
      <c r="A136" s="37" t="s">
        <v>7006</v>
      </c>
      <c r="B136" s="38" t="s">
        <v>7844</v>
      </c>
      <c r="C136" s="38" t="s">
        <v>9309</v>
      </c>
      <c r="D136" s="38" t="s">
        <v>7993</v>
      </c>
      <c r="E136" s="38" t="s">
        <v>7922</v>
      </c>
      <c r="F136" s="37" t="s">
        <v>7007</v>
      </c>
      <c r="G136" s="37" t="s">
        <v>8005</v>
      </c>
      <c r="H136" s="39">
        <v>17.931000000000001</v>
      </c>
      <c r="I136" s="39">
        <v>55</v>
      </c>
      <c r="J136" s="39">
        <v>69</v>
      </c>
      <c r="K136" s="39">
        <v>13.793100000000001</v>
      </c>
      <c r="L136" s="38">
        <v>1</v>
      </c>
    </row>
    <row r="137" spans="1:12" x14ac:dyDescent="0.25">
      <c r="A137" s="37" t="s">
        <v>7008</v>
      </c>
      <c r="B137" s="38" t="s">
        <v>7844</v>
      </c>
      <c r="C137" s="38" t="s">
        <v>9309</v>
      </c>
      <c r="D137" s="38" t="s">
        <v>7993</v>
      </c>
      <c r="E137" s="38" t="s">
        <v>7922</v>
      </c>
      <c r="F137" s="37" t="s">
        <v>7009</v>
      </c>
      <c r="G137" s="37" t="s">
        <v>8006</v>
      </c>
      <c r="H137" s="39">
        <v>26.896599999999999</v>
      </c>
      <c r="I137" s="39">
        <v>80</v>
      </c>
      <c r="J137" s="39">
        <v>169</v>
      </c>
      <c r="K137" s="39">
        <v>20.689699999999998</v>
      </c>
      <c r="L137" s="38">
        <v>1</v>
      </c>
    </row>
    <row r="138" spans="1:12" x14ac:dyDescent="0.25">
      <c r="A138" s="37" t="s">
        <v>53</v>
      </c>
      <c r="B138" s="38" t="s">
        <v>7844</v>
      </c>
      <c r="C138" s="38" t="s">
        <v>9312</v>
      </c>
      <c r="D138" s="38" t="s">
        <v>7917</v>
      </c>
      <c r="E138" s="38" t="s">
        <v>7922</v>
      </c>
      <c r="F138" s="37" t="s">
        <v>7010</v>
      </c>
      <c r="G138" s="37" t="s">
        <v>8007</v>
      </c>
      <c r="H138" s="39">
        <v>5.5018000000000002</v>
      </c>
      <c r="I138" s="39">
        <v>16</v>
      </c>
      <c r="J138" s="39">
        <v>35</v>
      </c>
      <c r="K138" s="39">
        <v>4.4013999999999998</v>
      </c>
      <c r="L138" s="38">
        <v>1</v>
      </c>
    </row>
    <row r="139" spans="1:12" x14ac:dyDescent="0.25">
      <c r="A139" s="37" t="s">
        <v>65</v>
      </c>
      <c r="B139" s="38" t="s">
        <v>7844</v>
      </c>
      <c r="C139" s="38" t="s">
        <v>9308</v>
      </c>
      <c r="D139" s="38" t="s">
        <v>7892</v>
      </c>
      <c r="E139" s="38" t="s">
        <v>7857</v>
      </c>
      <c r="F139" s="37" t="s">
        <v>7011</v>
      </c>
      <c r="G139" s="37" t="s">
        <v>8008</v>
      </c>
      <c r="H139" s="39">
        <v>1.7605999999999999</v>
      </c>
      <c r="I139" s="39">
        <v>5.5</v>
      </c>
      <c r="J139" s="39">
        <v>14</v>
      </c>
      <c r="K139" s="39">
        <v>1.4085000000000001</v>
      </c>
      <c r="L139" s="38">
        <v>1</v>
      </c>
    </row>
    <row r="140" spans="1:12" x14ac:dyDescent="0.25">
      <c r="A140" s="37" t="s">
        <v>7012</v>
      </c>
      <c r="B140" s="38" t="s">
        <v>7844</v>
      </c>
      <c r="C140" s="38" t="s">
        <v>9312</v>
      </c>
      <c r="D140" s="38" t="s">
        <v>7917</v>
      </c>
      <c r="E140" s="38" t="s">
        <v>7857</v>
      </c>
      <c r="F140" s="37" t="s">
        <v>7013</v>
      </c>
      <c r="G140" s="37" t="s">
        <v>8009</v>
      </c>
      <c r="H140" s="39">
        <v>44.014099999999999</v>
      </c>
      <c r="I140" s="39">
        <v>120</v>
      </c>
      <c r="J140" s="39">
        <v>220</v>
      </c>
      <c r="K140" s="39">
        <v>35.211300000000001</v>
      </c>
      <c r="L140" s="38">
        <v>1</v>
      </c>
    </row>
    <row r="141" spans="1:12" x14ac:dyDescent="0.25">
      <c r="A141" s="37" t="s">
        <v>7014</v>
      </c>
      <c r="B141" s="38" t="s">
        <v>7844</v>
      </c>
      <c r="C141" s="38" t="s">
        <v>9312</v>
      </c>
      <c r="D141" s="38" t="s">
        <v>7917</v>
      </c>
      <c r="E141" s="38" t="s">
        <v>7922</v>
      </c>
      <c r="F141" s="37" t="s">
        <v>7015</v>
      </c>
      <c r="G141" s="37" t="s">
        <v>8010</v>
      </c>
      <c r="H141" s="39">
        <v>22.007000000000001</v>
      </c>
      <c r="I141" s="39">
        <v>69</v>
      </c>
      <c r="J141" s="39">
        <v>110</v>
      </c>
      <c r="K141" s="39">
        <v>17.605599999999999</v>
      </c>
      <c r="L141" s="38">
        <v>1</v>
      </c>
    </row>
    <row r="142" spans="1:12" x14ac:dyDescent="0.25">
      <c r="A142" s="37" t="s">
        <v>7016</v>
      </c>
      <c r="B142" s="38" t="s">
        <v>7844</v>
      </c>
      <c r="C142" s="38" t="s">
        <v>9312</v>
      </c>
      <c r="D142" s="38" t="s">
        <v>7917</v>
      </c>
      <c r="E142" s="38" t="s">
        <v>7922</v>
      </c>
      <c r="F142" s="37" t="s">
        <v>7017</v>
      </c>
      <c r="G142" s="37" t="s">
        <v>8011</v>
      </c>
      <c r="H142" s="39">
        <v>26.4085</v>
      </c>
      <c r="I142" s="39">
        <v>60</v>
      </c>
      <c r="J142" s="39">
        <v>90</v>
      </c>
      <c r="K142" s="39">
        <v>21.126799999999999</v>
      </c>
      <c r="L142" s="38">
        <v>1</v>
      </c>
    </row>
    <row r="143" spans="1:12" x14ac:dyDescent="0.25">
      <c r="A143" s="37" t="s">
        <v>45</v>
      </c>
      <c r="B143" s="38" t="s">
        <v>7844</v>
      </c>
      <c r="C143" s="38" t="s">
        <v>9312</v>
      </c>
      <c r="D143" s="38" t="s">
        <v>7917</v>
      </c>
      <c r="E143" s="38" t="s">
        <v>7922</v>
      </c>
      <c r="F143" s="37" t="s">
        <v>7018</v>
      </c>
      <c r="G143" s="37" t="s">
        <v>8012</v>
      </c>
      <c r="H143" s="39">
        <v>4.4013999999999998</v>
      </c>
      <c r="I143" s="39">
        <v>12</v>
      </c>
      <c r="J143" s="39">
        <v>25</v>
      </c>
      <c r="K143" s="39">
        <v>3.5211000000000001</v>
      </c>
      <c r="L143" s="38">
        <v>1</v>
      </c>
    </row>
    <row r="144" spans="1:12" x14ac:dyDescent="0.25">
      <c r="A144" s="37" t="s">
        <v>27</v>
      </c>
      <c r="B144" s="38" t="s">
        <v>7844</v>
      </c>
      <c r="C144" s="38" t="s">
        <v>9308</v>
      </c>
      <c r="D144" s="38" t="s">
        <v>7915</v>
      </c>
      <c r="E144" s="38" t="s">
        <v>7857</v>
      </c>
      <c r="F144" s="37" t="s">
        <v>7019</v>
      </c>
      <c r="G144" s="37" t="s">
        <v>8008</v>
      </c>
      <c r="H144" s="39">
        <v>7.7024999999999997</v>
      </c>
      <c r="I144" s="39">
        <v>22</v>
      </c>
      <c r="J144" s="39">
        <v>49</v>
      </c>
      <c r="K144" s="39">
        <v>6.1619999999999999</v>
      </c>
      <c r="L144" s="38">
        <v>1</v>
      </c>
    </row>
    <row r="145" spans="1:12" x14ac:dyDescent="0.25">
      <c r="A145" s="37" t="s">
        <v>7020</v>
      </c>
      <c r="B145" s="38" t="s">
        <v>7844</v>
      </c>
      <c r="C145" s="38" t="s">
        <v>9309</v>
      </c>
      <c r="D145" s="38" t="s">
        <v>7993</v>
      </c>
      <c r="E145" s="38" t="s">
        <v>7857</v>
      </c>
      <c r="F145" s="37" t="s">
        <v>7021</v>
      </c>
      <c r="G145" s="37" t="s">
        <v>8013</v>
      </c>
      <c r="H145" s="39">
        <v>15.4049</v>
      </c>
      <c r="I145" s="39">
        <v>29</v>
      </c>
      <c r="J145" s="39">
        <v>59</v>
      </c>
      <c r="K145" s="39">
        <v>12.3239</v>
      </c>
      <c r="L145" s="38">
        <v>1</v>
      </c>
    </row>
    <row r="146" spans="1:12" x14ac:dyDescent="0.25">
      <c r="A146" s="37" t="s">
        <v>7022</v>
      </c>
      <c r="B146" s="38" t="s">
        <v>7844</v>
      </c>
      <c r="C146" s="38" t="s">
        <v>9309</v>
      </c>
      <c r="D146" s="38" t="s">
        <v>7993</v>
      </c>
      <c r="E146" s="38" t="s">
        <v>7857</v>
      </c>
      <c r="F146" s="37" t="s">
        <v>7171</v>
      </c>
      <c r="G146" s="37" t="s">
        <v>8008</v>
      </c>
      <c r="H146" s="39">
        <v>12.103899999999999</v>
      </c>
      <c r="I146" s="39">
        <v>25</v>
      </c>
      <c r="J146" s="39">
        <v>40</v>
      </c>
      <c r="K146" s="39">
        <v>9.6830999999999996</v>
      </c>
      <c r="L146" s="38">
        <v>1</v>
      </c>
    </row>
    <row r="147" spans="1:12" x14ac:dyDescent="0.25">
      <c r="A147" s="37" t="s">
        <v>95</v>
      </c>
      <c r="B147" s="38" t="s">
        <v>7844</v>
      </c>
      <c r="C147" s="38" t="s">
        <v>9308</v>
      </c>
      <c r="D147" s="38" t="s">
        <v>7915</v>
      </c>
      <c r="E147" s="38" t="s">
        <v>7857</v>
      </c>
      <c r="F147" s="37" t="s">
        <v>7023</v>
      </c>
      <c r="G147" s="37" t="s">
        <v>8014</v>
      </c>
      <c r="H147" s="39">
        <v>4.4013999999999998</v>
      </c>
      <c r="I147" s="39">
        <v>11</v>
      </c>
      <c r="J147" s="39">
        <v>27</v>
      </c>
      <c r="K147" s="39">
        <v>3.5211000000000001</v>
      </c>
      <c r="L147" s="38">
        <v>1</v>
      </c>
    </row>
    <row r="148" spans="1:12" x14ac:dyDescent="0.25">
      <c r="A148" s="37" t="s">
        <v>7024</v>
      </c>
      <c r="B148" s="38" t="s">
        <v>7844</v>
      </c>
      <c r="C148" s="38" t="s">
        <v>9312</v>
      </c>
      <c r="D148" s="38" t="s">
        <v>7917</v>
      </c>
      <c r="E148" s="38" t="s">
        <v>7857</v>
      </c>
      <c r="F148" s="37" t="s">
        <v>7025</v>
      </c>
      <c r="G148" s="37" t="s">
        <v>8015</v>
      </c>
      <c r="H148" s="39">
        <v>3.3010999999999999</v>
      </c>
      <c r="I148" s="39">
        <v>10</v>
      </c>
      <c r="J148" s="39">
        <v>22</v>
      </c>
      <c r="K148" s="39">
        <v>2.6408</v>
      </c>
      <c r="L148" s="38">
        <v>1</v>
      </c>
    </row>
    <row r="149" spans="1:12" x14ac:dyDescent="0.25">
      <c r="A149" s="37" t="s">
        <v>7026</v>
      </c>
      <c r="B149" s="38" t="s">
        <v>7844</v>
      </c>
      <c r="C149" s="38" t="s">
        <v>9309</v>
      </c>
      <c r="D149" s="38" t="s">
        <v>7908</v>
      </c>
      <c r="E149" s="38" t="s">
        <v>7857</v>
      </c>
      <c r="F149" s="37" t="s">
        <v>7027</v>
      </c>
      <c r="G149" s="37" t="s">
        <v>8016</v>
      </c>
      <c r="H149" s="39">
        <v>6.6021000000000001</v>
      </c>
      <c r="I149" s="39">
        <v>15</v>
      </c>
      <c r="J149" s="39">
        <v>39</v>
      </c>
      <c r="K149" s="39">
        <v>5.2816999999999998</v>
      </c>
      <c r="L149" s="38">
        <v>1</v>
      </c>
    </row>
    <row r="150" spans="1:12" x14ac:dyDescent="0.25">
      <c r="A150" s="37" t="s">
        <v>71</v>
      </c>
      <c r="B150" s="38" t="s">
        <v>7844</v>
      </c>
      <c r="C150" s="38" t="s">
        <v>9309</v>
      </c>
      <c r="D150" s="38" t="s">
        <v>7908</v>
      </c>
      <c r="E150" s="38" t="s">
        <v>7857</v>
      </c>
      <c r="F150" s="37" t="s">
        <v>7028</v>
      </c>
      <c r="G150" s="37" t="s">
        <v>8017</v>
      </c>
      <c r="H150" s="39">
        <v>8.8027999999999995</v>
      </c>
      <c r="I150" s="39">
        <v>25</v>
      </c>
      <c r="J150" s="39">
        <v>49</v>
      </c>
      <c r="K150" s="39">
        <v>7.0423</v>
      </c>
      <c r="L150" s="38">
        <v>1</v>
      </c>
    </row>
    <row r="151" spans="1:12" x14ac:dyDescent="0.25">
      <c r="A151" s="37" t="s">
        <v>94</v>
      </c>
      <c r="B151" s="38" t="s">
        <v>7844</v>
      </c>
      <c r="C151" s="38" t="s">
        <v>9309</v>
      </c>
      <c r="D151" s="38" t="s">
        <v>7908</v>
      </c>
      <c r="E151" s="38" t="s">
        <v>7857</v>
      </c>
      <c r="F151" s="37" t="s">
        <v>7029</v>
      </c>
      <c r="G151" s="37" t="s">
        <v>8018</v>
      </c>
      <c r="H151" s="39">
        <v>11.003500000000001</v>
      </c>
      <c r="I151" s="39">
        <v>30</v>
      </c>
      <c r="J151" s="39">
        <v>75</v>
      </c>
      <c r="K151" s="39">
        <v>8.8027999999999995</v>
      </c>
      <c r="L151" s="38">
        <v>1</v>
      </c>
    </row>
    <row r="152" spans="1:12" x14ac:dyDescent="0.25">
      <c r="A152" s="37" t="s">
        <v>101</v>
      </c>
      <c r="B152" s="38" t="s">
        <v>7844</v>
      </c>
      <c r="C152" s="38" t="s">
        <v>7865</v>
      </c>
      <c r="D152" s="40" t="s">
        <v>9316</v>
      </c>
      <c r="E152" s="38" t="s">
        <v>7857</v>
      </c>
      <c r="F152" s="37" t="s">
        <v>7030</v>
      </c>
      <c r="G152" s="37" t="s">
        <v>8019</v>
      </c>
      <c r="H152" s="39">
        <v>4.4013999999999998</v>
      </c>
      <c r="I152" s="39">
        <v>15</v>
      </c>
      <c r="J152" s="39">
        <v>35</v>
      </c>
      <c r="K152" s="39">
        <v>3.5211000000000001</v>
      </c>
      <c r="L152" s="38">
        <v>1</v>
      </c>
    </row>
    <row r="153" spans="1:12" x14ac:dyDescent="0.25">
      <c r="A153" s="37" t="s">
        <v>7031</v>
      </c>
      <c r="B153" s="38" t="s">
        <v>7844</v>
      </c>
      <c r="C153" s="38" t="s">
        <v>9309</v>
      </c>
      <c r="D153" s="38" t="s">
        <v>7898</v>
      </c>
      <c r="E153" s="38" t="s">
        <v>8020</v>
      </c>
      <c r="F153" s="37" t="s">
        <v>7032</v>
      </c>
      <c r="G153" s="37" t="s">
        <v>8021</v>
      </c>
      <c r="H153" s="39">
        <v>11.553699999999999</v>
      </c>
      <c r="I153" s="39">
        <v>32</v>
      </c>
      <c r="J153" s="39">
        <v>69</v>
      </c>
      <c r="K153" s="39">
        <v>9.2430000000000003</v>
      </c>
      <c r="L153" s="38">
        <v>1</v>
      </c>
    </row>
    <row r="154" spans="1:12" x14ac:dyDescent="0.25">
      <c r="A154" s="37" t="s">
        <v>7033</v>
      </c>
      <c r="B154" s="38" t="s">
        <v>7844</v>
      </c>
      <c r="C154" s="38" t="s">
        <v>9309</v>
      </c>
      <c r="D154" s="38" t="s">
        <v>7898</v>
      </c>
      <c r="E154" s="38" t="s">
        <v>8020</v>
      </c>
      <c r="F154" s="37" t="s">
        <v>7034</v>
      </c>
      <c r="G154" s="37" t="s">
        <v>8021</v>
      </c>
      <c r="H154" s="39">
        <v>11.553699999999999</v>
      </c>
      <c r="I154" s="39">
        <v>32</v>
      </c>
      <c r="J154" s="39">
        <v>69</v>
      </c>
      <c r="K154" s="39">
        <v>9.2430000000000003</v>
      </c>
      <c r="L154" s="38">
        <v>1</v>
      </c>
    </row>
    <row r="155" spans="1:12" x14ac:dyDescent="0.25">
      <c r="A155" s="37" t="s">
        <v>12</v>
      </c>
      <c r="B155" s="40" t="s">
        <v>7845</v>
      </c>
      <c r="C155" s="38" t="s">
        <v>9308</v>
      </c>
      <c r="D155" s="38" t="s">
        <v>7931</v>
      </c>
      <c r="E155" s="38" t="s">
        <v>7866</v>
      </c>
      <c r="F155" s="37" t="s">
        <v>7035</v>
      </c>
      <c r="G155" s="37" t="s">
        <v>8022</v>
      </c>
      <c r="H155" s="39">
        <v>0.21759999999999999</v>
      </c>
      <c r="I155" s="39">
        <v>1.3</v>
      </c>
      <c r="J155" s="39">
        <v>4</v>
      </c>
      <c r="K155" s="39">
        <v>0.1741</v>
      </c>
      <c r="L155" s="38">
        <v>1</v>
      </c>
    </row>
    <row r="156" spans="1:12" x14ac:dyDescent="0.25">
      <c r="A156" s="37" t="s">
        <v>62</v>
      </c>
      <c r="B156" s="40" t="s">
        <v>7845</v>
      </c>
      <c r="C156" s="38" t="s">
        <v>9309</v>
      </c>
      <c r="D156" s="38" t="s">
        <v>7898</v>
      </c>
      <c r="E156" s="38" t="s">
        <v>7866</v>
      </c>
      <c r="F156" s="37" t="s">
        <v>7036</v>
      </c>
      <c r="G156" s="37" t="s">
        <v>8023</v>
      </c>
      <c r="H156" s="39">
        <v>18.706</v>
      </c>
      <c r="I156" s="39">
        <v>59</v>
      </c>
      <c r="J156" s="39">
        <v>125</v>
      </c>
      <c r="K156" s="39">
        <v>14.9648</v>
      </c>
      <c r="L156" s="38">
        <v>1</v>
      </c>
    </row>
    <row r="157" spans="1:12" x14ac:dyDescent="0.25">
      <c r="A157" s="37" t="s">
        <v>7037</v>
      </c>
      <c r="B157" s="38" t="s">
        <v>7844</v>
      </c>
      <c r="C157" s="38" t="s">
        <v>9309</v>
      </c>
      <c r="D157" s="38" t="s">
        <v>7901</v>
      </c>
      <c r="E157" s="38" t="s">
        <v>7922</v>
      </c>
      <c r="F157" s="37" t="s">
        <v>7038</v>
      </c>
      <c r="G157" s="37" t="s">
        <v>7976</v>
      </c>
      <c r="H157" s="39">
        <v>22.007000000000001</v>
      </c>
      <c r="I157" s="39">
        <v>40</v>
      </c>
      <c r="J157" s="39">
        <v>79</v>
      </c>
      <c r="K157" s="39">
        <v>17.605599999999999</v>
      </c>
      <c r="L157" s="38">
        <v>1</v>
      </c>
    </row>
    <row r="158" spans="1:12" x14ac:dyDescent="0.25">
      <c r="A158" s="37" t="s">
        <v>22</v>
      </c>
      <c r="B158" s="38" t="s">
        <v>7844</v>
      </c>
      <c r="C158" s="38" t="s">
        <v>9309</v>
      </c>
      <c r="D158" s="38" t="s">
        <v>7901</v>
      </c>
      <c r="E158" s="38" t="s">
        <v>7973</v>
      </c>
      <c r="F158" s="37" t="s">
        <v>7039</v>
      </c>
      <c r="G158" s="37" t="s">
        <v>8024</v>
      </c>
      <c r="H158" s="39">
        <v>3.2637</v>
      </c>
      <c r="I158" s="39">
        <v>10</v>
      </c>
      <c r="J158" s="39">
        <v>22</v>
      </c>
      <c r="K158" s="39">
        <v>2.6110000000000002</v>
      </c>
      <c r="L158" s="38">
        <v>1</v>
      </c>
    </row>
    <row r="159" spans="1:12" x14ac:dyDescent="0.25">
      <c r="A159" s="37" t="s">
        <v>70</v>
      </c>
      <c r="B159" s="38" t="s">
        <v>7844</v>
      </c>
      <c r="C159" s="38" t="s">
        <v>9309</v>
      </c>
      <c r="D159" s="38" t="s">
        <v>7901</v>
      </c>
      <c r="E159" s="38" t="s">
        <v>7973</v>
      </c>
      <c r="F159" s="37" t="s">
        <v>7040</v>
      </c>
      <c r="G159" s="37" t="s">
        <v>8024</v>
      </c>
      <c r="H159" s="39">
        <v>3.4813000000000001</v>
      </c>
      <c r="I159" s="39">
        <v>11</v>
      </c>
      <c r="J159" s="39">
        <v>24</v>
      </c>
      <c r="K159" s="39">
        <v>2.7850000000000001</v>
      </c>
      <c r="L159" s="38">
        <v>1</v>
      </c>
    </row>
    <row r="160" spans="1:12" x14ac:dyDescent="0.25">
      <c r="A160" s="37" t="s">
        <v>30</v>
      </c>
      <c r="B160" s="38" t="s">
        <v>7844</v>
      </c>
      <c r="C160" s="38" t="s">
        <v>9309</v>
      </c>
      <c r="D160" s="38" t="s">
        <v>7878</v>
      </c>
      <c r="E160" s="38" t="s">
        <v>7857</v>
      </c>
      <c r="F160" s="37" t="s">
        <v>7041</v>
      </c>
      <c r="G160" s="37" t="s">
        <v>8025</v>
      </c>
      <c r="H160" s="39">
        <v>14.1427</v>
      </c>
      <c r="I160" s="39">
        <v>29</v>
      </c>
      <c r="J160" s="39">
        <v>69</v>
      </c>
      <c r="K160" s="39">
        <v>11.3142</v>
      </c>
      <c r="L160" s="38">
        <v>1</v>
      </c>
    </row>
    <row r="161" spans="1:12" x14ac:dyDescent="0.25">
      <c r="A161" s="37" t="s">
        <v>7042</v>
      </c>
      <c r="B161" s="38" t="s">
        <v>7844</v>
      </c>
      <c r="C161" s="38" t="s">
        <v>9311</v>
      </c>
      <c r="D161" s="38" t="s">
        <v>7962</v>
      </c>
      <c r="E161" s="38" t="s">
        <v>7857</v>
      </c>
      <c r="F161" s="37" t="s">
        <v>7043</v>
      </c>
      <c r="G161" s="37" t="s">
        <v>8026</v>
      </c>
      <c r="H161" s="39">
        <v>179.94730000000001</v>
      </c>
      <c r="I161" s="39">
        <v>450</v>
      </c>
      <c r="J161" s="39">
        <v>900</v>
      </c>
      <c r="K161" s="39">
        <v>147.49780000000001</v>
      </c>
      <c r="L161" s="38">
        <v>1</v>
      </c>
    </row>
    <row r="162" spans="1:12" x14ac:dyDescent="0.25">
      <c r="A162" s="37" t="s">
        <v>26</v>
      </c>
      <c r="B162" s="38" t="s">
        <v>7844</v>
      </c>
      <c r="C162" s="38" t="s">
        <v>9308</v>
      </c>
      <c r="D162" s="38" t="s">
        <v>7915</v>
      </c>
      <c r="E162" s="38" t="s">
        <v>7857</v>
      </c>
      <c r="F162" s="37" t="s">
        <v>7044</v>
      </c>
      <c r="G162" s="37" t="s">
        <v>7921</v>
      </c>
      <c r="H162" s="39">
        <v>2.1604000000000001</v>
      </c>
      <c r="I162" s="39">
        <v>8</v>
      </c>
      <c r="J162" s="39">
        <v>18</v>
      </c>
      <c r="K162" s="39">
        <v>1.8004</v>
      </c>
      <c r="L162" s="38">
        <v>1</v>
      </c>
    </row>
    <row r="163" spans="1:12" x14ac:dyDescent="0.25">
      <c r="A163" s="37" t="s">
        <v>7045</v>
      </c>
      <c r="B163" s="38" t="s">
        <v>7844</v>
      </c>
      <c r="C163" s="38" t="s">
        <v>9311</v>
      </c>
      <c r="D163" s="38" t="s">
        <v>7962</v>
      </c>
      <c r="E163" s="38" t="s">
        <v>7857</v>
      </c>
      <c r="F163" s="37" t="s">
        <v>7046</v>
      </c>
      <c r="G163" s="37" t="s">
        <v>8027</v>
      </c>
      <c r="H163" s="39">
        <v>146.90889999999999</v>
      </c>
      <c r="I163" s="39">
        <v>595</v>
      </c>
      <c r="J163" s="39">
        <v>1295</v>
      </c>
      <c r="K163" s="39">
        <v>122.42400000000001</v>
      </c>
      <c r="L163" s="38">
        <v>1</v>
      </c>
    </row>
    <row r="164" spans="1:12" x14ac:dyDescent="0.25">
      <c r="A164" s="37" t="s">
        <v>7047</v>
      </c>
      <c r="B164" s="38" t="s">
        <v>7844</v>
      </c>
      <c r="C164" s="38" t="s">
        <v>9312</v>
      </c>
      <c r="D164" s="38" t="s">
        <v>7917</v>
      </c>
      <c r="E164" s="38" t="s">
        <v>7857</v>
      </c>
      <c r="F164" s="37" t="s">
        <v>7048</v>
      </c>
      <c r="G164" s="37" t="s">
        <v>8028</v>
      </c>
      <c r="H164" s="39">
        <v>9.7218999999999998</v>
      </c>
      <c r="I164" s="39">
        <v>35</v>
      </c>
      <c r="J164" s="39">
        <v>75</v>
      </c>
      <c r="K164" s="39">
        <v>8.1015999999999995</v>
      </c>
      <c r="L164" s="38">
        <v>1</v>
      </c>
    </row>
    <row r="165" spans="1:12" x14ac:dyDescent="0.25">
      <c r="A165" s="37" t="s">
        <v>7172</v>
      </c>
      <c r="B165" s="38" t="s">
        <v>7844</v>
      </c>
      <c r="C165" s="38" t="s">
        <v>9309</v>
      </c>
      <c r="D165" s="38" t="s">
        <v>8029</v>
      </c>
      <c r="E165" s="38" t="s">
        <v>7857</v>
      </c>
      <c r="F165" s="37" t="s">
        <v>7173</v>
      </c>
      <c r="G165" s="37" t="s">
        <v>8030</v>
      </c>
      <c r="H165" s="39">
        <v>79.326800000000006</v>
      </c>
      <c r="I165" s="39">
        <v>229</v>
      </c>
      <c r="J165" s="39">
        <v>499</v>
      </c>
      <c r="K165" s="39">
        <v>63.2258</v>
      </c>
      <c r="L165" s="38">
        <v>1</v>
      </c>
    </row>
    <row r="166" spans="1:12" x14ac:dyDescent="0.25">
      <c r="A166" s="37" t="s">
        <v>7174</v>
      </c>
      <c r="B166" s="38" t="s">
        <v>7844</v>
      </c>
      <c r="C166" s="38" t="s">
        <v>9311</v>
      </c>
      <c r="D166" s="38" t="s">
        <v>7859</v>
      </c>
      <c r="E166" s="38" t="s">
        <v>7857</v>
      </c>
      <c r="F166" s="37" t="s">
        <v>7175</v>
      </c>
      <c r="G166" s="37" t="s">
        <v>8031</v>
      </c>
      <c r="H166" s="39">
        <v>72.527299999999997</v>
      </c>
      <c r="I166" s="39">
        <v>259</v>
      </c>
      <c r="J166" s="39">
        <v>570</v>
      </c>
      <c r="K166" s="39">
        <v>57.8065</v>
      </c>
      <c r="L166" s="38">
        <v>1</v>
      </c>
    </row>
    <row r="167" spans="1:12" x14ac:dyDescent="0.25">
      <c r="A167" s="37" t="s">
        <v>7176</v>
      </c>
      <c r="B167" s="38" t="s">
        <v>7844</v>
      </c>
      <c r="C167" s="38" t="s">
        <v>9309</v>
      </c>
      <c r="D167" s="38" t="s">
        <v>7850</v>
      </c>
      <c r="E167" s="38" t="s">
        <v>7857</v>
      </c>
      <c r="F167" s="37" t="s">
        <v>7177</v>
      </c>
      <c r="G167" s="37" t="s">
        <v>8032</v>
      </c>
      <c r="H167" s="39">
        <v>9.0658999999999992</v>
      </c>
      <c r="I167" s="39">
        <v>32</v>
      </c>
      <c r="J167" s="39">
        <v>69</v>
      </c>
      <c r="K167" s="39">
        <v>7.2257999999999996</v>
      </c>
      <c r="L167" s="38">
        <v>1</v>
      </c>
    </row>
    <row r="168" spans="1:12" x14ac:dyDescent="0.25">
      <c r="A168" s="37" t="s">
        <v>7178</v>
      </c>
      <c r="B168" s="40" t="s">
        <v>7159</v>
      </c>
      <c r="C168" s="38" t="s">
        <v>9309</v>
      </c>
      <c r="D168" s="38" t="s">
        <v>8033</v>
      </c>
      <c r="E168" s="40" t="s">
        <v>7906</v>
      </c>
      <c r="F168" s="37" t="s">
        <v>8382</v>
      </c>
      <c r="G168" s="37" t="s">
        <v>8034</v>
      </c>
      <c r="H168" s="39">
        <v>36.2637</v>
      </c>
      <c r="I168" s="39">
        <v>135</v>
      </c>
      <c r="J168" s="39">
        <v>290</v>
      </c>
      <c r="K168" s="39">
        <v>28.903199999999998</v>
      </c>
      <c r="L168" s="38">
        <v>1</v>
      </c>
    </row>
    <row r="169" spans="1:12" x14ac:dyDescent="0.25">
      <c r="A169" s="37" t="s">
        <v>7179</v>
      </c>
      <c r="B169" s="40" t="s">
        <v>7159</v>
      </c>
      <c r="C169" s="38" t="s">
        <v>9309</v>
      </c>
      <c r="D169" s="38" t="s">
        <v>8033</v>
      </c>
      <c r="E169" s="40" t="s">
        <v>7906</v>
      </c>
      <c r="F169" s="37" t="s">
        <v>8383</v>
      </c>
      <c r="G169" s="37" t="s">
        <v>8035</v>
      </c>
      <c r="H169" s="39">
        <v>36.2637</v>
      </c>
      <c r="I169" s="39">
        <v>127</v>
      </c>
      <c r="J169" s="39">
        <v>275</v>
      </c>
      <c r="K169" s="39">
        <v>28.903199999999998</v>
      </c>
      <c r="L169" s="38">
        <v>1</v>
      </c>
    </row>
    <row r="170" spans="1:12" x14ac:dyDescent="0.25">
      <c r="A170" s="37" t="s">
        <v>7180</v>
      </c>
      <c r="B170" s="40" t="s">
        <v>7159</v>
      </c>
      <c r="C170" s="38" t="s">
        <v>9309</v>
      </c>
      <c r="D170" s="38" t="s">
        <v>8033</v>
      </c>
      <c r="E170" s="40" t="s">
        <v>7906</v>
      </c>
      <c r="F170" s="37" t="s">
        <v>8383</v>
      </c>
      <c r="G170" s="37" t="s">
        <v>8036</v>
      </c>
      <c r="H170" s="39">
        <v>36.2637</v>
      </c>
      <c r="I170" s="39">
        <v>127</v>
      </c>
      <c r="J170" s="39">
        <v>275</v>
      </c>
      <c r="K170" s="39">
        <v>28.903199999999998</v>
      </c>
      <c r="L170" s="38">
        <v>1</v>
      </c>
    </row>
    <row r="171" spans="1:12" x14ac:dyDescent="0.25">
      <c r="A171" s="37" t="s">
        <v>7181</v>
      </c>
      <c r="B171" s="40" t="s">
        <v>7159</v>
      </c>
      <c r="C171" s="38" t="s">
        <v>9309</v>
      </c>
      <c r="D171" s="38" t="s">
        <v>8033</v>
      </c>
      <c r="E171" s="40" t="s">
        <v>7906</v>
      </c>
      <c r="F171" s="37" t="s">
        <v>8384</v>
      </c>
      <c r="G171" s="37" t="s">
        <v>8037</v>
      </c>
      <c r="H171" s="39">
        <v>36.2637</v>
      </c>
      <c r="I171" s="39">
        <v>127</v>
      </c>
      <c r="J171" s="39">
        <v>275</v>
      </c>
      <c r="K171" s="39">
        <v>28.903199999999998</v>
      </c>
      <c r="L171" s="38">
        <v>1</v>
      </c>
    </row>
    <row r="172" spans="1:12" x14ac:dyDescent="0.25">
      <c r="A172" s="37" t="s">
        <v>7182</v>
      </c>
      <c r="B172" s="40" t="s">
        <v>7159</v>
      </c>
      <c r="C172" s="38" t="s">
        <v>9309</v>
      </c>
      <c r="D172" s="38" t="s">
        <v>8033</v>
      </c>
      <c r="E172" s="40" t="s">
        <v>7906</v>
      </c>
      <c r="F172" s="37" t="s">
        <v>8384</v>
      </c>
      <c r="G172" s="37" t="s">
        <v>8038</v>
      </c>
      <c r="H172" s="39">
        <v>43.063099999999999</v>
      </c>
      <c r="I172" s="39">
        <v>145</v>
      </c>
      <c r="J172" s="39">
        <v>315</v>
      </c>
      <c r="K172" s="39">
        <v>34.322600000000001</v>
      </c>
      <c r="L172" s="38">
        <v>1</v>
      </c>
    </row>
    <row r="173" spans="1:12" x14ac:dyDescent="0.25">
      <c r="A173" s="37" t="s">
        <v>7183</v>
      </c>
      <c r="B173" s="40" t="s">
        <v>7159</v>
      </c>
      <c r="C173" s="38" t="s">
        <v>9309</v>
      </c>
      <c r="D173" s="38" t="s">
        <v>8033</v>
      </c>
      <c r="E173" s="40" t="s">
        <v>7906</v>
      </c>
      <c r="F173" s="37" t="s">
        <v>8385</v>
      </c>
      <c r="G173" s="37" t="s">
        <v>8039</v>
      </c>
      <c r="H173" s="39">
        <v>43.063099999999999</v>
      </c>
      <c r="I173" s="39">
        <v>145</v>
      </c>
      <c r="J173" s="39">
        <v>315</v>
      </c>
      <c r="K173" s="39">
        <v>34.322600000000001</v>
      </c>
      <c r="L173" s="38">
        <v>1</v>
      </c>
    </row>
    <row r="174" spans="1:12" x14ac:dyDescent="0.25">
      <c r="A174" s="37" t="s">
        <v>7184</v>
      </c>
      <c r="B174" s="40" t="s">
        <v>7159</v>
      </c>
      <c r="C174" s="38" t="s">
        <v>9309</v>
      </c>
      <c r="D174" s="38" t="s">
        <v>8033</v>
      </c>
      <c r="E174" s="40" t="s">
        <v>7906</v>
      </c>
      <c r="F174" s="37" t="s">
        <v>8383</v>
      </c>
      <c r="G174" s="37" t="s">
        <v>8040</v>
      </c>
      <c r="H174" s="39">
        <v>43.063099999999999</v>
      </c>
      <c r="I174" s="39">
        <v>145</v>
      </c>
      <c r="J174" s="39">
        <v>315</v>
      </c>
      <c r="K174" s="39">
        <v>34.322600000000001</v>
      </c>
      <c r="L174" s="38">
        <v>1</v>
      </c>
    </row>
    <row r="175" spans="1:12" x14ac:dyDescent="0.25">
      <c r="A175" s="37" t="s">
        <v>7185</v>
      </c>
      <c r="B175" s="40" t="s">
        <v>7159</v>
      </c>
      <c r="C175" s="38" t="s">
        <v>9309</v>
      </c>
      <c r="D175" s="38" t="s">
        <v>8033</v>
      </c>
      <c r="E175" s="40" t="s">
        <v>7906</v>
      </c>
      <c r="F175" s="37" t="s">
        <v>8384</v>
      </c>
      <c r="G175" s="37" t="s">
        <v>8041</v>
      </c>
      <c r="H175" s="39">
        <v>43.063099999999999</v>
      </c>
      <c r="I175" s="39">
        <v>145</v>
      </c>
      <c r="J175" s="39">
        <v>315</v>
      </c>
      <c r="K175" s="39">
        <v>34.322600000000001</v>
      </c>
      <c r="L175" s="38">
        <v>1</v>
      </c>
    </row>
    <row r="176" spans="1:12" x14ac:dyDescent="0.25">
      <c r="A176" s="37" t="s">
        <v>7186</v>
      </c>
      <c r="B176" s="40" t="s">
        <v>7159</v>
      </c>
      <c r="C176" s="38" t="s">
        <v>9309</v>
      </c>
      <c r="D176" s="38" t="s">
        <v>8033</v>
      </c>
      <c r="E176" s="40" t="s">
        <v>7906</v>
      </c>
      <c r="F176" s="37" t="s">
        <v>8383</v>
      </c>
      <c r="G176" s="37" t="s">
        <v>8042</v>
      </c>
      <c r="H176" s="39">
        <v>43.063099999999999</v>
      </c>
      <c r="I176" s="39">
        <v>145</v>
      </c>
      <c r="J176" s="39">
        <v>315</v>
      </c>
      <c r="K176" s="39">
        <v>34.322600000000001</v>
      </c>
      <c r="L176" s="38">
        <v>1</v>
      </c>
    </row>
    <row r="177" spans="1:12" x14ac:dyDescent="0.25">
      <c r="A177" s="37" t="s">
        <v>7187</v>
      </c>
      <c r="B177" s="40" t="s">
        <v>7159</v>
      </c>
      <c r="C177" s="38" t="s">
        <v>9309</v>
      </c>
      <c r="D177" s="38" t="s">
        <v>8033</v>
      </c>
      <c r="E177" s="40" t="s">
        <v>7906</v>
      </c>
      <c r="F177" s="37" t="s">
        <v>8385</v>
      </c>
      <c r="G177" s="37" t="s">
        <v>8043</v>
      </c>
      <c r="H177" s="39">
        <v>43.063099999999999</v>
      </c>
      <c r="I177" s="39">
        <v>145</v>
      </c>
      <c r="J177" s="39">
        <v>315</v>
      </c>
      <c r="K177" s="39">
        <v>34.322600000000001</v>
      </c>
      <c r="L177" s="38">
        <v>1</v>
      </c>
    </row>
    <row r="178" spans="1:12" x14ac:dyDescent="0.25">
      <c r="A178" s="37" t="s">
        <v>7188</v>
      </c>
      <c r="B178" s="38" t="s">
        <v>7844</v>
      </c>
      <c r="C178" s="38" t="s">
        <v>9309</v>
      </c>
      <c r="D178" s="38" t="s">
        <v>7878</v>
      </c>
      <c r="E178" s="38" t="s">
        <v>7851</v>
      </c>
      <c r="F178" s="37" t="s">
        <v>7189</v>
      </c>
      <c r="G178" s="37" t="s">
        <v>8044</v>
      </c>
      <c r="H178" s="39">
        <v>12.4656</v>
      </c>
      <c r="I178" s="39">
        <v>30</v>
      </c>
      <c r="J178" s="39">
        <v>65</v>
      </c>
      <c r="K178" s="39">
        <v>9.9354999999999993</v>
      </c>
      <c r="L178" s="38">
        <v>1</v>
      </c>
    </row>
    <row r="179" spans="1:12" x14ac:dyDescent="0.25">
      <c r="A179" s="37" t="s">
        <v>7190</v>
      </c>
      <c r="B179" s="38" t="s">
        <v>7844</v>
      </c>
      <c r="C179" s="38" t="s">
        <v>9311</v>
      </c>
      <c r="D179" s="38" t="s">
        <v>7861</v>
      </c>
      <c r="E179" s="38" t="s">
        <v>7857</v>
      </c>
      <c r="F179" s="37" t="s">
        <v>7191</v>
      </c>
      <c r="G179" s="37" t="s">
        <v>8045</v>
      </c>
      <c r="H179" s="39">
        <v>63.461399999999998</v>
      </c>
      <c r="I179" s="39">
        <v>205</v>
      </c>
      <c r="J179" s="39">
        <v>449</v>
      </c>
      <c r="K179" s="39">
        <v>50.580599999999997</v>
      </c>
      <c r="L179" s="38">
        <v>1</v>
      </c>
    </row>
    <row r="180" spans="1:12" x14ac:dyDescent="0.25">
      <c r="A180" s="37" t="s">
        <v>7192</v>
      </c>
      <c r="B180" s="38" t="s">
        <v>7844</v>
      </c>
      <c r="C180" s="38" t="s">
        <v>9311</v>
      </c>
      <c r="D180" s="38" t="s">
        <v>7861</v>
      </c>
      <c r="E180" s="38" t="s">
        <v>7857</v>
      </c>
      <c r="F180" s="37" t="s">
        <v>7193</v>
      </c>
      <c r="G180" s="37" t="s">
        <v>8046</v>
      </c>
      <c r="H180" s="39">
        <v>135.98869999999999</v>
      </c>
      <c r="I180" s="39">
        <v>400</v>
      </c>
      <c r="J180" s="39">
        <v>880</v>
      </c>
      <c r="K180" s="39">
        <v>108.3871</v>
      </c>
      <c r="L180" s="38">
        <v>1</v>
      </c>
    </row>
    <row r="181" spans="1:12" x14ac:dyDescent="0.25">
      <c r="A181" s="37" t="s">
        <v>7194</v>
      </c>
      <c r="B181" s="38" t="s">
        <v>7844</v>
      </c>
      <c r="C181" s="38" t="s">
        <v>9311</v>
      </c>
      <c r="D181" s="38" t="s">
        <v>7861</v>
      </c>
      <c r="E181" s="38" t="s">
        <v>7857</v>
      </c>
      <c r="F181" s="37" t="s">
        <v>7195</v>
      </c>
      <c r="G181" s="37" t="s">
        <v>8047</v>
      </c>
      <c r="H181" s="39">
        <v>86.126199999999997</v>
      </c>
      <c r="I181" s="39">
        <v>295</v>
      </c>
      <c r="J181" s="39">
        <v>645</v>
      </c>
      <c r="K181" s="39">
        <v>68.645200000000003</v>
      </c>
      <c r="L181" s="38">
        <v>1</v>
      </c>
    </row>
    <row r="182" spans="1:12" x14ac:dyDescent="0.25">
      <c r="A182" s="37" t="s">
        <v>7196</v>
      </c>
      <c r="B182" s="38" t="s">
        <v>7844</v>
      </c>
      <c r="C182" s="38" t="s">
        <v>9311</v>
      </c>
      <c r="D182" s="38" t="s">
        <v>7861</v>
      </c>
      <c r="E182" s="38" t="s">
        <v>7857</v>
      </c>
      <c r="F182" s="37" t="s">
        <v>7197</v>
      </c>
      <c r="G182" s="37" t="s">
        <v>8048</v>
      </c>
      <c r="H182" s="39">
        <v>56.661999999999999</v>
      </c>
      <c r="I182" s="39">
        <v>199</v>
      </c>
      <c r="J182" s="39">
        <v>430</v>
      </c>
      <c r="K182" s="39">
        <v>45.161299999999997</v>
      </c>
      <c r="L182" s="38">
        <v>1</v>
      </c>
    </row>
    <row r="183" spans="1:12" x14ac:dyDescent="0.25">
      <c r="A183" s="37" t="s">
        <v>7198</v>
      </c>
      <c r="B183" s="38" t="s">
        <v>7844</v>
      </c>
      <c r="C183" s="38" t="s">
        <v>9311</v>
      </c>
      <c r="D183" s="38" t="s">
        <v>7861</v>
      </c>
      <c r="E183" s="38" t="s">
        <v>7857</v>
      </c>
      <c r="F183" s="37" t="s">
        <v>7199</v>
      </c>
      <c r="G183" s="37" t="s">
        <v>8049</v>
      </c>
      <c r="H183" s="39">
        <v>113.324</v>
      </c>
      <c r="I183" s="39">
        <v>370</v>
      </c>
      <c r="J183" s="39">
        <v>815</v>
      </c>
      <c r="K183" s="39">
        <v>90.322599999999994</v>
      </c>
      <c r="L183" s="38">
        <v>1</v>
      </c>
    </row>
    <row r="184" spans="1:12" x14ac:dyDescent="0.25">
      <c r="A184" s="37" t="s">
        <v>7200</v>
      </c>
      <c r="B184" s="38" t="s">
        <v>7844</v>
      </c>
      <c r="C184" s="38" t="s">
        <v>9311</v>
      </c>
      <c r="D184" s="38" t="s">
        <v>7861</v>
      </c>
      <c r="E184" s="38" t="s">
        <v>7857</v>
      </c>
      <c r="F184" s="37" t="s">
        <v>7201</v>
      </c>
      <c r="G184" s="37" t="s">
        <v>8050</v>
      </c>
      <c r="H184" s="39">
        <v>79.326800000000006</v>
      </c>
      <c r="I184" s="39">
        <v>239</v>
      </c>
      <c r="J184" s="39">
        <v>520</v>
      </c>
      <c r="K184" s="39">
        <v>63.2258</v>
      </c>
      <c r="L184" s="38">
        <v>1</v>
      </c>
    </row>
    <row r="185" spans="1:12" x14ac:dyDescent="0.25">
      <c r="A185" s="37" t="s">
        <v>7202</v>
      </c>
      <c r="B185" s="38" t="s">
        <v>7844</v>
      </c>
      <c r="C185" s="38" t="s">
        <v>9311</v>
      </c>
      <c r="D185" s="38" t="s">
        <v>7861</v>
      </c>
      <c r="E185" s="38" t="s">
        <v>7857</v>
      </c>
      <c r="F185" s="37" t="s">
        <v>7203</v>
      </c>
      <c r="G185" s="37" t="s">
        <v>8051</v>
      </c>
      <c r="H185" s="39">
        <v>104.258</v>
      </c>
      <c r="I185" s="39">
        <v>339</v>
      </c>
      <c r="J185" s="39">
        <v>745</v>
      </c>
      <c r="K185" s="39">
        <v>83.096800000000002</v>
      </c>
      <c r="L185" s="38">
        <v>1</v>
      </c>
    </row>
    <row r="186" spans="1:12" x14ac:dyDescent="0.25">
      <c r="A186" s="37" t="s">
        <v>7204</v>
      </c>
      <c r="B186" s="38" t="s">
        <v>7844</v>
      </c>
      <c r="C186" s="38" t="s">
        <v>9309</v>
      </c>
      <c r="D186" s="38" t="s">
        <v>7850</v>
      </c>
      <c r="E186" s="38" t="s">
        <v>7857</v>
      </c>
      <c r="F186" s="37" t="s">
        <v>7205</v>
      </c>
      <c r="G186" s="37" t="s">
        <v>139</v>
      </c>
      <c r="H186" s="39">
        <v>20.398299999999999</v>
      </c>
      <c r="I186" s="39">
        <v>75</v>
      </c>
      <c r="J186" s="39">
        <v>165</v>
      </c>
      <c r="K186" s="39">
        <v>16.258099999999999</v>
      </c>
      <c r="L186" s="38">
        <v>1</v>
      </c>
    </row>
    <row r="187" spans="1:12" x14ac:dyDescent="0.25">
      <c r="A187" s="37" t="s">
        <v>7206</v>
      </c>
      <c r="B187" s="38" t="s">
        <v>7844</v>
      </c>
      <c r="C187" s="38" t="s">
        <v>9311</v>
      </c>
      <c r="D187" s="38" t="s">
        <v>8052</v>
      </c>
      <c r="E187" s="38" t="s">
        <v>7857</v>
      </c>
      <c r="F187" s="37" t="s">
        <v>7207</v>
      </c>
      <c r="G187" s="37" t="s">
        <v>8053</v>
      </c>
      <c r="H187" s="39">
        <v>124.6563</v>
      </c>
      <c r="I187" s="39">
        <v>359</v>
      </c>
      <c r="J187" s="39">
        <v>769</v>
      </c>
      <c r="K187" s="39">
        <v>99.354799999999997</v>
      </c>
      <c r="L187" s="38">
        <v>1</v>
      </c>
    </row>
    <row r="188" spans="1:12" x14ac:dyDescent="0.25">
      <c r="A188" s="37" t="s">
        <v>7208</v>
      </c>
      <c r="B188" s="38" t="s">
        <v>7844</v>
      </c>
      <c r="C188" s="38" t="s">
        <v>9311</v>
      </c>
      <c r="D188" s="38" t="s">
        <v>8052</v>
      </c>
      <c r="E188" s="38" t="s">
        <v>7857</v>
      </c>
      <c r="F188" s="37" t="s">
        <v>7209</v>
      </c>
      <c r="G188" s="37" t="s">
        <v>8054</v>
      </c>
      <c r="H188" s="39">
        <v>108.791</v>
      </c>
      <c r="I188" s="39">
        <v>315</v>
      </c>
      <c r="J188" s="39">
        <v>690</v>
      </c>
      <c r="K188" s="39">
        <v>86.709699999999998</v>
      </c>
      <c r="L188" s="38">
        <v>1</v>
      </c>
    </row>
    <row r="189" spans="1:12" x14ac:dyDescent="0.25">
      <c r="A189" s="37" t="s">
        <v>7210</v>
      </c>
      <c r="B189" s="38" t="s">
        <v>7844</v>
      </c>
      <c r="C189" s="38" t="s">
        <v>9311</v>
      </c>
      <c r="D189" s="38" t="s">
        <v>7905</v>
      </c>
      <c r="E189" s="38" t="s">
        <v>7857</v>
      </c>
      <c r="F189" s="37" t="s">
        <v>7211</v>
      </c>
      <c r="G189" s="37" t="s">
        <v>8055</v>
      </c>
      <c r="H189" s="39">
        <v>56.661999999999999</v>
      </c>
      <c r="I189" s="39">
        <v>195</v>
      </c>
      <c r="J189" s="39">
        <v>419</v>
      </c>
      <c r="K189" s="39">
        <v>45.161299999999997</v>
      </c>
      <c r="L189" s="38">
        <v>1</v>
      </c>
    </row>
    <row r="190" spans="1:12" x14ac:dyDescent="0.25">
      <c r="A190" s="37" t="s">
        <v>7212</v>
      </c>
      <c r="B190" s="38" t="s">
        <v>7844</v>
      </c>
      <c r="C190" s="38" t="s">
        <v>9311</v>
      </c>
      <c r="D190" s="38" t="s">
        <v>7905</v>
      </c>
      <c r="E190" s="38" t="s">
        <v>7857</v>
      </c>
      <c r="F190" s="37" t="s">
        <v>7213</v>
      </c>
      <c r="G190" s="37" t="s">
        <v>8056</v>
      </c>
      <c r="H190" s="39">
        <v>101.99160000000001</v>
      </c>
      <c r="I190" s="39">
        <v>299</v>
      </c>
      <c r="J190" s="39">
        <v>649</v>
      </c>
      <c r="K190" s="39">
        <v>81.290300000000002</v>
      </c>
      <c r="L190" s="38">
        <v>1</v>
      </c>
    </row>
    <row r="191" spans="1:12" x14ac:dyDescent="0.25">
      <c r="A191" s="37" t="s">
        <v>7214</v>
      </c>
      <c r="B191" s="38" t="s">
        <v>7844</v>
      </c>
      <c r="C191" s="38" t="s">
        <v>9311</v>
      </c>
      <c r="D191" s="38" t="s">
        <v>7861</v>
      </c>
      <c r="E191" s="38" t="s">
        <v>7857</v>
      </c>
      <c r="F191" s="37" t="s">
        <v>7128</v>
      </c>
      <c r="G191" s="37" t="s">
        <v>7921</v>
      </c>
      <c r="H191" s="39">
        <v>126.9228</v>
      </c>
      <c r="I191" s="39">
        <v>399</v>
      </c>
      <c r="J191" s="39">
        <v>875</v>
      </c>
      <c r="K191" s="39">
        <v>101.1613</v>
      </c>
      <c r="L191" s="38">
        <v>1</v>
      </c>
    </row>
    <row r="192" spans="1:12" x14ac:dyDescent="0.25">
      <c r="A192" s="37" t="s">
        <v>7215</v>
      </c>
      <c r="B192" s="38" t="s">
        <v>7844</v>
      </c>
      <c r="C192" s="38" t="s">
        <v>9311</v>
      </c>
      <c r="D192" s="38" t="s">
        <v>8052</v>
      </c>
      <c r="E192" s="38" t="s">
        <v>7857</v>
      </c>
      <c r="F192" s="37" t="s">
        <v>7216</v>
      </c>
      <c r="G192" s="37" t="s">
        <v>8057</v>
      </c>
      <c r="H192" s="39">
        <v>113.324</v>
      </c>
      <c r="I192" s="39">
        <v>325</v>
      </c>
      <c r="J192" s="39">
        <v>715</v>
      </c>
      <c r="K192" s="39">
        <v>90.322599999999994</v>
      </c>
      <c r="L192" s="38">
        <v>1</v>
      </c>
    </row>
    <row r="193" spans="1:12" x14ac:dyDescent="0.25">
      <c r="A193" s="37" t="s">
        <v>7217</v>
      </c>
      <c r="B193" s="38" t="s">
        <v>7844</v>
      </c>
      <c r="C193" s="38" t="s">
        <v>9311</v>
      </c>
      <c r="D193" s="38" t="s">
        <v>7861</v>
      </c>
      <c r="E193" s="38" t="s">
        <v>7857</v>
      </c>
      <c r="F193" s="37" t="s">
        <v>7218</v>
      </c>
      <c r="G193" s="37" t="s">
        <v>8058</v>
      </c>
      <c r="H193" s="39">
        <v>176.78540000000001</v>
      </c>
      <c r="I193" s="39">
        <v>595</v>
      </c>
      <c r="J193" s="39">
        <v>1299</v>
      </c>
      <c r="K193" s="39">
        <v>140.9032</v>
      </c>
      <c r="L193" s="38">
        <v>1</v>
      </c>
    </row>
    <row r="194" spans="1:12" x14ac:dyDescent="0.25">
      <c r="A194" s="37" t="s">
        <v>7219</v>
      </c>
      <c r="B194" s="38" t="s">
        <v>7844</v>
      </c>
      <c r="C194" s="38" t="s">
        <v>9311</v>
      </c>
      <c r="D194" s="38" t="s">
        <v>7856</v>
      </c>
      <c r="E194" s="38" t="s">
        <v>7857</v>
      </c>
      <c r="F194" s="37" t="s">
        <v>7220</v>
      </c>
      <c r="G194" s="37" t="s">
        <v>8059</v>
      </c>
      <c r="H194" s="39">
        <v>56.661999999999999</v>
      </c>
      <c r="I194" s="39">
        <v>159</v>
      </c>
      <c r="J194" s="39">
        <v>349</v>
      </c>
      <c r="K194" s="39">
        <v>45.161299999999997</v>
      </c>
      <c r="L194" s="38">
        <v>1</v>
      </c>
    </row>
    <row r="195" spans="1:12" x14ac:dyDescent="0.25">
      <c r="A195" s="37" t="s">
        <v>7221</v>
      </c>
      <c r="B195" s="38" t="s">
        <v>7844</v>
      </c>
      <c r="C195" s="38" t="s">
        <v>9309</v>
      </c>
      <c r="D195" s="38" t="s">
        <v>8060</v>
      </c>
      <c r="E195" s="38" t="s">
        <v>7857</v>
      </c>
      <c r="F195" s="37" t="s">
        <v>7222</v>
      </c>
      <c r="G195" s="37" t="s">
        <v>8061</v>
      </c>
      <c r="H195" s="39">
        <v>63.461399999999998</v>
      </c>
      <c r="I195" s="39">
        <v>215</v>
      </c>
      <c r="J195" s="39">
        <v>450</v>
      </c>
      <c r="K195" s="39">
        <v>50.580599999999997</v>
      </c>
      <c r="L195" s="38">
        <v>1</v>
      </c>
    </row>
    <row r="196" spans="1:12" x14ac:dyDescent="0.25">
      <c r="A196" s="37" t="s">
        <v>7223</v>
      </c>
      <c r="B196" s="38" t="s">
        <v>7844</v>
      </c>
      <c r="C196" s="38" t="s">
        <v>9311</v>
      </c>
      <c r="D196" s="38" t="s">
        <v>7911</v>
      </c>
      <c r="E196" s="38" t="s">
        <v>7857</v>
      </c>
      <c r="F196" s="37" t="s">
        <v>7224</v>
      </c>
      <c r="G196" s="37" t="s">
        <v>8062</v>
      </c>
      <c r="H196" s="39">
        <v>101.99160000000001</v>
      </c>
      <c r="I196" s="39">
        <v>349</v>
      </c>
      <c r="J196" s="39">
        <v>750</v>
      </c>
      <c r="K196" s="39">
        <v>81.290300000000002</v>
      </c>
      <c r="L196" s="38">
        <v>1</v>
      </c>
    </row>
    <row r="197" spans="1:12" x14ac:dyDescent="0.25">
      <c r="A197" s="37" t="s">
        <v>7225</v>
      </c>
      <c r="B197" s="38" t="s">
        <v>7844</v>
      </c>
      <c r="C197" s="38" t="s">
        <v>9311</v>
      </c>
      <c r="D197" s="38" t="s">
        <v>7911</v>
      </c>
      <c r="E197" s="38" t="s">
        <v>7857</v>
      </c>
      <c r="F197" s="37" t="s">
        <v>7226</v>
      </c>
      <c r="G197" s="37" t="s">
        <v>8063</v>
      </c>
      <c r="H197" s="39">
        <v>124.6563</v>
      </c>
      <c r="I197" s="39">
        <v>349</v>
      </c>
      <c r="J197" s="39">
        <v>750</v>
      </c>
      <c r="K197" s="39">
        <v>99.354799999999997</v>
      </c>
      <c r="L197" s="38">
        <v>1</v>
      </c>
    </row>
    <row r="198" spans="1:12" x14ac:dyDescent="0.25">
      <c r="A198" s="37" t="s">
        <v>7227</v>
      </c>
      <c r="B198" s="38" t="s">
        <v>7844</v>
      </c>
      <c r="C198" s="38" t="s">
        <v>9311</v>
      </c>
      <c r="D198" s="38" t="s">
        <v>7861</v>
      </c>
      <c r="E198" s="38" t="s">
        <v>7857</v>
      </c>
      <c r="F198" s="37" t="s">
        <v>7228</v>
      </c>
      <c r="G198" s="37" t="s">
        <v>8064</v>
      </c>
      <c r="H198" s="39">
        <v>33.997199999999999</v>
      </c>
      <c r="I198" s="39">
        <v>105</v>
      </c>
      <c r="J198" s="39">
        <v>229</v>
      </c>
      <c r="K198" s="39">
        <v>27.096800000000002</v>
      </c>
      <c r="L198" s="38">
        <v>1</v>
      </c>
    </row>
    <row r="199" spans="1:12" x14ac:dyDescent="0.25">
      <c r="A199" s="37" t="s">
        <v>7229</v>
      </c>
      <c r="B199" s="38" t="s">
        <v>7844</v>
      </c>
      <c r="C199" s="38" t="s">
        <v>9311</v>
      </c>
      <c r="D199" s="38" t="s">
        <v>7905</v>
      </c>
      <c r="E199" s="38" t="s">
        <v>7857</v>
      </c>
      <c r="F199" s="37" t="s">
        <v>7230</v>
      </c>
      <c r="G199" s="37" t="s">
        <v>8065</v>
      </c>
      <c r="H199" s="39">
        <v>86.126199999999997</v>
      </c>
      <c r="I199" s="39">
        <v>269</v>
      </c>
      <c r="J199" s="39">
        <v>590</v>
      </c>
      <c r="K199" s="39">
        <v>68.645200000000003</v>
      </c>
      <c r="L199" s="38">
        <v>1</v>
      </c>
    </row>
    <row r="200" spans="1:12" x14ac:dyDescent="0.25">
      <c r="A200" s="37" t="s">
        <v>7231</v>
      </c>
      <c r="B200" s="38" t="s">
        <v>7844</v>
      </c>
      <c r="C200" s="38" t="s">
        <v>9311</v>
      </c>
      <c r="D200" s="38" t="s">
        <v>7856</v>
      </c>
      <c r="E200" s="38" t="s">
        <v>7857</v>
      </c>
      <c r="F200" s="37" t="s">
        <v>7232</v>
      </c>
      <c r="G200" s="37" t="s">
        <v>8066</v>
      </c>
      <c r="H200" s="39">
        <v>63.461399999999998</v>
      </c>
      <c r="I200" s="39">
        <v>220</v>
      </c>
      <c r="J200" s="39">
        <v>480</v>
      </c>
      <c r="K200" s="39">
        <v>50.580599999999997</v>
      </c>
      <c r="L200" s="38">
        <v>1</v>
      </c>
    </row>
    <row r="201" spans="1:12" x14ac:dyDescent="0.25">
      <c r="A201" s="37" t="s">
        <v>7233</v>
      </c>
      <c r="B201" s="38" t="s">
        <v>7844</v>
      </c>
      <c r="C201" s="38" t="s">
        <v>9309</v>
      </c>
      <c r="D201" s="38" t="s">
        <v>8029</v>
      </c>
      <c r="E201" s="38" t="s">
        <v>7857</v>
      </c>
      <c r="F201" s="37" t="s">
        <v>7234</v>
      </c>
      <c r="G201" s="37" t="s">
        <v>8067</v>
      </c>
      <c r="H201" s="39">
        <v>31.730699999999999</v>
      </c>
      <c r="I201" s="39">
        <v>95</v>
      </c>
      <c r="J201" s="39">
        <v>199</v>
      </c>
      <c r="K201" s="39">
        <v>25.290299999999998</v>
      </c>
      <c r="L201" s="38">
        <v>1</v>
      </c>
    </row>
    <row r="202" spans="1:12" x14ac:dyDescent="0.25">
      <c r="A202" s="37" t="s">
        <v>7235</v>
      </c>
      <c r="B202" s="38" t="s">
        <v>7844</v>
      </c>
      <c r="C202" s="38" t="s">
        <v>9311</v>
      </c>
      <c r="D202" s="38" t="s">
        <v>7861</v>
      </c>
      <c r="E202" s="38" t="s">
        <v>7857</v>
      </c>
      <c r="F202" s="37" t="s">
        <v>7236</v>
      </c>
      <c r="G202" s="37" t="s">
        <v>8068</v>
      </c>
      <c r="H202" s="39">
        <v>79.326800000000006</v>
      </c>
      <c r="I202" s="39">
        <v>269</v>
      </c>
      <c r="J202" s="39">
        <v>589</v>
      </c>
      <c r="K202" s="39">
        <v>63.2258</v>
      </c>
      <c r="L202" s="38">
        <v>1</v>
      </c>
    </row>
    <row r="203" spans="1:12" x14ac:dyDescent="0.25">
      <c r="A203" s="37" t="s">
        <v>7237</v>
      </c>
      <c r="B203" s="38" t="s">
        <v>7844</v>
      </c>
      <c r="C203" s="38" t="s">
        <v>9311</v>
      </c>
      <c r="D203" s="38" t="s">
        <v>7905</v>
      </c>
      <c r="E203" s="38" t="s">
        <v>7857</v>
      </c>
      <c r="F203" s="37" t="s">
        <v>7238</v>
      </c>
      <c r="G203" s="37" t="s">
        <v>8069</v>
      </c>
      <c r="H203" s="39">
        <v>86.126199999999997</v>
      </c>
      <c r="I203" s="39">
        <v>269</v>
      </c>
      <c r="J203" s="39">
        <v>595</v>
      </c>
      <c r="K203" s="39">
        <v>68.645200000000003</v>
      </c>
      <c r="L203" s="38">
        <v>1</v>
      </c>
    </row>
    <row r="204" spans="1:12" x14ac:dyDescent="0.25">
      <c r="A204" s="37" t="s">
        <v>7239</v>
      </c>
      <c r="B204" s="38" t="s">
        <v>7844</v>
      </c>
      <c r="C204" s="38" t="s">
        <v>9311</v>
      </c>
      <c r="D204" s="38" t="s">
        <v>7905</v>
      </c>
      <c r="E204" s="38" t="s">
        <v>7857</v>
      </c>
      <c r="F204" s="37" t="s">
        <v>7240</v>
      </c>
      <c r="G204" s="37" t="s">
        <v>8070</v>
      </c>
      <c r="H204" s="39">
        <v>86.126199999999997</v>
      </c>
      <c r="I204" s="39">
        <v>259</v>
      </c>
      <c r="J204" s="39">
        <v>570</v>
      </c>
      <c r="K204" s="39">
        <v>68.645200000000003</v>
      </c>
      <c r="L204" s="38">
        <v>1</v>
      </c>
    </row>
    <row r="205" spans="1:12" x14ac:dyDescent="0.25">
      <c r="A205" s="37" t="s">
        <v>7241</v>
      </c>
      <c r="B205" s="38" t="s">
        <v>7844</v>
      </c>
      <c r="C205" s="38" t="s">
        <v>9311</v>
      </c>
      <c r="D205" s="38" t="s">
        <v>7905</v>
      </c>
      <c r="E205" s="38" t="s">
        <v>7857</v>
      </c>
      <c r="F205" s="37" t="s">
        <v>7242</v>
      </c>
      <c r="G205" s="37" t="s">
        <v>8071</v>
      </c>
      <c r="H205" s="39">
        <v>86.126199999999997</v>
      </c>
      <c r="I205" s="39">
        <v>310</v>
      </c>
      <c r="J205" s="39">
        <v>680</v>
      </c>
      <c r="K205" s="39">
        <v>68.645200000000003</v>
      </c>
      <c r="L205" s="38">
        <v>1</v>
      </c>
    </row>
    <row r="206" spans="1:12" x14ac:dyDescent="0.25">
      <c r="A206" s="37" t="s">
        <v>7243</v>
      </c>
      <c r="B206" s="38" t="s">
        <v>7844</v>
      </c>
      <c r="C206" s="38" t="s">
        <v>9311</v>
      </c>
      <c r="D206" s="38" t="s">
        <v>7856</v>
      </c>
      <c r="E206" s="38" t="s">
        <v>7857</v>
      </c>
      <c r="F206" s="37" t="s">
        <v>7244</v>
      </c>
      <c r="G206" s="37" t="s">
        <v>8072</v>
      </c>
      <c r="H206" s="39">
        <v>42.732399999999998</v>
      </c>
      <c r="I206" s="39">
        <v>150</v>
      </c>
      <c r="J206" s="39">
        <v>375</v>
      </c>
      <c r="K206" s="39">
        <v>31.889800000000001</v>
      </c>
      <c r="L206" s="38">
        <v>1</v>
      </c>
    </row>
    <row r="207" spans="1:12" x14ac:dyDescent="0.25">
      <c r="A207" s="37" t="s">
        <v>7245</v>
      </c>
      <c r="B207" s="38" t="s">
        <v>7844</v>
      </c>
      <c r="C207" s="38" t="s">
        <v>9309</v>
      </c>
      <c r="D207" s="38" t="s">
        <v>8029</v>
      </c>
      <c r="E207" s="38" t="s">
        <v>7857</v>
      </c>
      <c r="F207" s="37" t="s">
        <v>7246</v>
      </c>
      <c r="G207" s="37" t="s">
        <v>8073</v>
      </c>
      <c r="H207" s="39">
        <v>48.5595</v>
      </c>
      <c r="I207" s="39">
        <v>155</v>
      </c>
      <c r="J207" s="39">
        <v>385</v>
      </c>
      <c r="K207" s="39">
        <v>36.238399999999999</v>
      </c>
      <c r="L207" s="38">
        <v>1</v>
      </c>
    </row>
    <row r="208" spans="1:12" x14ac:dyDescent="0.25">
      <c r="A208" s="37" t="s">
        <v>7247</v>
      </c>
      <c r="B208" s="38" t="s">
        <v>7844</v>
      </c>
      <c r="C208" s="38" t="s">
        <v>9311</v>
      </c>
      <c r="D208" s="38" t="s">
        <v>7856</v>
      </c>
      <c r="E208" s="38" t="s">
        <v>7851</v>
      </c>
      <c r="F208" s="37" t="s">
        <v>7248</v>
      </c>
      <c r="G208" s="37" t="s">
        <v>8074</v>
      </c>
      <c r="H208" s="39">
        <v>106.8309</v>
      </c>
      <c r="I208" s="39">
        <v>360</v>
      </c>
      <c r="J208" s="39">
        <v>899</v>
      </c>
      <c r="K208" s="39">
        <v>79.724599999999995</v>
      </c>
      <c r="L208" s="38">
        <v>1</v>
      </c>
    </row>
    <row r="209" spans="1:12" x14ac:dyDescent="0.25">
      <c r="A209" s="37" t="s">
        <v>7249</v>
      </c>
      <c r="B209" s="38" t="s">
        <v>7844</v>
      </c>
      <c r="C209" s="38" t="s">
        <v>9309</v>
      </c>
      <c r="D209" s="38" t="s">
        <v>8029</v>
      </c>
      <c r="E209" s="38" t="s">
        <v>7857</v>
      </c>
      <c r="F209" s="37" t="s">
        <v>7250</v>
      </c>
      <c r="G209" s="37" t="s">
        <v>8075</v>
      </c>
      <c r="H209" s="39">
        <v>87.4071</v>
      </c>
      <c r="I209" s="39">
        <v>260</v>
      </c>
      <c r="J209" s="39">
        <v>650</v>
      </c>
      <c r="K209" s="39">
        <v>65.229200000000006</v>
      </c>
      <c r="L209" s="38">
        <v>1</v>
      </c>
    </row>
    <row r="210" spans="1:12" x14ac:dyDescent="0.25">
      <c r="A210" s="37" t="s">
        <v>7251</v>
      </c>
      <c r="B210" s="38" t="s">
        <v>7844</v>
      </c>
      <c r="C210" s="38" t="s">
        <v>9309</v>
      </c>
      <c r="D210" s="38" t="s">
        <v>7878</v>
      </c>
      <c r="E210" s="38" t="s">
        <v>7851</v>
      </c>
      <c r="F210" s="37" t="s">
        <v>7252</v>
      </c>
      <c r="G210" s="37" t="s">
        <v>8076</v>
      </c>
      <c r="H210" s="39">
        <v>3.8847999999999998</v>
      </c>
      <c r="I210" s="39">
        <v>14</v>
      </c>
      <c r="J210" s="39">
        <v>35</v>
      </c>
      <c r="K210" s="39">
        <v>2.8990999999999998</v>
      </c>
      <c r="L210" s="38">
        <v>1</v>
      </c>
    </row>
    <row r="211" spans="1:12" x14ac:dyDescent="0.25">
      <c r="A211" s="37" t="s">
        <v>7253</v>
      </c>
      <c r="B211" s="38" t="s">
        <v>7844</v>
      </c>
      <c r="C211" s="38" t="s">
        <v>9309</v>
      </c>
      <c r="D211" s="38" t="s">
        <v>7850</v>
      </c>
      <c r="E211" s="38" t="s">
        <v>7857</v>
      </c>
      <c r="F211" s="37" t="s">
        <v>7254</v>
      </c>
      <c r="G211" s="37" t="s">
        <v>8077</v>
      </c>
      <c r="H211" s="39">
        <v>7.7694999999999999</v>
      </c>
      <c r="I211" s="39">
        <v>30</v>
      </c>
      <c r="J211" s="39">
        <v>75</v>
      </c>
      <c r="K211" s="39">
        <v>5.7981999999999996</v>
      </c>
      <c r="L211" s="38">
        <v>1</v>
      </c>
    </row>
    <row r="212" spans="1:12" x14ac:dyDescent="0.25">
      <c r="A212" s="37" t="s">
        <v>7255</v>
      </c>
      <c r="B212" s="38" t="s">
        <v>7844</v>
      </c>
      <c r="C212" s="38" t="s">
        <v>9311</v>
      </c>
      <c r="D212" s="38" t="s">
        <v>7905</v>
      </c>
      <c r="E212" s="38" t="s">
        <v>7857</v>
      </c>
      <c r="F212" s="37" t="s">
        <v>7256</v>
      </c>
      <c r="G212" s="37" t="s">
        <v>8078</v>
      </c>
      <c r="H212" s="39">
        <v>4.8559999999999999</v>
      </c>
      <c r="I212" s="39">
        <v>17</v>
      </c>
      <c r="J212" s="39">
        <v>45</v>
      </c>
      <c r="K212" s="39">
        <v>3.6238000000000001</v>
      </c>
      <c r="L212" s="38">
        <v>1</v>
      </c>
    </row>
    <row r="213" spans="1:12" x14ac:dyDescent="0.25">
      <c r="A213" s="37" t="s">
        <v>7257</v>
      </c>
      <c r="B213" s="38" t="s">
        <v>7844</v>
      </c>
      <c r="C213" s="38" t="s">
        <v>9311</v>
      </c>
      <c r="D213" s="38" t="s">
        <v>7856</v>
      </c>
      <c r="E213" s="38" t="s">
        <v>7857</v>
      </c>
      <c r="F213" s="37" t="s">
        <v>7258</v>
      </c>
      <c r="G213" s="37" t="s">
        <v>8079</v>
      </c>
      <c r="H213" s="39">
        <v>48.5595</v>
      </c>
      <c r="I213" s="39">
        <v>180</v>
      </c>
      <c r="J213" s="39">
        <v>450</v>
      </c>
      <c r="K213" s="39">
        <v>36.238399999999999</v>
      </c>
      <c r="L213" s="38">
        <v>1</v>
      </c>
    </row>
    <row r="214" spans="1:12" x14ac:dyDescent="0.25">
      <c r="A214" s="37" t="s">
        <v>7259</v>
      </c>
      <c r="B214" s="38" t="s">
        <v>7844</v>
      </c>
      <c r="C214" s="38" t="s">
        <v>9308</v>
      </c>
      <c r="D214" s="38" t="s">
        <v>7943</v>
      </c>
      <c r="E214" s="38" t="s">
        <v>7857</v>
      </c>
      <c r="F214" s="37" t="s">
        <v>7260</v>
      </c>
      <c r="G214" s="37" t="s">
        <v>8080</v>
      </c>
      <c r="H214" s="39">
        <v>8.7407000000000004</v>
      </c>
      <c r="I214" s="39">
        <v>29</v>
      </c>
      <c r="J214" s="39">
        <v>70</v>
      </c>
      <c r="K214" s="39">
        <v>6.5228999999999999</v>
      </c>
      <c r="L214" s="38">
        <v>1</v>
      </c>
    </row>
    <row r="215" spans="1:12" x14ac:dyDescent="0.25">
      <c r="A215" s="37" t="s">
        <v>7261</v>
      </c>
      <c r="B215" s="38" t="s">
        <v>7844</v>
      </c>
      <c r="C215" s="38" t="s">
        <v>9309</v>
      </c>
      <c r="D215" s="38" t="s">
        <v>7878</v>
      </c>
      <c r="E215" s="38" t="s">
        <v>7851</v>
      </c>
      <c r="F215" s="37" t="s">
        <v>7262</v>
      </c>
      <c r="G215" s="37" t="s">
        <v>8081</v>
      </c>
      <c r="H215" s="39">
        <v>7.7694999999999999</v>
      </c>
      <c r="I215" s="39">
        <v>25</v>
      </c>
      <c r="J215" s="39">
        <v>60</v>
      </c>
      <c r="K215" s="39">
        <v>5.7981999999999996</v>
      </c>
      <c r="L215" s="38">
        <v>1</v>
      </c>
    </row>
    <row r="216" spans="1:12" x14ac:dyDescent="0.25">
      <c r="A216" s="37" t="s">
        <v>7263</v>
      </c>
      <c r="B216" s="38" t="s">
        <v>7844</v>
      </c>
      <c r="C216" s="38" t="s">
        <v>9311</v>
      </c>
      <c r="D216" s="38" t="s">
        <v>8082</v>
      </c>
      <c r="E216" s="38" t="s">
        <v>7857</v>
      </c>
      <c r="F216" s="37" t="s">
        <v>7264</v>
      </c>
      <c r="G216" s="37" t="s">
        <v>8083</v>
      </c>
      <c r="H216" s="39">
        <v>271.93329999999997</v>
      </c>
      <c r="I216" s="39">
        <v>690</v>
      </c>
      <c r="J216" s="39">
        <v>1725</v>
      </c>
      <c r="K216" s="39">
        <v>202.93530000000001</v>
      </c>
      <c r="L216" s="38">
        <v>1</v>
      </c>
    </row>
    <row r="217" spans="1:12" x14ac:dyDescent="0.25">
      <c r="A217" s="37" t="s">
        <v>7265</v>
      </c>
      <c r="B217" s="38" t="s">
        <v>7844</v>
      </c>
      <c r="C217" s="38" t="s">
        <v>9311</v>
      </c>
      <c r="D217" s="38" t="s">
        <v>7861</v>
      </c>
      <c r="E217" s="38" t="s">
        <v>7857</v>
      </c>
      <c r="F217" s="37" t="s">
        <v>7266</v>
      </c>
      <c r="G217" s="37" t="s">
        <v>8084</v>
      </c>
      <c r="H217" s="39">
        <v>93.234300000000005</v>
      </c>
      <c r="I217" s="39">
        <v>325</v>
      </c>
      <c r="J217" s="39">
        <v>815</v>
      </c>
      <c r="K217" s="39">
        <v>69.577799999999996</v>
      </c>
      <c r="L217" s="38">
        <v>1</v>
      </c>
    </row>
    <row r="218" spans="1:12" x14ac:dyDescent="0.25">
      <c r="A218" s="37" t="s">
        <v>7267</v>
      </c>
      <c r="B218" s="38" t="s">
        <v>7844</v>
      </c>
      <c r="C218" s="38" t="s">
        <v>9311</v>
      </c>
      <c r="D218" s="38" t="s">
        <v>7861</v>
      </c>
      <c r="E218" s="38" t="s">
        <v>7857</v>
      </c>
      <c r="F218" s="37" t="s">
        <v>7268</v>
      </c>
      <c r="G218" s="37" t="s">
        <v>8085</v>
      </c>
      <c r="H218" s="39">
        <v>106.8309</v>
      </c>
      <c r="I218" s="39">
        <v>375</v>
      </c>
      <c r="J218" s="39">
        <v>935</v>
      </c>
      <c r="K218" s="39">
        <v>79.724599999999995</v>
      </c>
      <c r="L218" s="38">
        <v>1</v>
      </c>
    </row>
    <row r="219" spans="1:12" x14ac:dyDescent="0.25">
      <c r="A219" s="37" t="s">
        <v>7269</v>
      </c>
      <c r="B219" s="38" t="s">
        <v>7844</v>
      </c>
      <c r="C219" s="38" t="s">
        <v>9311</v>
      </c>
      <c r="D219" s="38" t="s">
        <v>7861</v>
      </c>
      <c r="E219" s="38" t="s">
        <v>7857</v>
      </c>
      <c r="F219" s="37" t="s">
        <v>7270</v>
      </c>
      <c r="G219" s="37" t="s">
        <v>8086</v>
      </c>
      <c r="H219" s="39">
        <v>87.4071</v>
      </c>
      <c r="I219" s="39">
        <v>305</v>
      </c>
      <c r="J219" s="39">
        <v>760</v>
      </c>
      <c r="K219" s="39">
        <v>65.229200000000006</v>
      </c>
      <c r="L219" s="38">
        <v>1</v>
      </c>
    </row>
    <row r="220" spans="1:12" x14ac:dyDescent="0.25">
      <c r="A220" s="37" t="s">
        <v>7271</v>
      </c>
      <c r="B220" s="38" t="s">
        <v>7844</v>
      </c>
      <c r="C220" s="38" t="s">
        <v>9311</v>
      </c>
      <c r="D220" s="38" t="s">
        <v>7861</v>
      </c>
      <c r="E220" s="38" t="s">
        <v>7857</v>
      </c>
      <c r="F220" s="37" t="s">
        <v>7272</v>
      </c>
      <c r="G220" s="37" t="s">
        <v>8087</v>
      </c>
      <c r="H220" s="39">
        <v>106.8309</v>
      </c>
      <c r="I220" s="39">
        <v>370</v>
      </c>
      <c r="J220" s="39">
        <v>925</v>
      </c>
      <c r="K220" s="39">
        <v>79.724599999999995</v>
      </c>
      <c r="L220" s="38">
        <v>1</v>
      </c>
    </row>
    <row r="221" spans="1:12" x14ac:dyDescent="0.25">
      <c r="A221" s="37" t="s">
        <v>7273</v>
      </c>
      <c r="B221" s="38" t="s">
        <v>7844</v>
      </c>
      <c r="C221" s="38" t="s">
        <v>9311</v>
      </c>
      <c r="D221" s="38" t="s">
        <v>7861</v>
      </c>
      <c r="E221" s="38" t="s">
        <v>7857</v>
      </c>
      <c r="F221" s="37" t="s">
        <v>7274</v>
      </c>
      <c r="G221" s="37" t="s">
        <v>8088</v>
      </c>
      <c r="H221" s="39">
        <v>67.9833</v>
      </c>
      <c r="I221" s="39">
        <v>229</v>
      </c>
      <c r="J221" s="39">
        <v>575</v>
      </c>
      <c r="K221" s="39">
        <v>50.733800000000002</v>
      </c>
      <c r="L221" s="38">
        <v>1</v>
      </c>
    </row>
    <row r="222" spans="1:12" x14ac:dyDescent="0.25">
      <c r="A222" s="37" t="s">
        <v>7275</v>
      </c>
      <c r="B222" s="38" t="s">
        <v>7844</v>
      </c>
      <c r="C222" s="38" t="s">
        <v>9311</v>
      </c>
      <c r="D222" s="38" t="s">
        <v>7861</v>
      </c>
      <c r="E222" s="38" t="s">
        <v>7857</v>
      </c>
      <c r="F222" s="37" t="s">
        <v>7276</v>
      </c>
      <c r="G222" s="37" t="s">
        <v>8089</v>
      </c>
      <c r="H222" s="39">
        <v>223.37379999999999</v>
      </c>
      <c r="I222" s="39">
        <v>670</v>
      </c>
      <c r="J222" s="39">
        <v>1675</v>
      </c>
      <c r="K222" s="39">
        <v>166.6969</v>
      </c>
      <c r="L222" s="38">
        <v>1</v>
      </c>
    </row>
    <row r="223" spans="1:12" x14ac:dyDescent="0.25">
      <c r="A223" s="37" t="s">
        <v>7277</v>
      </c>
      <c r="B223" s="38" t="s">
        <v>7844</v>
      </c>
      <c r="C223" s="38" t="s">
        <v>9311</v>
      </c>
      <c r="D223" s="38" t="s">
        <v>7861</v>
      </c>
      <c r="E223" s="38" t="s">
        <v>7857</v>
      </c>
      <c r="F223" s="37" t="s">
        <v>7278</v>
      </c>
      <c r="G223" s="37" t="s">
        <v>8090</v>
      </c>
      <c r="H223" s="39">
        <v>165.10239999999999</v>
      </c>
      <c r="I223" s="39">
        <v>540</v>
      </c>
      <c r="J223" s="39">
        <v>1350</v>
      </c>
      <c r="K223" s="39">
        <v>123.2107</v>
      </c>
      <c r="L223" s="38">
        <v>1</v>
      </c>
    </row>
    <row r="224" spans="1:12" x14ac:dyDescent="0.25">
      <c r="A224" s="37" t="s">
        <v>7279</v>
      </c>
      <c r="B224" s="38" t="s">
        <v>7844</v>
      </c>
      <c r="C224" s="38" t="s">
        <v>9311</v>
      </c>
      <c r="D224" s="38" t="s">
        <v>7861</v>
      </c>
      <c r="E224" s="38" t="s">
        <v>7857</v>
      </c>
      <c r="F224" s="37" t="s">
        <v>7280</v>
      </c>
      <c r="G224" s="37" t="s">
        <v>8091</v>
      </c>
      <c r="H224" s="39">
        <v>87.4071</v>
      </c>
      <c r="I224" s="39">
        <v>305</v>
      </c>
      <c r="J224" s="39">
        <v>765</v>
      </c>
      <c r="K224" s="39">
        <v>65.229200000000006</v>
      </c>
      <c r="L224" s="38">
        <v>1</v>
      </c>
    </row>
    <row r="225" spans="1:12" x14ac:dyDescent="0.25">
      <c r="A225" s="37" t="s">
        <v>7281</v>
      </c>
      <c r="B225" s="38" t="s">
        <v>7844</v>
      </c>
      <c r="C225" s="38" t="s">
        <v>9309</v>
      </c>
      <c r="D225" s="38" t="s">
        <v>7908</v>
      </c>
      <c r="E225" s="38" t="s">
        <v>7857</v>
      </c>
      <c r="F225" s="37" t="s">
        <v>7282</v>
      </c>
      <c r="G225" s="37" t="s">
        <v>8092</v>
      </c>
      <c r="H225" s="39">
        <v>38.8476</v>
      </c>
      <c r="I225" s="39">
        <v>115</v>
      </c>
      <c r="J225" s="39">
        <v>280</v>
      </c>
      <c r="K225" s="39">
        <v>28.9908</v>
      </c>
      <c r="L225" s="38">
        <v>1</v>
      </c>
    </row>
    <row r="226" spans="1:12" x14ac:dyDescent="0.25">
      <c r="A226" s="37" t="s">
        <v>7283</v>
      </c>
      <c r="B226" s="38" t="s">
        <v>7844</v>
      </c>
      <c r="C226" s="38" t="s">
        <v>9309</v>
      </c>
      <c r="D226" s="38" t="s">
        <v>7908</v>
      </c>
      <c r="E226" s="38" t="s">
        <v>7857</v>
      </c>
      <c r="F226" s="37" t="s">
        <v>7284</v>
      </c>
      <c r="G226" s="37" t="s">
        <v>8093</v>
      </c>
      <c r="H226" s="39">
        <v>29.1357</v>
      </c>
      <c r="I226" s="39">
        <v>89</v>
      </c>
      <c r="J226" s="39">
        <v>220</v>
      </c>
      <c r="K226" s="39">
        <v>21.743099999999998</v>
      </c>
      <c r="L226" s="38">
        <v>1</v>
      </c>
    </row>
    <row r="227" spans="1:12" x14ac:dyDescent="0.25">
      <c r="A227" s="37" t="s">
        <v>7285</v>
      </c>
      <c r="B227" s="38" t="s">
        <v>7844</v>
      </c>
      <c r="C227" s="38" t="s">
        <v>9311</v>
      </c>
      <c r="D227" s="38" t="s">
        <v>7861</v>
      </c>
      <c r="E227" s="38" t="s">
        <v>7857</v>
      </c>
      <c r="F227" s="37" t="s">
        <v>7286</v>
      </c>
      <c r="G227" s="37" t="s">
        <v>8094</v>
      </c>
      <c r="H227" s="39">
        <v>67.9833</v>
      </c>
      <c r="I227" s="39">
        <v>240</v>
      </c>
      <c r="J227" s="39">
        <v>599</v>
      </c>
      <c r="K227" s="39">
        <v>50.733800000000002</v>
      </c>
      <c r="L227" s="38">
        <v>1</v>
      </c>
    </row>
    <row r="228" spans="1:12" x14ac:dyDescent="0.25">
      <c r="A228" s="37" t="s">
        <v>7287</v>
      </c>
      <c r="B228" s="38" t="s">
        <v>7844</v>
      </c>
      <c r="C228" s="38" t="s">
        <v>9311</v>
      </c>
      <c r="D228" s="38" t="s">
        <v>7861</v>
      </c>
      <c r="E228" s="38" t="s">
        <v>7857</v>
      </c>
      <c r="F228" s="37" t="s">
        <v>7288</v>
      </c>
      <c r="G228" s="37" t="s">
        <v>8095</v>
      </c>
      <c r="H228" s="39">
        <v>64.098600000000005</v>
      </c>
      <c r="I228" s="39">
        <v>230</v>
      </c>
      <c r="J228" s="39">
        <v>575</v>
      </c>
      <c r="K228" s="39">
        <v>47.834800000000001</v>
      </c>
      <c r="L228" s="38">
        <v>1</v>
      </c>
    </row>
    <row r="229" spans="1:12" x14ac:dyDescent="0.25">
      <c r="A229" s="37" t="s">
        <v>7289</v>
      </c>
      <c r="B229" s="38" t="s">
        <v>7844</v>
      </c>
      <c r="C229" s="38" t="s">
        <v>9311</v>
      </c>
      <c r="D229" s="38" t="s">
        <v>7861</v>
      </c>
      <c r="E229" s="38" t="s">
        <v>7851</v>
      </c>
      <c r="F229" s="37" t="s">
        <v>7290</v>
      </c>
      <c r="G229" s="37" t="s">
        <v>8096</v>
      </c>
      <c r="H229" s="39">
        <v>1.9423999999999999</v>
      </c>
      <c r="I229" s="39">
        <v>45</v>
      </c>
      <c r="J229" s="39">
        <v>115</v>
      </c>
      <c r="K229" s="39">
        <v>1.4495</v>
      </c>
      <c r="L229" s="38">
        <v>1</v>
      </c>
    </row>
    <row r="230" spans="1:12" x14ac:dyDescent="0.25">
      <c r="A230" s="37" t="s">
        <v>7291</v>
      </c>
      <c r="B230" s="38" t="s">
        <v>7844</v>
      </c>
      <c r="C230" s="38" t="s">
        <v>9311</v>
      </c>
      <c r="D230" s="38" t="s">
        <v>7861</v>
      </c>
      <c r="E230" s="38" t="s">
        <v>7929</v>
      </c>
      <c r="F230" s="37" t="s">
        <v>7292</v>
      </c>
      <c r="G230" s="37" t="s">
        <v>8097</v>
      </c>
      <c r="H230" s="39">
        <v>126.2548</v>
      </c>
      <c r="I230" s="39">
        <v>415</v>
      </c>
      <c r="J230" s="39">
        <v>1035</v>
      </c>
      <c r="K230" s="39">
        <v>94.22</v>
      </c>
      <c r="L230" s="38">
        <v>1</v>
      </c>
    </row>
    <row r="231" spans="1:12" x14ac:dyDescent="0.25">
      <c r="A231" s="37" t="s">
        <v>7293</v>
      </c>
      <c r="B231" s="38" t="s">
        <v>7844</v>
      </c>
      <c r="C231" s="38" t="s">
        <v>9311</v>
      </c>
      <c r="D231" s="38" t="s">
        <v>7861</v>
      </c>
      <c r="E231" s="38" t="s">
        <v>7857</v>
      </c>
      <c r="F231" s="37" t="s">
        <v>7294</v>
      </c>
      <c r="G231" s="37" t="s">
        <v>8098</v>
      </c>
      <c r="H231" s="39">
        <v>87.4071</v>
      </c>
      <c r="I231" s="39">
        <v>350</v>
      </c>
      <c r="J231" s="39">
        <v>875</v>
      </c>
      <c r="K231" s="39">
        <v>65.229200000000006</v>
      </c>
      <c r="L231" s="38">
        <v>1</v>
      </c>
    </row>
    <row r="232" spans="1:12" x14ac:dyDescent="0.25">
      <c r="A232" s="37" t="s">
        <v>7295</v>
      </c>
      <c r="B232" s="38" t="s">
        <v>7844</v>
      </c>
      <c r="C232" s="38" t="s">
        <v>9311</v>
      </c>
      <c r="D232" s="38" t="s">
        <v>7861</v>
      </c>
      <c r="E232" s="38" t="s">
        <v>7857</v>
      </c>
      <c r="F232" s="37" t="s">
        <v>7296</v>
      </c>
      <c r="G232" s="37" t="s">
        <v>8099</v>
      </c>
      <c r="H232" s="39">
        <v>9.7119</v>
      </c>
      <c r="I232" s="39">
        <v>30</v>
      </c>
      <c r="J232" s="39">
        <v>75</v>
      </c>
      <c r="K232" s="39">
        <v>7.2477</v>
      </c>
      <c r="L232" s="38">
        <v>1</v>
      </c>
    </row>
    <row r="233" spans="1:12" x14ac:dyDescent="0.25">
      <c r="A233" s="37" t="s">
        <v>7297</v>
      </c>
      <c r="B233" s="38" t="s">
        <v>7844</v>
      </c>
      <c r="C233" s="38" t="s">
        <v>9311</v>
      </c>
      <c r="D233" s="38" t="s">
        <v>7861</v>
      </c>
      <c r="E233" s="38" t="s">
        <v>7857</v>
      </c>
      <c r="F233" s="37" t="s">
        <v>7298</v>
      </c>
      <c r="G233" s="37" t="s">
        <v>8100</v>
      </c>
      <c r="H233" s="39">
        <v>9.7119</v>
      </c>
      <c r="I233" s="39">
        <v>49</v>
      </c>
      <c r="J233" s="39">
        <v>125</v>
      </c>
      <c r="K233" s="39">
        <v>7.2477</v>
      </c>
      <c r="L233" s="38">
        <v>1</v>
      </c>
    </row>
    <row r="234" spans="1:12" x14ac:dyDescent="0.25">
      <c r="A234" s="37" t="s">
        <v>7299</v>
      </c>
      <c r="B234" s="38" t="s">
        <v>7844</v>
      </c>
      <c r="C234" s="38" t="s">
        <v>9311</v>
      </c>
      <c r="D234" s="38" t="s">
        <v>8082</v>
      </c>
      <c r="E234" s="38" t="s">
        <v>7857</v>
      </c>
      <c r="F234" s="37" t="s">
        <v>7300</v>
      </c>
      <c r="G234" s="37" t="s">
        <v>8101</v>
      </c>
      <c r="H234" s="39">
        <v>42.732399999999998</v>
      </c>
      <c r="I234" s="39">
        <v>150</v>
      </c>
      <c r="J234" s="39">
        <v>375</v>
      </c>
      <c r="K234" s="39">
        <v>31.889800000000001</v>
      </c>
      <c r="L234" s="38">
        <v>1</v>
      </c>
    </row>
    <row r="235" spans="1:12" x14ac:dyDescent="0.25">
      <c r="A235" s="37" t="s">
        <v>7301</v>
      </c>
      <c r="B235" s="38" t="s">
        <v>7844</v>
      </c>
      <c r="C235" s="38" t="s">
        <v>9309</v>
      </c>
      <c r="D235" s="38" t="s">
        <v>7850</v>
      </c>
      <c r="E235" s="38" t="s">
        <v>7857</v>
      </c>
      <c r="F235" s="37" t="s">
        <v>7302</v>
      </c>
      <c r="G235" s="37" t="s">
        <v>8102</v>
      </c>
      <c r="H235" s="39">
        <v>17.481400000000001</v>
      </c>
      <c r="I235" s="39">
        <v>49</v>
      </c>
      <c r="J235" s="39">
        <v>119</v>
      </c>
      <c r="K235" s="39">
        <v>13.0458</v>
      </c>
      <c r="L235" s="38">
        <v>1</v>
      </c>
    </row>
    <row r="236" spans="1:12" x14ac:dyDescent="0.25">
      <c r="A236" s="37" t="s">
        <v>7303</v>
      </c>
      <c r="B236" s="38" t="s">
        <v>7844</v>
      </c>
      <c r="C236" s="38" t="s">
        <v>9312</v>
      </c>
      <c r="D236" s="38" t="s">
        <v>7917</v>
      </c>
      <c r="E236" s="38" t="s">
        <v>7857</v>
      </c>
      <c r="F236" s="37" t="s">
        <v>7304</v>
      </c>
      <c r="G236" s="37" t="s">
        <v>8103</v>
      </c>
      <c r="H236" s="39">
        <v>7.7694999999999999</v>
      </c>
      <c r="I236" s="39">
        <v>30</v>
      </c>
      <c r="J236" s="39">
        <v>75</v>
      </c>
      <c r="K236" s="39">
        <v>5.7981999999999996</v>
      </c>
      <c r="L236" s="38">
        <v>1</v>
      </c>
    </row>
    <row r="237" spans="1:12" x14ac:dyDescent="0.25">
      <c r="A237" s="37" t="s">
        <v>7305</v>
      </c>
      <c r="B237" s="38" t="s">
        <v>7844</v>
      </c>
      <c r="C237" s="38" t="s">
        <v>9311</v>
      </c>
      <c r="D237" s="38" t="s">
        <v>7856</v>
      </c>
      <c r="E237" s="38" t="s">
        <v>7857</v>
      </c>
      <c r="F237" s="37" t="s">
        <v>7306</v>
      </c>
      <c r="G237" s="37" t="s">
        <v>8104</v>
      </c>
      <c r="H237" s="39">
        <v>38.8476</v>
      </c>
      <c r="I237" s="39">
        <v>135</v>
      </c>
      <c r="J237" s="39">
        <v>335</v>
      </c>
      <c r="K237" s="39">
        <v>28.9908</v>
      </c>
      <c r="L237" s="38">
        <v>1</v>
      </c>
    </row>
    <row r="238" spans="1:12" x14ac:dyDescent="0.25">
      <c r="A238" s="37" t="s">
        <v>7307</v>
      </c>
      <c r="B238" s="38" t="s">
        <v>7844</v>
      </c>
      <c r="C238" s="38" t="s">
        <v>9311</v>
      </c>
      <c r="D238" s="38" t="s">
        <v>7861</v>
      </c>
      <c r="E238" s="38" t="s">
        <v>7857</v>
      </c>
      <c r="F238" s="37" t="s">
        <v>7308</v>
      </c>
      <c r="G238" s="37" t="s">
        <v>8105</v>
      </c>
      <c r="H238" s="39">
        <v>54.386699999999998</v>
      </c>
      <c r="I238" s="39">
        <v>200</v>
      </c>
      <c r="J238" s="39">
        <v>499</v>
      </c>
      <c r="K238" s="39">
        <v>40.5871</v>
      </c>
      <c r="L238" s="38">
        <v>1</v>
      </c>
    </row>
    <row r="239" spans="1:12" x14ac:dyDescent="0.25">
      <c r="A239" s="37" t="s">
        <v>7309</v>
      </c>
      <c r="B239" s="38" t="s">
        <v>7844</v>
      </c>
      <c r="C239" s="38" t="s">
        <v>9311</v>
      </c>
      <c r="D239" s="38" t="s">
        <v>7861</v>
      </c>
      <c r="E239" s="38" t="s">
        <v>7857</v>
      </c>
      <c r="F239" s="37" t="s">
        <v>7310</v>
      </c>
      <c r="G239" s="37" t="s">
        <v>8106</v>
      </c>
      <c r="H239" s="39">
        <v>126.2548</v>
      </c>
      <c r="I239" s="39">
        <v>439</v>
      </c>
      <c r="J239" s="39">
        <v>1099</v>
      </c>
      <c r="K239" s="39">
        <v>94.22</v>
      </c>
      <c r="L239" s="38">
        <v>1</v>
      </c>
    </row>
    <row r="240" spans="1:12" x14ac:dyDescent="0.25">
      <c r="A240" s="37" t="s">
        <v>7311</v>
      </c>
      <c r="B240" s="38" t="s">
        <v>7844</v>
      </c>
      <c r="C240" s="38" t="s">
        <v>9311</v>
      </c>
      <c r="D240" s="38" t="s">
        <v>7861</v>
      </c>
      <c r="E240" s="38" t="s">
        <v>7857</v>
      </c>
      <c r="F240" s="37" t="s">
        <v>7312</v>
      </c>
      <c r="G240" s="37" t="s">
        <v>8107</v>
      </c>
      <c r="H240" s="39">
        <v>87.4071</v>
      </c>
      <c r="I240" s="39">
        <v>305</v>
      </c>
      <c r="J240" s="39">
        <v>760</v>
      </c>
      <c r="K240" s="39">
        <v>65.229200000000006</v>
      </c>
      <c r="L240" s="38">
        <v>1</v>
      </c>
    </row>
    <row r="241" spans="1:12" x14ac:dyDescent="0.25">
      <c r="A241" s="37" t="s">
        <v>7313</v>
      </c>
      <c r="B241" s="38" t="s">
        <v>7844</v>
      </c>
      <c r="C241" s="38" t="s">
        <v>9309</v>
      </c>
      <c r="D241" s="38" t="s">
        <v>8033</v>
      </c>
      <c r="E241" s="38" t="s">
        <v>7857</v>
      </c>
      <c r="F241" s="37" t="s">
        <v>7314</v>
      </c>
      <c r="G241" s="37" t="s">
        <v>8108</v>
      </c>
      <c r="H241" s="39">
        <v>54.386699999999998</v>
      </c>
      <c r="I241" s="39">
        <v>190</v>
      </c>
      <c r="J241" s="39">
        <v>475</v>
      </c>
      <c r="K241" s="39">
        <v>40.5871</v>
      </c>
      <c r="L241" s="38">
        <v>1</v>
      </c>
    </row>
    <row r="242" spans="1:12" x14ac:dyDescent="0.25">
      <c r="A242" s="37" t="s">
        <v>7315</v>
      </c>
      <c r="B242" s="38" t="s">
        <v>7844</v>
      </c>
      <c r="C242" s="38" t="s">
        <v>9311</v>
      </c>
      <c r="D242" s="38" t="s">
        <v>7861</v>
      </c>
      <c r="E242" s="38" t="s">
        <v>7857</v>
      </c>
      <c r="F242" s="37" t="s">
        <v>7316</v>
      </c>
      <c r="G242" s="37" t="s">
        <v>8109</v>
      </c>
      <c r="H242" s="39">
        <v>87.4071</v>
      </c>
      <c r="I242" s="39">
        <v>300</v>
      </c>
      <c r="J242" s="39">
        <v>750</v>
      </c>
      <c r="K242" s="39">
        <v>65.229200000000006</v>
      </c>
      <c r="L242" s="38">
        <v>1</v>
      </c>
    </row>
    <row r="243" spans="1:12" x14ac:dyDescent="0.25">
      <c r="A243" s="37" t="s">
        <v>7317</v>
      </c>
      <c r="B243" s="38" t="s">
        <v>7844</v>
      </c>
      <c r="C243" s="38" t="s">
        <v>9309</v>
      </c>
      <c r="D243" s="38" t="s">
        <v>8033</v>
      </c>
      <c r="E243" s="38" t="s">
        <v>7857</v>
      </c>
      <c r="F243" s="37" t="s">
        <v>7318</v>
      </c>
      <c r="G243" s="37" t="s">
        <v>8110</v>
      </c>
      <c r="H243" s="39">
        <v>67.9833</v>
      </c>
      <c r="I243" s="39">
        <v>230</v>
      </c>
      <c r="J243" s="39">
        <v>575</v>
      </c>
      <c r="K243" s="39">
        <v>50.733800000000002</v>
      </c>
      <c r="L243" s="38">
        <v>1</v>
      </c>
    </row>
    <row r="244" spans="1:12" x14ac:dyDescent="0.25">
      <c r="A244" s="37" t="s">
        <v>7049</v>
      </c>
      <c r="B244" s="38" t="s">
        <v>7844</v>
      </c>
      <c r="C244" s="38" t="s">
        <v>9312</v>
      </c>
      <c r="D244" s="38" t="s">
        <v>7917</v>
      </c>
      <c r="E244" s="38" t="s">
        <v>7922</v>
      </c>
      <c r="F244" s="37" t="s">
        <v>7050</v>
      </c>
      <c r="G244" s="37" t="s">
        <v>8111</v>
      </c>
      <c r="H244" s="39">
        <v>477.93</v>
      </c>
      <c r="I244" s="39">
        <v>700</v>
      </c>
      <c r="J244" s="39">
        <v>790</v>
      </c>
      <c r="K244" s="39">
        <v>379.31</v>
      </c>
      <c r="L244" s="38">
        <v>1</v>
      </c>
    </row>
    <row r="245" spans="1:12" x14ac:dyDescent="0.25">
      <c r="A245" s="37" t="s">
        <v>7051</v>
      </c>
      <c r="B245" s="40" t="s">
        <v>7845</v>
      </c>
      <c r="C245" s="38" t="s">
        <v>9308</v>
      </c>
      <c r="D245" s="38" t="s">
        <v>7915</v>
      </c>
      <c r="E245" s="38" t="s">
        <v>7929</v>
      </c>
      <c r="F245" s="37" t="s">
        <v>7052</v>
      </c>
      <c r="G245" s="37" t="s">
        <v>8112</v>
      </c>
      <c r="H245" s="39">
        <v>10.112500000000001</v>
      </c>
      <c r="I245" s="39">
        <v>28</v>
      </c>
      <c r="J245" s="39">
        <v>55</v>
      </c>
      <c r="K245" s="39">
        <v>8.09</v>
      </c>
      <c r="L245" s="38">
        <v>1</v>
      </c>
    </row>
    <row r="246" spans="1:12" x14ac:dyDescent="0.25">
      <c r="A246" s="37" t="s">
        <v>7053</v>
      </c>
      <c r="B246" s="40" t="s">
        <v>7845</v>
      </c>
      <c r="C246" s="38" t="s">
        <v>9308</v>
      </c>
      <c r="D246" s="38" t="s">
        <v>7943</v>
      </c>
      <c r="E246" s="38" t="s">
        <v>7929</v>
      </c>
      <c r="F246" s="37" t="s">
        <v>7054</v>
      </c>
      <c r="G246" s="37" t="s">
        <v>8113</v>
      </c>
      <c r="H246" s="39">
        <v>1.3</v>
      </c>
      <c r="I246" s="39">
        <v>5</v>
      </c>
      <c r="J246" s="39">
        <v>12</v>
      </c>
      <c r="K246" s="39">
        <v>1.04</v>
      </c>
      <c r="L246" s="38">
        <v>1</v>
      </c>
    </row>
    <row r="247" spans="1:12" x14ac:dyDescent="0.25">
      <c r="A247" s="37" t="s">
        <v>7055</v>
      </c>
      <c r="B247" s="38" t="s">
        <v>7844</v>
      </c>
      <c r="C247" s="38" t="s">
        <v>9311</v>
      </c>
      <c r="D247" s="38" t="s">
        <v>7962</v>
      </c>
      <c r="E247" s="38" t="s">
        <v>7857</v>
      </c>
      <c r="F247" s="37" t="s">
        <v>7056</v>
      </c>
      <c r="G247" s="37" t="s">
        <v>8114</v>
      </c>
      <c r="H247" s="39">
        <v>50.043500000000002</v>
      </c>
      <c r="I247" s="39">
        <v>125</v>
      </c>
      <c r="J247" s="39">
        <v>250</v>
      </c>
      <c r="K247" s="39">
        <v>40.034799999999997</v>
      </c>
      <c r="L247" s="38">
        <v>1</v>
      </c>
    </row>
    <row r="248" spans="1:12" x14ac:dyDescent="0.25">
      <c r="A248" s="37" t="s">
        <v>7057</v>
      </c>
      <c r="B248" s="38" t="s">
        <v>7844</v>
      </c>
      <c r="C248" s="38" t="s">
        <v>9311</v>
      </c>
      <c r="D248" s="38" t="s">
        <v>7962</v>
      </c>
      <c r="E248" s="38" t="s">
        <v>7857</v>
      </c>
      <c r="F248" s="37" t="s">
        <v>7058</v>
      </c>
      <c r="G248" s="37" t="s">
        <v>8115</v>
      </c>
      <c r="H248" s="39">
        <v>50.043500000000002</v>
      </c>
      <c r="I248" s="39">
        <v>145</v>
      </c>
      <c r="J248" s="39">
        <v>290</v>
      </c>
      <c r="K248" s="39">
        <v>40.034799999999997</v>
      </c>
      <c r="L248" s="38">
        <v>1</v>
      </c>
    </row>
    <row r="249" spans="1:12" x14ac:dyDescent="0.25">
      <c r="A249" s="37" t="s">
        <v>7059</v>
      </c>
      <c r="B249" s="38" t="s">
        <v>7844</v>
      </c>
      <c r="C249" s="38" t="s">
        <v>9311</v>
      </c>
      <c r="D249" s="38" t="s">
        <v>7962</v>
      </c>
      <c r="E249" s="38" t="s">
        <v>7857</v>
      </c>
      <c r="F249" s="37" t="s">
        <v>7060</v>
      </c>
      <c r="G249" s="37" t="s">
        <v>8116</v>
      </c>
      <c r="H249" s="39">
        <v>175.1523</v>
      </c>
      <c r="I249" s="39">
        <v>350</v>
      </c>
      <c r="J249" s="39">
        <v>450</v>
      </c>
      <c r="K249" s="39">
        <v>140.12180000000001</v>
      </c>
      <c r="L249" s="38">
        <v>1</v>
      </c>
    </row>
    <row r="250" spans="1:12" x14ac:dyDescent="0.25">
      <c r="A250" s="37" t="s">
        <v>7061</v>
      </c>
      <c r="B250" s="38" t="s">
        <v>7844</v>
      </c>
      <c r="C250" s="38" t="s">
        <v>9312</v>
      </c>
      <c r="D250" s="38" t="s">
        <v>7917</v>
      </c>
      <c r="E250" s="38" t="s">
        <v>7902</v>
      </c>
      <c r="F250" s="37" t="s">
        <v>7062</v>
      </c>
      <c r="G250" s="37" t="s">
        <v>8117</v>
      </c>
      <c r="H250" s="39">
        <v>7.5065</v>
      </c>
      <c r="I250" s="39">
        <v>17</v>
      </c>
      <c r="J250" s="39">
        <v>39</v>
      </c>
      <c r="K250" s="39">
        <v>6.0052000000000003</v>
      </c>
      <c r="L250" s="38">
        <v>1</v>
      </c>
    </row>
    <row r="251" spans="1:12" x14ac:dyDescent="0.25">
      <c r="A251" s="37" t="s">
        <v>7063</v>
      </c>
      <c r="B251" s="38" t="s">
        <v>7844</v>
      </c>
      <c r="C251" s="38" t="s">
        <v>9309</v>
      </c>
      <c r="D251" s="38" t="s">
        <v>7901</v>
      </c>
      <c r="E251" s="38" t="s">
        <v>7857</v>
      </c>
      <c r="F251" s="37" t="s">
        <v>7064</v>
      </c>
      <c r="G251" s="37" t="s">
        <v>8118</v>
      </c>
      <c r="H251" s="39">
        <v>16.514399999999998</v>
      </c>
      <c r="I251" s="39">
        <v>46</v>
      </c>
      <c r="J251" s="39">
        <v>85</v>
      </c>
      <c r="K251" s="39">
        <v>13.211499999999999</v>
      </c>
      <c r="L251" s="38">
        <v>1</v>
      </c>
    </row>
    <row r="252" spans="1:12" x14ac:dyDescent="0.25">
      <c r="A252" s="37" t="s">
        <v>7065</v>
      </c>
      <c r="B252" s="38" t="s">
        <v>7844</v>
      </c>
      <c r="C252" s="38" t="s">
        <v>9309</v>
      </c>
      <c r="D252" s="38" t="s">
        <v>7901</v>
      </c>
      <c r="E252" s="38" t="s">
        <v>7857</v>
      </c>
      <c r="F252" s="37" t="s">
        <v>7066</v>
      </c>
      <c r="G252" s="37" t="s">
        <v>8119</v>
      </c>
      <c r="H252" s="39">
        <v>7.5065</v>
      </c>
      <c r="I252" s="39">
        <v>15</v>
      </c>
      <c r="J252" s="39">
        <v>29</v>
      </c>
      <c r="K252" s="39">
        <v>6.0052000000000003</v>
      </c>
      <c r="L252" s="38">
        <v>1</v>
      </c>
    </row>
    <row r="253" spans="1:12" x14ac:dyDescent="0.25">
      <c r="A253" s="37" t="s">
        <v>7067</v>
      </c>
      <c r="B253" s="38" t="s">
        <v>7844</v>
      </c>
      <c r="C253" s="38" t="s">
        <v>9312</v>
      </c>
      <c r="D253" s="38" t="s">
        <v>7917</v>
      </c>
      <c r="E253" s="38" t="s">
        <v>7922</v>
      </c>
      <c r="F253" s="37" t="s">
        <v>7068</v>
      </c>
      <c r="G253" s="37" t="s">
        <v>7921</v>
      </c>
      <c r="H253" s="39">
        <v>10.008699999999999</v>
      </c>
      <c r="I253" s="39">
        <v>20</v>
      </c>
      <c r="J253" s="39">
        <v>39</v>
      </c>
      <c r="K253" s="39">
        <v>8.0069999999999997</v>
      </c>
      <c r="L253" s="38">
        <v>1</v>
      </c>
    </row>
    <row r="254" spans="1:12" x14ac:dyDescent="0.25">
      <c r="A254" s="37" t="s">
        <v>7069</v>
      </c>
      <c r="B254" s="38" t="s">
        <v>7844</v>
      </c>
      <c r="C254" s="38" t="s">
        <v>9309</v>
      </c>
      <c r="D254" s="38" t="s">
        <v>7878</v>
      </c>
      <c r="E254" s="38" t="s">
        <v>7922</v>
      </c>
      <c r="F254" s="37" t="s">
        <v>7070</v>
      </c>
      <c r="G254" s="37" t="s">
        <v>8120</v>
      </c>
      <c r="H254" s="39">
        <v>22.173999999999999</v>
      </c>
      <c r="I254" s="39">
        <v>30</v>
      </c>
      <c r="J254" s="39">
        <v>60</v>
      </c>
      <c r="K254" s="39">
        <v>18.478300000000001</v>
      </c>
      <c r="L254" s="38">
        <v>1</v>
      </c>
    </row>
    <row r="255" spans="1:12" x14ac:dyDescent="0.25">
      <c r="A255" s="37" t="s">
        <v>32</v>
      </c>
      <c r="B255" s="38" t="s">
        <v>7844</v>
      </c>
      <c r="C255" s="38" t="s">
        <v>9309</v>
      </c>
      <c r="D255" s="38" t="s">
        <v>7898</v>
      </c>
      <c r="E255" s="38" t="s">
        <v>7922</v>
      </c>
      <c r="F255" s="37" t="s">
        <v>7071</v>
      </c>
      <c r="G255" s="37" t="s">
        <v>8121</v>
      </c>
      <c r="H255" s="39">
        <v>17.4054</v>
      </c>
      <c r="I255" s="39">
        <v>39</v>
      </c>
      <c r="J255" s="39">
        <v>89</v>
      </c>
      <c r="K255" s="39">
        <v>13.4</v>
      </c>
      <c r="L255" s="38">
        <v>1</v>
      </c>
    </row>
    <row r="256" spans="1:12" x14ac:dyDescent="0.25">
      <c r="A256" s="37" t="s">
        <v>113</v>
      </c>
      <c r="B256" s="38" t="s">
        <v>7844</v>
      </c>
      <c r="C256" s="38" t="s">
        <v>9309</v>
      </c>
      <c r="D256" s="38" t="s">
        <v>7898</v>
      </c>
      <c r="E256" s="38" t="s">
        <v>7922</v>
      </c>
      <c r="F256" s="37" t="s">
        <v>7072</v>
      </c>
      <c r="G256" s="37" t="s">
        <v>8122</v>
      </c>
      <c r="H256" s="39">
        <v>22.925699999999999</v>
      </c>
      <c r="I256" s="39">
        <v>42</v>
      </c>
      <c r="J256" s="39">
        <v>99</v>
      </c>
      <c r="K256" s="39">
        <v>17.649999999999999</v>
      </c>
      <c r="L256" s="38">
        <v>1</v>
      </c>
    </row>
    <row r="257" spans="1:12" x14ac:dyDescent="0.25">
      <c r="A257" s="37" t="s">
        <v>7073</v>
      </c>
      <c r="B257" s="38" t="s">
        <v>7844</v>
      </c>
      <c r="C257" s="38" t="s">
        <v>9308</v>
      </c>
      <c r="D257" s="38" t="s">
        <v>8123</v>
      </c>
      <c r="E257" s="38" t="s">
        <v>7854</v>
      </c>
      <c r="F257" s="37" t="s">
        <v>7074</v>
      </c>
      <c r="G257" s="37" t="s">
        <v>8124</v>
      </c>
      <c r="H257" s="39">
        <v>1.2937000000000001</v>
      </c>
      <c r="I257" s="39">
        <v>2</v>
      </c>
      <c r="J257" s="39">
        <v>5</v>
      </c>
      <c r="K257" s="39">
        <v>0.95130000000000003</v>
      </c>
      <c r="L257" s="38">
        <v>1</v>
      </c>
    </row>
    <row r="258" spans="1:12" x14ac:dyDescent="0.25">
      <c r="A258" s="37" t="s">
        <v>7075</v>
      </c>
      <c r="B258" s="38" t="s">
        <v>7844</v>
      </c>
      <c r="C258" s="38" t="s">
        <v>9308</v>
      </c>
      <c r="D258" s="38" t="s">
        <v>8123</v>
      </c>
      <c r="E258" s="38" t="s">
        <v>7854</v>
      </c>
      <c r="F258" s="37" t="s">
        <v>7076</v>
      </c>
      <c r="G258" s="37" t="s">
        <v>8124</v>
      </c>
      <c r="H258" s="39">
        <v>1.2937000000000001</v>
      </c>
      <c r="I258" s="39">
        <v>2</v>
      </c>
      <c r="J258" s="39">
        <v>5</v>
      </c>
      <c r="K258" s="39">
        <v>0.95130000000000003</v>
      </c>
      <c r="L258" s="38">
        <v>1</v>
      </c>
    </row>
    <row r="259" spans="1:12" x14ac:dyDescent="0.25">
      <c r="A259" s="37" t="s">
        <v>29</v>
      </c>
      <c r="B259" s="38" t="s">
        <v>7844</v>
      </c>
      <c r="C259" s="38" t="s">
        <v>9312</v>
      </c>
      <c r="D259" s="38" t="s">
        <v>7917</v>
      </c>
      <c r="E259" s="38" t="s">
        <v>7879</v>
      </c>
      <c r="F259" s="37" t="s">
        <v>7077</v>
      </c>
      <c r="G259" s="37" t="s">
        <v>8125</v>
      </c>
      <c r="H259" s="39">
        <v>5.9981999999999998</v>
      </c>
      <c r="I259" s="39">
        <v>18</v>
      </c>
      <c r="J259" s="39">
        <v>45</v>
      </c>
      <c r="K259" s="39">
        <v>4.9165999999999999</v>
      </c>
      <c r="L259" s="38">
        <v>1</v>
      </c>
    </row>
    <row r="260" spans="1:12" x14ac:dyDescent="0.25">
      <c r="A260" s="37" t="s">
        <v>87</v>
      </c>
      <c r="B260" s="38" t="s">
        <v>7844</v>
      </c>
      <c r="C260" s="38" t="s">
        <v>9312</v>
      </c>
      <c r="D260" s="38" t="s">
        <v>7917</v>
      </c>
      <c r="E260" s="38" t="s">
        <v>7851</v>
      </c>
      <c r="F260" s="37" t="s">
        <v>7078</v>
      </c>
      <c r="G260" s="37" t="s">
        <v>8126</v>
      </c>
      <c r="H260" s="39">
        <v>19.517399999999999</v>
      </c>
      <c r="I260" s="39">
        <v>59</v>
      </c>
      <c r="J260" s="39">
        <v>129</v>
      </c>
      <c r="K260" s="39">
        <v>15.013400000000001</v>
      </c>
      <c r="L260" s="38">
        <v>1</v>
      </c>
    </row>
    <row r="261" spans="1:12" x14ac:dyDescent="0.25">
      <c r="A261" s="37" t="s">
        <v>7079</v>
      </c>
      <c r="B261" s="38" t="s">
        <v>7844</v>
      </c>
      <c r="C261" s="38" t="s">
        <v>9312</v>
      </c>
      <c r="D261" s="38" t="s">
        <v>7917</v>
      </c>
      <c r="E261" s="38" t="s">
        <v>7857</v>
      </c>
      <c r="F261" s="37" t="s">
        <v>7080</v>
      </c>
      <c r="G261" s="37" t="s">
        <v>8127</v>
      </c>
      <c r="H261" s="39">
        <v>16.203199999999999</v>
      </c>
      <c r="I261" s="39">
        <v>50</v>
      </c>
      <c r="J261" s="39">
        <v>80</v>
      </c>
      <c r="K261" s="39">
        <v>13.502700000000001</v>
      </c>
      <c r="L261" s="38">
        <v>1</v>
      </c>
    </row>
    <row r="262" spans="1:12" x14ac:dyDescent="0.25">
      <c r="A262" s="37" t="s">
        <v>7319</v>
      </c>
      <c r="B262" s="38" t="s">
        <v>7844</v>
      </c>
      <c r="C262" s="38" t="s">
        <v>9309</v>
      </c>
      <c r="D262" s="38" t="s">
        <v>8033</v>
      </c>
      <c r="E262" s="38" t="s">
        <v>7857</v>
      </c>
      <c r="F262" s="37" t="s">
        <v>7320</v>
      </c>
      <c r="G262" s="37" t="s">
        <v>8128</v>
      </c>
      <c r="H262" s="39">
        <v>81.58</v>
      </c>
      <c r="I262" s="39">
        <v>275</v>
      </c>
      <c r="J262" s="39">
        <v>685</v>
      </c>
      <c r="K262" s="39">
        <v>60.880600000000001</v>
      </c>
      <c r="L262" s="38">
        <v>1</v>
      </c>
    </row>
    <row r="263" spans="1:12" x14ac:dyDescent="0.25">
      <c r="A263" s="37" t="s">
        <v>7321</v>
      </c>
      <c r="B263" s="38" t="s">
        <v>7844</v>
      </c>
      <c r="C263" s="38" t="s">
        <v>9309</v>
      </c>
      <c r="D263" s="38" t="s">
        <v>7850</v>
      </c>
      <c r="E263" s="38" t="s">
        <v>7857</v>
      </c>
      <c r="F263" s="37" t="s">
        <v>7322</v>
      </c>
      <c r="G263" s="37" t="s">
        <v>8129</v>
      </c>
      <c r="H263" s="39">
        <v>23.308599999999998</v>
      </c>
      <c r="I263" s="39">
        <v>85</v>
      </c>
      <c r="J263" s="39">
        <v>215</v>
      </c>
      <c r="K263" s="39">
        <v>17.394500000000001</v>
      </c>
      <c r="L263" s="38">
        <v>1</v>
      </c>
    </row>
    <row r="264" spans="1:12" x14ac:dyDescent="0.25">
      <c r="A264" s="37" t="s">
        <v>7081</v>
      </c>
      <c r="B264" s="38" t="s">
        <v>7844</v>
      </c>
      <c r="C264" s="38" t="s">
        <v>9309</v>
      </c>
      <c r="D264" s="38" t="s">
        <v>8029</v>
      </c>
      <c r="E264" s="38" t="s">
        <v>7851</v>
      </c>
      <c r="F264" s="37" t="s">
        <v>7323</v>
      </c>
      <c r="G264" s="37" t="s">
        <v>8130</v>
      </c>
      <c r="H264" s="39">
        <v>19.4238</v>
      </c>
      <c r="I264" s="39">
        <v>65</v>
      </c>
      <c r="J264" s="39">
        <v>160</v>
      </c>
      <c r="K264" s="39">
        <v>14.4954</v>
      </c>
      <c r="L264" s="38">
        <v>1</v>
      </c>
    </row>
    <row r="265" spans="1:12" x14ac:dyDescent="0.25">
      <c r="A265" s="37" t="s">
        <v>7324</v>
      </c>
      <c r="B265" s="38" t="s">
        <v>7844</v>
      </c>
      <c r="C265" s="38" t="s">
        <v>9312</v>
      </c>
      <c r="D265" s="38" t="s">
        <v>7917</v>
      </c>
      <c r="E265" s="38" t="s">
        <v>7851</v>
      </c>
      <c r="F265" s="37" t="s">
        <v>7325</v>
      </c>
      <c r="G265" s="37" t="s">
        <v>8131</v>
      </c>
      <c r="H265" s="39">
        <v>15.539</v>
      </c>
      <c r="I265" s="39">
        <v>82</v>
      </c>
      <c r="J265" s="39">
        <v>199</v>
      </c>
      <c r="K265" s="39">
        <v>11.596299999999999</v>
      </c>
      <c r="L265" s="38">
        <v>1</v>
      </c>
    </row>
    <row r="266" spans="1:12" x14ac:dyDescent="0.25">
      <c r="A266" s="37" t="s">
        <v>7326</v>
      </c>
      <c r="B266" s="38" t="s">
        <v>7844</v>
      </c>
      <c r="C266" s="38" t="s">
        <v>9311</v>
      </c>
      <c r="D266" s="38" t="s">
        <v>7861</v>
      </c>
      <c r="E266" s="38" t="s">
        <v>7857</v>
      </c>
      <c r="F266" s="37" t="s">
        <v>7327</v>
      </c>
      <c r="G266" s="37" t="s">
        <v>8132</v>
      </c>
      <c r="H266" s="39">
        <v>73.810500000000005</v>
      </c>
      <c r="I266" s="39">
        <v>255</v>
      </c>
      <c r="J266" s="39">
        <v>635</v>
      </c>
      <c r="K266" s="39">
        <v>55.0824</v>
      </c>
      <c r="L266" s="38">
        <v>1</v>
      </c>
    </row>
    <row r="267" spans="1:12" x14ac:dyDescent="0.25">
      <c r="A267" s="37" t="s">
        <v>7328</v>
      </c>
      <c r="B267" s="38" t="s">
        <v>7844</v>
      </c>
      <c r="C267" s="38" t="s">
        <v>9308</v>
      </c>
      <c r="D267" s="38" t="s">
        <v>7915</v>
      </c>
      <c r="E267" s="38" t="s">
        <v>7851</v>
      </c>
      <c r="F267" s="37" t="s">
        <v>7329</v>
      </c>
      <c r="G267" s="37" t="s">
        <v>7921</v>
      </c>
      <c r="H267" s="39">
        <v>3.8847999999999998</v>
      </c>
      <c r="I267" s="39">
        <v>14</v>
      </c>
      <c r="J267" s="39">
        <v>35</v>
      </c>
      <c r="K267" s="39">
        <v>2.8990999999999998</v>
      </c>
      <c r="L267" s="38">
        <v>1</v>
      </c>
    </row>
    <row r="268" spans="1:12" x14ac:dyDescent="0.25">
      <c r="A268" s="37" t="s">
        <v>97</v>
      </c>
      <c r="B268" s="38" t="s">
        <v>7844</v>
      </c>
      <c r="C268" s="38" t="s">
        <v>9308</v>
      </c>
      <c r="D268" s="38" t="s">
        <v>7915</v>
      </c>
      <c r="E268" s="38" t="s">
        <v>7851</v>
      </c>
      <c r="F268" s="37" t="s">
        <v>7330</v>
      </c>
      <c r="G268" s="37" t="s">
        <v>7921</v>
      </c>
      <c r="H268" s="39">
        <v>18.4526</v>
      </c>
      <c r="I268" s="39">
        <v>49</v>
      </c>
      <c r="J268" s="39">
        <v>120</v>
      </c>
      <c r="K268" s="39">
        <v>13.7706</v>
      </c>
      <c r="L268" s="38">
        <v>1</v>
      </c>
    </row>
    <row r="269" spans="1:12" x14ac:dyDescent="0.25">
      <c r="A269" s="37" t="s">
        <v>7331</v>
      </c>
      <c r="B269" s="38" t="s">
        <v>7844</v>
      </c>
      <c r="C269" s="38" t="s">
        <v>9309</v>
      </c>
      <c r="D269" s="38" t="s">
        <v>8033</v>
      </c>
      <c r="E269" s="38" t="s">
        <v>7857</v>
      </c>
      <c r="F269" s="37" t="s">
        <v>7332</v>
      </c>
      <c r="G269" s="37" t="s">
        <v>8133</v>
      </c>
      <c r="H269" s="39">
        <v>38.8476</v>
      </c>
      <c r="I269" s="39">
        <v>140</v>
      </c>
      <c r="J269" s="39">
        <v>350</v>
      </c>
      <c r="K269" s="39">
        <v>28.9908</v>
      </c>
      <c r="L269" s="38">
        <v>1</v>
      </c>
    </row>
    <row r="270" spans="1:12" x14ac:dyDescent="0.25">
      <c r="A270" s="37" t="s">
        <v>78</v>
      </c>
      <c r="B270" s="38" t="s">
        <v>7844</v>
      </c>
      <c r="C270" s="38" t="s">
        <v>9309</v>
      </c>
      <c r="D270" s="38" t="s">
        <v>7850</v>
      </c>
      <c r="E270" s="38" t="s">
        <v>7857</v>
      </c>
      <c r="F270" s="37" t="s">
        <v>7333</v>
      </c>
      <c r="G270" s="37" t="s">
        <v>8134</v>
      </c>
      <c r="H270" s="39">
        <v>19.4238</v>
      </c>
      <c r="I270" s="39">
        <v>65</v>
      </c>
      <c r="J270" s="39">
        <v>160</v>
      </c>
      <c r="K270" s="39">
        <v>14.4954</v>
      </c>
      <c r="L270" s="38">
        <v>1</v>
      </c>
    </row>
    <row r="271" spans="1:12" x14ac:dyDescent="0.25">
      <c r="A271" s="37" t="s">
        <v>7082</v>
      </c>
      <c r="B271" s="38" t="s">
        <v>7844</v>
      </c>
      <c r="C271" s="38" t="s">
        <v>9311</v>
      </c>
      <c r="D271" s="38" t="s">
        <v>7861</v>
      </c>
      <c r="E271" s="38" t="s">
        <v>7857</v>
      </c>
      <c r="F271" s="37" t="s">
        <v>7334</v>
      </c>
      <c r="G271" s="37" t="s">
        <v>8135</v>
      </c>
      <c r="H271" s="39">
        <v>106.8309</v>
      </c>
      <c r="I271" s="39">
        <v>385</v>
      </c>
      <c r="J271" s="39">
        <v>965</v>
      </c>
      <c r="K271" s="39">
        <v>79.724599999999995</v>
      </c>
      <c r="L271" s="38">
        <v>1</v>
      </c>
    </row>
    <row r="272" spans="1:12" x14ac:dyDescent="0.25">
      <c r="A272" s="37" t="s">
        <v>7335</v>
      </c>
      <c r="B272" s="38" t="s">
        <v>7844</v>
      </c>
      <c r="C272" s="38" t="s">
        <v>9311</v>
      </c>
      <c r="D272" s="38" t="s">
        <v>7861</v>
      </c>
      <c r="E272" s="38" t="s">
        <v>7857</v>
      </c>
      <c r="F272" s="37" t="s">
        <v>7336</v>
      </c>
      <c r="G272" s="37" t="s">
        <v>8136</v>
      </c>
      <c r="H272" s="39">
        <v>87.4071</v>
      </c>
      <c r="I272" s="39">
        <v>330</v>
      </c>
      <c r="J272" s="39">
        <v>825</v>
      </c>
      <c r="K272" s="39">
        <v>65.229200000000006</v>
      </c>
      <c r="L272" s="38">
        <v>1</v>
      </c>
    </row>
    <row r="273" spans="1:12" x14ac:dyDescent="0.25">
      <c r="A273" s="37" t="s">
        <v>7083</v>
      </c>
      <c r="B273" s="38" t="s">
        <v>7844</v>
      </c>
      <c r="C273" s="38" t="s">
        <v>9311</v>
      </c>
      <c r="D273" s="38" t="s">
        <v>7861</v>
      </c>
      <c r="E273" s="38" t="s">
        <v>7857</v>
      </c>
      <c r="F273" s="37" t="s">
        <v>7337</v>
      </c>
      <c r="G273" s="37" t="s">
        <v>8137</v>
      </c>
      <c r="H273" s="39">
        <v>93.234300000000005</v>
      </c>
      <c r="I273" s="39">
        <v>345</v>
      </c>
      <c r="J273" s="39">
        <v>865</v>
      </c>
      <c r="K273" s="39">
        <v>69.577799999999996</v>
      </c>
      <c r="L273" s="38">
        <v>1</v>
      </c>
    </row>
    <row r="274" spans="1:12" x14ac:dyDescent="0.25">
      <c r="A274" s="37" t="s">
        <v>7338</v>
      </c>
      <c r="B274" s="38" t="s">
        <v>7844</v>
      </c>
      <c r="C274" s="38" t="s">
        <v>9308</v>
      </c>
      <c r="D274" s="38" t="s">
        <v>7915</v>
      </c>
      <c r="E274" s="38" t="s">
        <v>7851</v>
      </c>
      <c r="F274" s="37" t="s">
        <v>7339</v>
      </c>
      <c r="G274" s="37" t="s">
        <v>8138</v>
      </c>
      <c r="H274" s="39">
        <v>6.7983000000000002</v>
      </c>
      <c r="I274" s="39">
        <v>22</v>
      </c>
      <c r="J274" s="39">
        <v>55</v>
      </c>
      <c r="K274" s="39">
        <v>5.0734000000000004</v>
      </c>
      <c r="L274" s="38">
        <v>1</v>
      </c>
    </row>
    <row r="275" spans="1:12" x14ac:dyDescent="0.25">
      <c r="A275" s="37" t="s">
        <v>7340</v>
      </c>
      <c r="B275" s="38" t="s">
        <v>7844</v>
      </c>
      <c r="C275" s="38" t="s">
        <v>9309</v>
      </c>
      <c r="D275" s="38" t="s">
        <v>8139</v>
      </c>
      <c r="E275" s="38" t="s">
        <v>7973</v>
      </c>
      <c r="F275" s="37" t="s">
        <v>7341</v>
      </c>
      <c r="G275" s="37" t="s">
        <v>8140</v>
      </c>
      <c r="H275" s="39">
        <v>62.156199999999998</v>
      </c>
      <c r="I275" s="39">
        <v>220</v>
      </c>
      <c r="J275" s="39">
        <v>550</v>
      </c>
      <c r="K275" s="39">
        <v>46.385199999999998</v>
      </c>
      <c r="L275" s="38">
        <v>1</v>
      </c>
    </row>
    <row r="276" spans="1:12" x14ac:dyDescent="0.25">
      <c r="A276" s="37" t="s">
        <v>7342</v>
      </c>
      <c r="B276" s="38" t="s">
        <v>7844</v>
      </c>
      <c r="C276" s="38" t="s">
        <v>9309</v>
      </c>
      <c r="D276" s="38" t="s">
        <v>7908</v>
      </c>
      <c r="E276" s="38" t="s">
        <v>7857</v>
      </c>
      <c r="F276" s="37" t="s">
        <v>7343</v>
      </c>
      <c r="G276" s="37" t="s">
        <v>8141</v>
      </c>
      <c r="H276" s="39">
        <v>29.1357</v>
      </c>
      <c r="I276" s="39">
        <v>105</v>
      </c>
      <c r="J276" s="39">
        <v>260</v>
      </c>
      <c r="K276" s="39">
        <v>21.743099999999998</v>
      </c>
      <c r="L276" s="38">
        <v>1</v>
      </c>
    </row>
    <row r="277" spans="1:12" x14ac:dyDescent="0.25">
      <c r="A277" s="37" t="s">
        <v>7344</v>
      </c>
      <c r="B277" s="38" t="s">
        <v>7844</v>
      </c>
      <c r="C277" s="38" t="s">
        <v>9311</v>
      </c>
      <c r="D277" s="38" t="s">
        <v>8082</v>
      </c>
      <c r="E277" s="38" t="s">
        <v>7929</v>
      </c>
      <c r="F277" s="37" t="s">
        <v>7345</v>
      </c>
      <c r="G277" s="37" t="s">
        <v>8142</v>
      </c>
      <c r="H277" s="39">
        <v>42.732399999999998</v>
      </c>
      <c r="I277" s="39">
        <v>140</v>
      </c>
      <c r="J277" s="39">
        <v>350</v>
      </c>
      <c r="K277" s="39">
        <v>31.889800000000001</v>
      </c>
      <c r="L277" s="38">
        <v>1</v>
      </c>
    </row>
    <row r="278" spans="1:12" x14ac:dyDescent="0.25">
      <c r="A278" s="37" t="s">
        <v>7084</v>
      </c>
      <c r="B278" s="38" t="s">
        <v>7844</v>
      </c>
      <c r="C278" s="38" t="s">
        <v>9312</v>
      </c>
      <c r="D278" s="38" t="s">
        <v>7917</v>
      </c>
      <c r="E278" s="38" t="s">
        <v>7857</v>
      </c>
      <c r="F278" s="37" t="s">
        <v>7346</v>
      </c>
      <c r="G278" s="37" t="s">
        <v>8143</v>
      </c>
      <c r="H278" s="39">
        <v>15.539</v>
      </c>
      <c r="I278" s="39">
        <v>49</v>
      </c>
      <c r="J278" s="39">
        <v>120</v>
      </c>
      <c r="K278" s="39">
        <v>11.596299999999999</v>
      </c>
      <c r="L278" s="38">
        <v>1</v>
      </c>
    </row>
    <row r="279" spans="1:12" x14ac:dyDescent="0.25">
      <c r="A279" s="37" t="s">
        <v>7347</v>
      </c>
      <c r="B279" s="38" t="s">
        <v>7844</v>
      </c>
      <c r="C279" s="38" t="s">
        <v>9309</v>
      </c>
      <c r="D279" s="38" t="s">
        <v>7850</v>
      </c>
      <c r="E279" s="38" t="s">
        <v>7857</v>
      </c>
      <c r="F279" s="37" t="s">
        <v>7348</v>
      </c>
      <c r="G279" s="37" t="s">
        <v>8144</v>
      </c>
      <c r="H279" s="39">
        <v>19.4238</v>
      </c>
      <c r="I279" s="39">
        <v>55</v>
      </c>
      <c r="J279" s="39">
        <v>130</v>
      </c>
      <c r="K279" s="39">
        <v>14.4954</v>
      </c>
      <c r="L279" s="38">
        <v>1</v>
      </c>
    </row>
    <row r="280" spans="1:12" x14ac:dyDescent="0.25">
      <c r="A280" s="37" t="s">
        <v>7349</v>
      </c>
      <c r="B280" s="38" t="s">
        <v>7844</v>
      </c>
      <c r="C280" s="38" t="s">
        <v>9309</v>
      </c>
      <c r="D280" s="38" t="s">
        <v>7878</v>
      </c>
      <c r="E280" s="38" t="s">
        <v>7922</v>
      </c>
      <c r="F280" s="37" t="s">
        <v>7350</v>
      </c>
      <c r="G280" s="37" t="s">
        <v>8145</v>
      </c>
      <c r="H280" s="39">
        <v>22.337399999999999</v>
      </c>
      <c r="I280" s="39">
        <v>65</v>
      </c>
      <c r="J280" s="39">
        <v>160</v>
      </c>
      <c r="K280" s="39">
        <v>16.669699999999999</v>
      </c>
      <c r="L280" s="38">
        <v>1</v>
      </c>
    </row>
    <row r="281" spans="1:12" x14ac:dyDescent="0.25">
      <c r="A281" s="37" t="s">
        <v>61</v>
      </c>
      <c r="B281" s="38" t="s">
        <v>7844</v>
      </c>
      <c r="C281" s="38" t="s">
        <v>9311</v>
      </c>
      <c r="D281" s="38" t="s">
        <v>7861</v>
      </c>
      <c r="E281" s="38" t="s">
        <v>7857</v>
      </c>
      <c r="F281" s="37" t="s">
        <v>7351</v>
      </c>
      <c r="G281" s="37" t="s">
        <v>8146</v>
      </c>
      <c r="H281" s="39">
        <v>87.4071</v>
      </c>
      <c r="I281" s="39">
        <v>325</v>
      </c>
      <c r="J281" s="39">
        <v>815</v>
      </c>
      <c r="K281" s="39">
        <v>65.229200000000006</v>
      </c>
      <c r="L281" s="38">
        <v>1</v>
      </c>
    </row>
    <row r="282" spans="1:12" x14ac:dyDescent="0.25">
      <c r="A282" s="37" t="s">
        <v>115</v>
      </c>
      <c r="B282" s="38" t="s">
        <v>7844</v>
      </c>
      <c r="C282" s="38" t="s">
        <v>9309</v>
      </c>
      <c r="D282" s="38" t="s">
        <v>8029</v>
      </c>
      <c r="E282" s="38" t="s">
        <v>7851</v>
      </c>
      <c r="F282" s="37" t="s">
        <v>7352</v>
      </c>
      <c r="G282" s="37" t="s">
        <v>8147</v>
      </c>
      <c r="H282" s="39">
        <v>34.962899999999998</v>
      </c>
      <c r="I282" s="39">
        <v>95</v>
      </c>
      <c r="J282" s="39">
        <v>230</v>
      </c>
      <c r="K282" s="39">
        <v>26.091699999999999</v>
      </c>
      <c r="L282" s="38">
        <v>1</v>
      </c>
    </row>
    <row r="283" spans="1:12" x14ac:dyDescent="0.25">
      <c r="A283" s="37" t="s">
        <v>7085</v>
      </c>
      <c r="B283" s="38" t="s">
        <v>7844</v>
      </c>
      <c r="C283" s="38" t="s">
        <v>9311</v>
      </c>
      <c r="D283" s="38" t="s">
        <v>7856</v>
      </c>
      <c r="E283" s="38" t="s">
        <v>7857</v>
      </c>
      <c r="F283" s="37" t="s">
        <v>7353</v>
      </c>
      <c r="G283" s="37" t="s">
        <v>8148</v>
      </c>
      <c r="H283" s="39">
        <v>62.156199999999998</v>
      </c>
      <c r="I283" s="39">
        <v>235</v>
      </c>
      <c r="J283" s="39">
        <v>585</v>
      </c>
      <c r="K283" s="39">
        <v>46.385199999999998</v>
      </c>
      <c r="L283" s="38">
        <v>1</v>
      </c>
    </row>
    <row r="284" spans="1:12" x14ac:dyDescent="0.25">
      <c r="A284" s="37" t="s">
        <v>7354</v>
      </c>
      <c r="B284" s="38" t="s">
        <v>7844</v>
      </c>
      <c r="C284" s="38" t="s">
        <v>9311</v>
      </c>
      <c r="D284" s="38" t="s">
        <v>7861</v>
      </c>
      <c r="E284" s="38" t="s">
        <v>7857</v>
      </c>
      <c r="F284" s="37" t="s">
        <v>7355</v>
      </c>
      <c r="G284" s="37" t="s">
        <v>8149</v>
      </c>
      <c r="H284" s="39">
        <v>97.119</v>
      </c>
      <c r="I284" s="39">
        <v>340</v>
      </c>
      <c r="J284" s="39">
        <v>850</v>
      </c>
      <c r="K284" s="39">
        <v>72.476900000000001</v>
      </c>
      <c r="L284" s="38">
        <v>1</v>
      </c>
    </row>
    <row r="285" spans="1:12" x14ac:dyDescent="0.25">
      <c r="A285" s="37" t="s">
        <v>7086</v>
      </c>
      <c r="B285" s="38" t="s">
        <v>7844</v>
      </c>
      <c r="C285" s="38" t="s">
        <v>9309</v>
      </c>
      <c r="D285" s="38" t="s">
        <v>8033</v>
      </c>
      <c r="E285" s="38" t="s">
        <v>7857</v>
      </c>
      <c r="F285" s="37" t="s">
        <v>7356</v>
      </c>
      <c r="G285" s="37" t="s">
        <v>8150</v>
      </c>
      <c r="H285" s="39">
        <v>42.732399999999998</v>
      </c>
      <c r="I285" s="39">
        <v>150</v>
      </c>
      <c r="J285" s="39">
        <v>375</v>
      </c>
      <c r="K285" s="39">
        <v>31.889800000000001</v>
      </c>
      <c r="L285" s="38">
        <v>1</v>
      </c>
    </row>
    <row r="286" spans="1:12" x14ac:dyDescent="0.25">
      <c r="A286" s="37" t="s">
        <v>7087</v>
      </c>
      <c r="B286" s="38" t="s">
        <v>7844</v>
      </c>
      <c r="C286" s="38" t="s">
        <v>9309</v>
      </c>
      <c r="D286" s="38" t="s">
        <v>8033</v>
      </c>
      <c r="E286" s="38" t="s">
        <v>7857</v>
      </c>
      <c r="F286" s="37" t="s">
        <v>7357</v>
      </c>
      <c r="G286" s="37" t="s">
        <v>8151</v>
      </c>
      <c r="H286" s="39">
        <v>42.732399999999998</v>
      </c>
      <c r="I286" s="39">
        <v>150</v>
      </c>
      <c r="J286" s="39">
        <v>375</v>
      </c>
      <c r="K286" s="39">
        <v>31.889800000000001</v>
      </c>
      <c r="L286" s="38">
        <v>1</v>
      </c>
    </row>
    <row r="287" spans="1:12" x14ac:dyDescent="0.25">
      <c r="A287" s="37" t="s">
        <v>7088</v>
      </c>
      <c r="B287" s="38" t="s">
        <v>7844</v>
      </c>
      <c r="C287" s="38" t="s">
        <v>9312</v>
      </c>
      <c r="D287" s="38" t="s">
        <v>7917</v>
      </c>
      <c r="E287" s="38" t="s">
        <v>7999</v>
      </c>
      <c r="F287" s="37" t="s">
        <v>7358</v>
      </c>
      <c r="G287" s="37" t="s">
        <v>8152</v>
      </c>
      <c r="H287" s="39">
        <v>14.5679</v>
      </c>
      <c r="I287" s="39">
        <v>49</v>
      </c>
      <c r="J287" s="39">
        <v>119</v>
      </c>
      <c r="K287" s="39">
        <v>10.871499999999999</v>
      </c>
      <c r="L287" s="38">
        <v>1</v>
      </c>
    </row>
    <row r="288" spans="1:12" x14ac:dyDescent="0.25">
      <c r="A288" s="37" t="s">
        <v>7089</v>
      </c>
      <c r="B288" s="38" t="s">
        <v>7844</v>
      </c>
      <c r="C288" s="38" t="s">
        <v>9311</v>
      </c>
      <c r="D288" s="38" t="s">
        <v>7861</v>
      </c>
      <c r="E288" s="38" t="s">
        <v>7857</v>
      </c>
      <c r="F288" s="37" t="s">
        <v>7359</v>
      </c>
      <c r="G288" s="37" t="s">
        <v>8153</v>
      </c>
      <c r="H288" s="39">
        <v>58.2714</v>
      </c>
      <c r="I288" s="39">
        <v>180</v>
      </c>
      <c r="J288" s="39">
        <v>450</v>
      </c>
      <c r="K288" s="39">
        <v>43.4861</v>
      </c>
      <c r="L288" s="38">
        <v>1</v>
      </c>
    </row>
    <row r="289" spans="1:12" x14ac:dyDescent="0.25">
      <c r="A289" s="37" t="s">
        <v>7090</v>
      </c>
      <c r="B289" s="38" t="s">
        <v>7844</v>
      </c>
      <c r="C289" s="38" t="s">
        <v>9309</v>
      </c>
      <c r="D289" s="38" t="s">
        <v>8033</v>
      </c>
      <c r="E289" s="38" t="s">
        <v>7857</v>
      </c>
      <c r="F289" s="37" t="s">
        <v>7360</v>
      </c>
      <c r="G289" s="37" t="s">
        <v>8154</v>
      </c>
      <c r="H289" s="39">
        <v>42.732399999999998</v>
      </c>
      <c r="I289" s="39">
        <v>150</v>
      </c>
      <c r="J289" s="39">
        <v>375</v>
      </c>
      <c r="K289" s="39">
        <v>31.889800000000001</v>
      </c>
      <c r="L289" s="38">
        <v>1</v>
      </c>
    </row>
    <row r="290" spans="1:12" x14ac:dyDescent="0.25">
      <c r="A290" s="37" t="s">
        <v>7091</v>
      </c>
      <c r="B290" s="38" t="s">
        <v>7844</v>
      </c>
      <c r="C290" s="38" t="s">
        <v>9309</v>
      </c>
      <c r="D290" s="38" t="s">
        <v>8033</v>
      </c>
      <c r="E290" s="38" t="s">
        <v>7857</v>
      </c>
      <c r="F290" s="37" t="s">
        <v>7361</v>
      </c>
      <c r="G290" s="37" t="s">
        <v>8155</v>
      </c>
      <c r="H290" s="39">
        <v>42.732399999999998</v>
      </c>
      <c r="I290" s="39">
        <v>150</v>
      </c>
      <c r="J290" s="39">
        <v>375</v>
      </c>
      <c r="K290" s="39">
        <v>31.889800000000001</v>
      </c>
      <c r="L290" s="38">
        <v>1</v>
      </c>
    </row>
    <row r="291" spans="1:12" x14ac:dyDescent="0.25">
      <c r="A291" s="37" t="s">
        <v>111</v>
      </c>
      <c r="B291" s="38" t="s">
        <v>7844</v>
      </c>
      <c r="C291" s="38" t="s">
        <v>9309</v>
      </c>
      <c r="D291" s="38" t="s">
        <v>8033</v>
      </c>
      <c r="E291" s="38" t="s">
        <v>7857</v>
      </c>
      <c r="F291" s="37" t="s">
        <v>7362</v>
      </c>
      <c r="G291" s="37" t="s">
        <v>8156</v>
      </c>
      <c r="H291" s="39">
        <v>42.732399999999998</v>
      </c>
      <c r="I291" s="39">
        <v>150</v>
      </c>
      <c r="J291" s="39">
        <v>375</v>
      </c>
      <c r="K291" s="39">
        <v>31.889800000000001</v>
      </c>
      <c r="L291" s="38">
        <v>1</v>
      </c>
    </row>
    <row r="292" spans="1:12" x14ac:dyDescent="0.25">
      <c r="A292" s="37" t="s">
        <v>112</v>
      </c>
      <c r="B292" s="38" t="s">
        <v>7844</v>
      </c>
      <c r="C292" s="38" t="s">
        <v>9311</v>
      </c>
      <c r="D292" s="38" t="s">
        <v>7856</v>
      </c>
      <c r="E292" s="38" t="s">
        <v>7857</v>
      </c>
      <c r="F292" s="37" t="s">
        <v>7363</v>
      </c>
      <c r="G292" s="37" t="s">
        <v>8157</v>
      </c>
      <c r="H292" s="39">
        <v>77.6952</v>
      </c>
      <c r="I292" s="39">
        <v>280</v>
      </c>
      <c r="J292" s="39">
        <v>699</v>
      </c>
      <c r="K292" s="39">
        <v>57.981499999999997</v>
      </c>
      <c r="L292" s="38">
        <v>1</v>
      </c>
    </row>
    <row r="293" spans="1:12" x14ac:dyDescent="0.25">
      <c r="A293" s="37" t="s">
        <v>106</v>
      </c>
      <c r="B293" s="38" t="s">
        <v>7844</v>
      </c>
      <c r="C293" s="38" t="s">
        <v>9311</v>
      </c>
      <c r="D293" s="38" t="s">
        <v>7905</v>
      </c>
      <c r="E293" s="38" t="s">
        <v>7857</v>
      </c>
      <c r="F293" s="37" t="s">
        <v>7364</v>
      </c>
      <c r="G293" s="37" t="s">
        <v>8158</v>
      </c>
      <c r="H293" s="39">
        <v>42.732399999999998</v>
      </c>
      <c r="I293" s="39">
        <v>150</v>
      </c>
      <c r="J293" s="39">
        <v>375</v>
      </c>
      <c r="K293" s="39">
        <v>31.889800000000001</v>
      </c>
      <c r="L293" s="38">
        <v>1</v>
      </c>
    </row>
    <row r="294" spans="1:12" x14ac:dyDescent="0.25">
      <c r="A294" s="37" t="s">
        <v>7092</v>
      </c>
      <c r="B294" s="38" t="s">
        <v>7844</v>
      </c>
      <c r="C294" s="38" t="s">
        <v>9309</v>
      </c>
      <c r="D294" s="38" t="s">
        <v>8029</v>
      </c>
      <c r="E294" s="38" t="s">
        <v>7857</v>
      </c>
      <c r="F294" s="37" t="s">
        <v>7365</v>
      </c>
      <c r="G294" s="37" t="s">
        <v>8159</v>
      </c>
      <c r="H294" s="39">
        <v>54.386699999999998</v>
      </c>
      <c r="I294" s="39">
        <v>205</v>
      </c>
      <c r="J294" s="39">
        <v>515</v>
      </c>
      <c r="K294" s="39">
        <v>40.5871</v>
      </c>
      <c r="L294" s="38">
        <v>1</v>
      </c>
    </row>
    <row r="295" spans="1:12" x14ac:dyDescent="0.25">
      <c r="A295" s="37" t="s">
        <v>7093</v>
      </c>
      <c r="B295" s="38" t="s">
        <v>7844</v>
      </c>
      <c r="C295" s="38" t="s">
        <v>9309</v>
      </c>
      <c r="D295" s="38" t="s">
        <v>7850</v>
      </c>
      <c r="E295" s="38" t="s">
        <v>7851</v>
      </c>
      <c r="F295" s="37" t="s">
        <v>7366</v>
      </c>
      <c r="G295" s="37" t="s">
        <v>8160</v>
      </c>
      <c r="H295" s="39">
        <v>12.625500000000001</v>
      </c>
      <c r="I295" s="39">
        <v>39</v>
      </c>
      <c r="J295" s="39">
        <v>98</v>
      </c>
      <c r="K295" s="39">
        <v>9.4220000000000006</v>
      </c>
      <c r="L295" s="38">
        <v>1</v>
      </c>
    </row>
    <row r="296" spans="1:12" x14ac:dyDescent="0.25">
      <c r="A296" s="37" t="s">
        <v>7094</v>
      </c>
      <c r="B296" s="40" t="s">
        <v>7845</v>
      </c>
      <c r="C296" s="38" t="s">
        <v>9309</v>
      </c>
      <c r="D296" s="38" t="s">
        <v>7908</v>
      </c>
      <c r="E296" s="38" t="s">
        <v>7929</v>
      </c>
      <c r="F296" s="37" t="s">
        <v>7367</v>
      </c>
      <c r="G296" s="37" t="s">
        <v>8161</v>
      </c>
      <c r="H296" s="39">
        <v>19.4238</v>
      </c>
      <c r="I296" s="39">
        <v>60</v>
      </c>
      <c r="J296" s="39">
        <v>150</v>
      </c>
      <c r="K296" s="39">
        <v>14.4954</v>
      </c>
      <c r="L296" s="38">
        <v>1</v>
      </c>
    </row>
    <row r="297" spans="1:12" x14ac:dyDescent="0.25">
      <c r="A297" s="37" t="s">
        <v>7368</v>
      </c>
      <c r="B297" s="38" t="s">
        <v>7844</v>
      </c>
      <c r="C297" s="38" t="s">
        <v>9311</v>
      </c>
      <c r="D297" s="38" t="s">
        <v>7856</v>
      </c>
      <c r="E297" s="38" t="s">
        <v>7857</v>
      </c>
      <c r="F297" s="37" t="s">
        <v>7369</v>
      </c>
      <c r="G297" s="37" t="s">
        <v>8162</v>
      </c>
      <c r="H297" s="39">
        <v>42.732399999999998</v>
      </c>
      <c r="I297" s="39">
        <v>140</v>
      </c>
      <c r="J297" s="39">
        <v>345</v>
      </c>
      <c r="K297" s="39">
        <v>31.889800000000001</v>
      </c>
      <c r="L297" s="38">
        <v>1</v>
      </c>
    </row>
    <row r="298" spans="1:12" x14ac:dyDescent="0.25">
      <c r="A298" s="37" t="s">
        <v>7095</v>
      </c>
      <c r="B298" s="38" t="s">
        <v>7844</v>
      </c>
      <c r="C298" s="38" t="s">
        <v>9309</v>
      </c>
      <c r="D298" s="38" t="s">
        <v>8033</v>
      </c>
      <c r="E298" s="38" t="s">
        <v>7857</v>
      </c>
      <c r="F298" s="37" t="s">
        <v>7370</v>
      </c>
      <c r="G298" s="37" t="s">
        <v>8163</v>
      </c>
      <c r="H298" s="39">
        <v>13.5967</v>
      </c>
      <c r="I298" s="39">
        <v>75</v>
      </c>
      <c r="J298" s="39">
        <v>175</v>
      </c>
      <c r="K298" s="39">
        <v>10.146800000000001</v>
      </c>
      <c r="L298" s="38">
        <v>1</v>
      </c>
    </row>
    <row r="299" spans="1:12" x14ac:dyDescent="0.25">
      <c r="A299" s="37" t="s">
        <v>7371</v>
      </c>
      <c r="B299" s="38" t="s">
        <v>7844</v>
      </c>
      <c r="C299" s="38" t="s">
        <v>9309</v>
      </c>
      <c r="D299" s="38" t="s">
        <v>8139</v>
      </c>
      <c r="E299" s="38" t="s">
        <v>7857</v>
      </c>
      <c r="F299" s="37" t="s">
        <v>7372</v>
      </c>
      <c r="G299" s="37" t="s">
        <v>8164</v>
      </c>
      <c r="H299" s="39">
        <v>62.156199999999998</v>
      </c>
      <c r="I299" s="39">
        <v>220</v>
      </c>
      <c r="J299" s="39">
        <v>550</v>
      </c>
      <c r="K299" s="39">
        <v>46.385199999999998</v>
      </c>
      <c r="L299" s="38">
        <v>1</v>
      </c>
    </row>
    <row r="300" spans="1:12" x14ac:dyDescent="0.25">
      <c r="A300" s="37" t="s">
        <v>47</v>
      </c>
      <c r="B300" s="38" t="s">
        <v>7844</v>
      </c>
      <c r="C300" s="38" t="s">
        <v>9308</v>
      </c>
      <c r="D300" s="38" t="s">
        <v>7943</v>
      </c>
      <c r="E300" s="38" t="s">
        <v>8020</v>
      </c>
      <c r="F300" s="37" t="s">
        <v>7096</v>
      </c>
      <c r="G300" s="37" t="s">
        <v>8165</v>
      </c>
      <c r="H300" s="39">
        <v>1.8493999999999999</v>
      </c>
      <c r="I300" s="39">
        <v>5</v>
      </c>
      <c r="J300" s="39">
        <v>10</v>
      </c>
      <c r="K300" s="39">
        <v>1.4795</v>
      </c>
      <c r="L300" s="38">
        <v>1</v>
      </c>
    </row>
    <row r="301" spans="1:12" x14ac:dyDescent="0.25">
      <c r="A301" s="37" t="s">
        <v>46</v>
      </c>
      <c r="B301" s="38" t="s">
        <v>7844</v>
      </c>
      <c r="C301" s="38" t="s">
        <v>9308</v>
      </c>
      <c r="D301" s="38" t="s">
        <v>7943</v>
      </c>
      <c r="E301" s="38" t="s">
        <v>8020</v>
      </c>
      <c r="F301" s="37" t="s">
        <v>7097</v>
      </c>
      <c r="G301" s="37" t="s">
        <v>8165</v>
      </c>
      <c r="H301" s="39">
        <v>1.8493999999999999</v>
      </c>
      <c r="I301" s="39">
        <v>5</v>
      </c>
      <c r="J301" s="39">
        <v>10</v>
      </c>
      <c r="K301" s="39">
        <v>1.4795</v>
      </c>
      <c r="L301" s="38">
        <v>1</v>
      </c>
    </row>
    <row r="302" spans="1:12" x14ac:dyDescent="0.25">
      <c r="A302" s="37" t="s">
        <v>74</v>
      </c>
      <c r="B302" s="38" t="s">
        <v>7844</v>
      </c>
      <c r="C302" s="38" t="s">
        <v>9308</v>
      </c>
      <c r="D302" s="38" t="s">
        <v>7943</v>
      </c>
      <c r="E302" s="38" t="s">
        <v>8020</v>
      </c>
      <c r="F302" s="37" t="s">
        <v>7098</v>
      </c>
      <c r="G302" s="37" t="s">
        <v>8166</v>
      </c>
      <c r="H302" s="39">
        <v>2.7198000000000002</v>
      </c>
      <c r="I302" s="39">
        <v>5</v>
      </c>
      <c r="J302" s="39">
        <v>10</v>
      </c>
      <c r="K302" s="39">
        <v>2.1758000000000002</v>
      </c>
      <c r="L302" s="38">
        <v>1</v>
      </c>
    </row>
    <row r="303" spans="1:12" x14ac:dyDescent="0.25">
      <c r="A303" s="37" t="s">
        <v>75</v>
      </c>
      <c r="B303" s="38" t="s">
        <v>7844</v>
      </c>
      <c r="C303" s="38" t="s">
        <v>9308</v>
      </c>
      <c r="D303" s="38" t="s">
        <v>7943</v>
      </c>
      <c r="E303" s="38" t="s">
        <v>8020</v>
      </c>
      <c r="F303" s="37" t="s">
        <v>7099</v>
      </c>
      <c r="G303" s="37" t="s">
        <v>8166</v>
      </c>
      <c r="H303" s="39">
        <v>2.7198000000000002</v>
      </c>
      <c r="I303" s="39">
        <v>5</v>
      </c>
      <c r="J303" s="39">
        <v>10</v>
      </c>
      <c r="K303" s="39">
        <v>2.1758000000000002</v>
      </c>
      <c r="L303" s="38">
        <v>1</v>
      </c>
    </row>
    <row r="304" spans="1:12" x14ac:dyDescent="0.25">
      <c r="A304" s="37" t="s">
        <v>7100</v>
      </c>
      <c r="B304" s="38" t="s">
        <v>7844</v>
      </c>
      <c r="C304" s="38" t="s">
        <v>9308</v>
      </c>
      <c r="D304" s="38" t="s">
        <v>7915</v>
      </c>
      <c r="E304" s="38" t="s">
        <v>8020</v>
      </c>
      <c r="F304" s="37" t="s">
        <v>7101</v>
      </c>
      <c r="G304" s="37" t="s">
        <v>8167</v>
      </c>
      <c r="H304" s="39">
        <v>2.7198000000000002</v>
      </c>
      <c r="I304" s="39">
        <v>6</v>
      </c>
      <c r="J304" s="39">
        <v>12</v>
      </c>
      <c r="K304" s="39">
        <v>2.1758000000000002</v>
      </c>
      <c r="L304" s="38">
        <v>1</v>
      </c>
    </row>
    <row r="305" spans="1:12" x14ac:dyDescent="0.25">
      <c r="A305" s="37" t="s">
        <v>7102</v>
      </c>
      <c r="B305" s="38" t="s">
        <v>7844</v>
      </c>
      <c r="C305" s="38" t="s">
        <v>7865</v>
      </c>
      <c r="D305" s="40" t="s">
        <v>9314</v>
      </c>
      <c r="E305" s="38" t="s">
        <v>8020</v>
      </c>
      <c r="F305" s="37" t="s">
        <v>7103</v>
      </c>
      <c r="G305" s="37" t="s">
        <v>8168</v>
      </c>
      <c r="H305" s="39">
        <v>7.0713999999999997</v>
      </c>
      <c r="I305" s="39">
        <v>18</v>
      </c>
      <c r="J305" s="39">
        <v>39</v>
      </c>
      <c r="K305" s="39">
        <v>5.6570999999999998</v>
      </c>
      <c r="L305" s="38">
        <v>1</v>
      </c>
    </row>
    <row r="306" spans="1:12" x14ac:dyDescent="0.25">
      <c r="A306" s="37" t="s">
        <v>7104</v>
      </c>
      <c r="B306" s="38" t="s">
        <v>7844</v>
      </c>
      <c r="C306" s="38" t="s">
        <v>9308</v>
      </c>
      <c r="D306" s="38" t="s">
        <v>7943</v>
      </c>
      <c r="E306" s="38" t="s">
        <v>7851</v>
      </c>
      <c r="F306" s="37" t="s">
        <v>7105</v>
      </c>
      <c r="G306" s="37" t="s">
        <v>8169</v>
      </c>
      <c r="H306" s="39">
        <v>3.9163999999999999</v>
      </c>
      <c r="I306" s="39">
        <v>9</v>
      </c>
      <c r="J306" s="39">
        <v>19</v>
      </c>
      <c r="K306" s="39">
        <v>3.1332</v>
      </c>
      <c r="L306" s="38">
        <v>1</v>
      </c>
    </row>
    <row r="307" spans="1:12" x14ac:dyDescent="0.25">
      <c r="A307" s="37" t="s">
        <v>7106</v>
      </c>
      <c r="B307" s="40" t="s">
        <v>7845</v>
      </c>
      <c r="C307" s="38" t="s">
        <v>9308</v>
      </c>
      <c r="D307" s="38" t="s">
        <v>7931</v>
      </c>
      <c r="E307" s="38" t="s">
        <v>7866</v>
      </c>
      <c r="F307" s="37" t="s">
        <v>7107</v>
      </c>
      <c r="G307" s="37" t="s">
        <v>8170</v>
      </c>
      <c r="H307" s="39">
        <v>0.47989999999999999</v>
      </c>
      <c r="I307" s="39">
        <v>1.95</v>
      </c>
      <c r="J307" s="39">
        <v>5.5</v>
      </c>
      <c r="K307" s="39">
        <v>0.39329999999999998</v>
      </c>
      <c r="L307" s="38">
        <v>1</v>
      </c>
    </row>
    <row r="308" spans="1:12" x14ac:dyDescent="0.25">
      <c r="A308" s="37" t="s">
        <v>7108</v>
      </c>
      <c r="B308" s="40" t="s">
        <v>7845</v>
      </c>
      <c r="C308" s="38" t="s">
        <v>9308</v>
      </c>
      <c r="D308" s="38" t="s">
        <v>7931</v>
      </c>
      <c r="E308" s="38" t="s">
        <v>7866</v>
      </c>
      <c r="F308" s="37" t="s">
        <v>7109</v>
      </c>
      <c r="G308" s="37" t="s">
        <v>8170</v>
      </c>
      <c r="H308" s="39">
        <v>0.47989999999999999</v>
      </c>
      <c r="I308" s="39">
        <v>1.95</v>
      </c>
      <c r="J308" s="39">
        <v>5.5</v>
      </c>
      <c r="K308" s="39">
        <v>0.39329999999999998</v>
      </c>
      <c r="L308" s="38">
        <v>1</v>
      </c>
    </row>
    <row r="309" spans="1:12" x14ac:dyDescent="0.25">
      <c r="A309" s="37" t="s">
        <v>77</v>
      </c>
      <c r="B309" s="40" t="s">
        <v>7845</v>
      </c>
      <c r="C309" s="38" t="s">
        <v>9308</v>
      </c>
      <c r="D309" s="38" t="s">
        <v>7931</v>
      </c>
      <c r="E309" s="38" t="s">
        <v>7866</v>
      </c>
      <c r="F309" s="37" t="s">
        <v>7110</v>
      </c>
      <c r="G309" s="37" t="s">
        <v>8171</v>
      </c>
      <c r="H309" s="39">
        <v>0.43190000000000001</v>
      </c>
      <c r="I309" s="39">
        <v>1.7</v>
      </c>
      <c r="J309" s="39">
        <v>4.8</v>
      </c>
      <c r="K309" s="39">
        <v>0.35399999999999998</v>
      </c>
      <c r="L309" s="38">
        <v>1</v>
      </c>
    </row>
    <row r="310" spans="1:12" x14ac:dyDescent="0.25">
      <c r="A310" s="37" t="s">
        <v>92</v>
      </c>
      <c r="B310" s="38" t="s">
        <v>7844</v>
      </c>
      <c r="C310" s="38" t="s">
        <v>9308</v>
      </c>
      <c r="D310" s="38" t="s">
        <v>7931</v>
      </c>
      <c r="E310" s="38" t="s">
        <v>7956</v>
      </c>
      <c r="F310" s="37" t="s">
        <v>7111</v>
      </c>
      <c r="G310" s="37" t="s">
        <v>8172</v>
      </c>
      <c r="H310" s="39">
        <v>0.2399</v>
      </c>
      <c r="I310" s="39">
        <v>0.85</v>
      </c>
      <c r="J310" s="39">
        <v>2.2999999999999998</v>
      </c>
      <c r="K310" s="39">
        <v>0.19670000000000001</v>
      </c>
      <c r="L310" s="38">
        <v>1</v>
      </c>
    </row>
    <row r="311" spans="1:12" x14ac:dyDescent="0.25">
      <c r="A311" s="37" t="s">
        <v>7112</v>
      </c>
      <c r="B311" s="38" t="s">
        <v>7844</v>
      </c>
      <c r="C311" s="38" t="s">
        <v>9308</v>
      </c>
      <c r="D311" s="38" t="s">
        <v>7915</v>
      </c>
      <c r="E311" s="38" t="s">
        <v>7973</v>
      </c>
      <c r="F311" s="37" t="s">
        <v>7113</v>
      </c>
      <c r="G311" s="37" t="s">
        <v>8173</v>
      </c>
      <c r="H311" s="39">
        <v>2.9165999999999999</v>
      </c>
      <c r="I311" s="39">
        <v>9</v>
      </c>
      <c r="J311" s="39">
        <v>19</v>
      </c>
      <c r="K311" s="39">
        <v>2.4304999999999999</v>
      </c>
      <c r="L311" s="38">
        <v>1</v>
      </c>
    </row>
    <row r="312" spans="1:12" x14ac:dyDescent="0.25">
      <c r="A312" s="37" t="s">
        <v>105</v>
      </c>
      <c r="B312" s="38" t="s">
        <v>7844</v>
      </c>
      <c r="C312" s="38" t="s">
        <v>9308</v>
      </c>
      <c r="D312" s="38" t="s">
        <v>7915</v>
      </c>
      <c r="E312" s="38" t="s">
        <v>7973</v>
      </c>
      <c r="F312" s="37" t="s">
        <v>7114</v>
      </c>
      <c r="G312" s="37" t="s">
        <v>8173</v>
      </c>
      <c r="H312" s="39">
        <v>2.9165999999999999</v>
      </c>
      <c r="I312" s="39">
        <v>9</v>
      </c>
      <c r="J312" s="39">
        <v>19</v>
      </c>
      <c r="K312" s="39">
        <v>2.4304999999999999</v>
      </c>
      <c r="L312" s="38">
        <v>1</v>
      </c>
    </row>
    <row r="313" spans="1:12" x14ac:dyDescent="0.25">
      <c r="A313" s="37" t="s">
        <v>7115</v>
      </c>
      <c r="B313" s="38" t="s">
        <v>7844</v>
      </c>
      <c r="C313" s="38" t="s">
        <v>9312</v>
      </c>
      <c r="D313" s="38" t="s">
        <v>7917</v>
      </c>
      <c r="E313" s="38" t="s">
        <v>7999</v>
      </c>
      <c r="F313" s="37" t="s">
        <v>7116</v>
      </c>
      <c r="G313" s="37" t="s">
        <v>7921</v>
      </c>
      <c r="H313" s="39">
        <v>163.18539999999999</v>
      </c>
      <c r="I313" s="39">
        <v>520</v>
      </c>
      <c r="J313" s="39">
        <v>990</v>
      </c>
      <c r="K313" s="39">
        <v>130.54830000000001</v>
      </c>
      <c r="L313" s="38">
        <v>1</v>
      </c>
    </row>
    <row r="314" spans="1:12" x14ac:dyDescent="0.25">
      <c r="A314" s="37" t="s">
        <v>7117</v>
      </c>
      <c r="B314" s="38" t="s">
        <v>7844</v>
      </c>
      <c r="C314" s="38" t="s">
        <v>9311</v>
      </c>
      <c r="D314" s="38" t="s">
        <v>7861</v>
      </c>
      <c r="E314" s="38" t="s">
        <v>7857</v>
      </c>
      <c r="F314" s="37" t="s">
        <v>7118</v>
      </c>
      <c r="G314" s="37" t="s">
        <v>8174</v>
      </c>
      <c r="H314" s="39">
        <v>97.911199999999994</v>
      </c>
      <c r="I314" s="39">
        <v>290</v>
      </c>
      <c r="J314" s="39">
        <v>630</v>
      </c>
      <c r="K314" s="39">
        <v>78.328999999999994</v>
      </c>
      <c r="L314" s="38">
        <v>1</v>
      </c>
    </row>
    <row r="315" spans="1:12" x14ac:dyDescent="0.25">
      <c r="A315" s="37" t="s">
        <v>7119</v>
      </c>
      <c r="B315" s="38" t="s">
        <v>7844</v>
      </c>
      <c r="C315" s="38" t="s">
        <v>9308</v>
      </c>
      <c r="D315" s="38" t="s">
        <v>7924</v>
      </c>
      <c r="E315" s="38" t="s">
        <v>7922</v>
      </c>
      <c r="F315" s="37" t="s">
        <v>7120</v>
      </c>
      <c r="G315" s="37" t="s">
        <v>8175</v>
      </c>
      <c r="H315" s="39">
        <v>9.5972000000000008</v>
      </c>
      <c r="I315" s="39">
        <v>20</v>
      </c>
      <c r="J315" s="39">
        <v>39</v>
      </c>
      <c r="K315" s="39">
        <v>7.8665000000000003</v>
      </c>
      <c r="L315" s="38">
        <v>1</v>
      </c>
    </row>
    <row r="316" spans="1:12" x14ac:dyDescent="0.25">
      <c r="A316" s="37" t="s">
        <v>7121</v>
      </c>
      <c r="B316" s="38" t="s">
        <v>7844</v>
      </c>
      <c r="C316" s="38" t="s">
        <v>9312</v>
      </c>
      <c r="D316" s="38" t="s">
        <v>7917</v>
      </c>
      <c r="E316" s="38" t="s">
        <v>7922</v>
      </c>
      <c r="F316" s="37" t="s">
        <v>7122</v>
      </c>
      <c r="G316" s="37" t="s">
        <v>8176</v>
      </c>
      <c r="H316" s="39">
        <v>9.5972000000000008</v>
      </c>
      <c r="I316" s="39">
        <v>27</v>
      </c>
      <c r="J316" s="39">
        <v>49</v>
      </c>
      <c r="K316" s="39">
        <v>7.8665000000000003</v>
      </c>
      <c r="L316" s="38">
        <v>1</v>
      </c>
    </row>
    <row r="317" spans="1:12" x14ac:dyDescent="0.25">
      <c r="A317" s="37" t="s">
        <v>7123</v>
      </c>
      <c r="B317" s="38" t="s">
        <v>7844</v>
      </c>
      <c r="C317" s="38" t="s">
        <v>9308</v>
      </c>
      <c r="D317" s="38" t="s">
        <v>7924</v>
      </c>
      <c r="E317" s="38" t="s">
        <v>7922</v>
      </c>
      <c r="F317" s="37" t="s">
        <v>7124</v>
      </c>
      <c r="G317" s="37" t="s">
        <v>7921</v>
      </c>
      <c r="H317" s="39">
        <v>7.1978999999999997</v>
      </c>
      <c r="I317" s="39">
        <v>20</v>
      </c>
      <c r="J317" s="39">
        <v>49</v>
      </c>
      <c r="K317" s="39">
        <v>5.8998999999999997</v>
      </c>
      <c r="L317" s="38">
        <v>1</v>
      </c>
    </row>
    <row r="318" spans="1:12" x14ac:dyDescent="0.25">
      <c r="A318" s="37" t="s">
        <v>7125</v>
      </c>
      <c r="B318" s="38" t="s">
        <v>7844</v>
      </c>
      <c r="C318" s="38" t="s">
        <v>9308</v>
      </c>
      <c r="D318" s="38" t="s">
        <v>8177</v>
      </c>
      <c r="E318" s="38" t="s">
        <v>8178</v>
      </c>
      <c r="F318" s="37" t="s">
        <v>7373</v>
      </c>
      <c r="G318" s="37" t="s">
        <v>8179</v>
      </c>
      <c r="H318" s="39">
        <v>32.406399999999998</v>
      </c>
      <c r="I318" s="39">
        <v>100</v>
      </c>
      <c r="J318" s="39">
        <v>150</v>
      </c>
      <c r="K318" s="39">
        <v>27.005299999999998</v>
      </c>
      <c r="L318" s="38">
        <v>1</v>
      </c>
    </row>
    <row r="319" spans="1:12" x14ac:dyDescent="0.25">
      <c r="A319" s="37" t="s">
        <v>7127</v>
      </c>
      <c r="B319" s="38" t="s">
        <v>7844</v>
      </c>
      <c r="C319" s="38" t="s">
        <v>9311</v>
      </c>
      <c r="D319" s="38" t="s">
        <v>7856</v>
      </c>
      <c r="E319" s="38" t="s">
        <v>7857</v>
      </c>
      <c r="F319" s="37" t="s">
        <v>7126</v>
      </c>
      <c r="G319" s="37" t="s">
        <v>8180</v>
      </c>
      <c r="H319" s="39">
        <v>25.9251</v>
      </c>
      <c r="I319" s="39">
        <v>70</v>
      </c>
      <c r="J319" s="39">
        <v>120</v>
      </c>
      <c r="K319" s="39">
        <v>21.604199999999999</v>
      </c>
      <c r="L319" s="38">
        <v>1</v>
      </c>
    </row>
    <row r="320" spans="1:12" x14ac:dyDescent="0.25">
      <c r="A320" s="37" t="s">
        <v>7129</v>
      </c>
      <c r="B320" s="38" t="s">
        <v>7844</v>
      </c>
      <c r="C320" s="38" t="s">
        <v>9312</v>
      </c>
      <c r="D320" s="38" t="s">
        <v>7917</v>
      </c>
      <c r="E320" s="38" t="s">
        <v>7857</v>
      </c>
      <c r="F320" s="37" t="s">
        <v>7130</v>
      </c>
      <c r="G320" s="37" t="s">
        <v>8181</v>
      </c>
      <c r="H320" s="39">
        <v>86.0184</v>
      </c>
      <c r="I320" s="39">
        <v>275</v>
      </c>
      <c r="J320" s="39">
        <v>400</v>
      </c>
      <c r="K320" s="39">
        <v>63.430399999999999</v>
      </c>
      <c r="L320" s="38">
        <v>1</v>
      </c>
    </row>
    <row r="321" spans="1:12" x14ac:dyDescent="0.25">
      <c r="A321" s="37" t="s">
        <v>7374</v>
      </c>
      <c r="B321" s="38" t="s">
        <v>7844</v>
      </c>
      <c r="C321" s="38" t="s">
        <v>9312</v>
      </c>
      <c r="D321" s="38" t="s">
        <v>7917</v>
      </c>
      <c r="E321" s="38" t="s">
        <v>7851</v>
      </c>
      <c r="F321" s="37" t="s">
        <v>7375</v>
      </c>
      <c r="G321" s="37" t="s">
        <v>8182</v>
      </c>
      <c r="H321" s="39">
        <v>20.398299999999999</v>
      </c>
      <c r="I321" s="39">
        <v>49</v>
      </c>
      <c r="J321" s="39">
        <v>99</v>
      </c>
      <c r="K321" s="39">
        <v>16.258099999999999</v>
      </c>
      <c r="L321" s="38">
        <v>1</v>
      </c>
    </row>
    <row r="322" spans="1:12" x14ac:dyDescent="0.25">
      <c r="A322" s="37" t="s">
        <v>7376</v>
      </c>
      <c r="B322" s="38" t="s">
        <v>7844</v>
      </c>
      <c r="C322" s="38" t="s">
        <v>9311</v>
      </c>
      <c r="D322" s="38" t="s">
        <v>7861</v>
      </c>
      <c r="E322" s="38" t="s">
        <v>7857</v>
      </c>
      <c r="F322" s="37" t="s">
        <v>7377</v>
      </c>
      <c r="G322" s="37" t="s">
        <v>8183</v>
      </c>
      <c r="H322" s="39">
        <v>108.791</v>
      </c>
      <c r="I322" s="39">
        <v>415</v>
      </c>
      <c r="J322" s="39">
        <v>915</v>
      </c>
      <c r="K322" s="39">
        <v>86.709699999999998</v>
      </c>
      <c r="L322" s="38">
        <v>1</v>
      </c>
    </row>
    <row r="323" spans="1:12" x14ac:dyDescent="0.25">
      <c r="A323" s="37" t="s">
        <v>7378</v>
      </c>
      <c r="B323" s="38" t="s">
        <v>7844</v>
      </c>
      <c r="C323" s="38" t="s">
        <v>9311</v>
      </c>
      <c r="D323" s="38" t="s">
        <v>7861</v>
      </c>
      <c r="E323" s="38" t="s">
        <v>7857</v>
      </c>
      <c r="F323" s="37" t="s">
        <v>7379</v>
      </c>
      <c r="G323" s="37" t="s">
        <v>8184</v>
      </c>
      <c r="H323" s="39">
        <v>74.793800000000005</v>
      </c>
      <c r="I323" s="39">
        <v>259</v>
      </c>
      <c r="J323" s="39">
        <v>570</v>
      </c>
      <c r="K323" s="39">
        <v>59.612900000000003</v>
      </c>
      <c r="L323" s="38">
        <v>1</v>
      </c>
    </row>
    <row r="324" spans="1:12" x14ac:dyDescent="0.25">
      <c r="A324" s="37" t="s">
        <v>7380</v>
      </c>
      <c r="B324" s="38" t="s">
        <v>7844</v>
      </c>
      <c r="C324" s="38" t="s">
        <v>9311</v>
      </c>
      <c r="D324" s="38" t="s">
        <v>7861</v>
      </c>
      <c r="E324" s="38" t="s">
        <v>7857</v>
      </c>
      <c r="F324" s="37" t="s">
        <v>7201</v>
      </c>
      <c r="G324" s="37" t="s">
        <v>8184</v>
      </c>
      <c r="H324" s="39">
        <v>74.793800000000005</v>
      </c>
      <c r="I324" s="39">
        <v>265</v>
      </c>
      <c r="J324" s="39">
        <v>570</v>
      </c>
      <c r="K324" s="39">
        <v>59.612900000000003</v>
      </c>
      <c r="L324" s="38">
        <v>1</v>
      </c>
    </row>
    <row r="325" spans="1:12" x14ac:dyDescent="0.25">
      <c r="A325" s="37" t="s">
        <v>7381</v>
      </c>
      <c r="B325" s="38" t="s">
        <v>7844</v>
      </c>
      <c r="C325" s="38" t="s">
        <v>9311</v>
      </c>
      <c r="D325" s="38" t="s">
        <v>7861</v>
      </c>
      <c r="E325" s="38" t="s">
        <v>7857</v>
      </c>
      <c r="F325" s="37" t="s">
        <v>7382</v>
      </c>
      <c r="G325" s="37" t="s">
        <v>8184</v>
      </c>
      <c r="H325" s="39">
        <v>74.793800000000005</v>
      </c>
      <c r="I325" s="39">
        <v>265</v>
      </c>
      <c r="J325" s="39">
        <v>580</v>
      </c>
      <c r="K325" s="39">
        <v>59.612900000000003</v>
      </c>
      <c r="L325" s="38">
        <v>1</v>
      </c>
    </row>
    <row r="326" spans="1:12" x14ac:dyDescent="0.25">
      <c r="A326" s="37" t="s">
        <v>7383</v>
      </c>
      <c r="B326" s="38" t="s">
        <v>7844</v>
      </c>
      <c r="C326" s="38" t="s">
        <v>9311</v>
      </c>
      <c r="D326" s="38" t="s">
        <v>7861</v>
      </c>
      <c r="E326" s="38" t="s">
        <v>7857</v>
      </c>
      <c r="F326" s="37" t="s">
        <v>7379</v>
      </c>
      <c r="G326" s="37" t="s">
        <v>8184</v>
      </c>
      <c r="H326" s="39">
        <v>74.793800000000005</v>
      </c>
      <c r="I326" s="39">
        <v>245</v>
      </c>
      <c r="J326" s="39">
        <v>539</v>
      </c>
      <c r="K326" s="39">
        <v>59.612900000000003</v>
      </c>
      <c r="L326" s="38">
        <v>1</v>
      </c>
    </row>
    <row r="327" spans="1:12" x14ac:dyDescent="0.25">
      <c r="A327" s="37" t="s">
        <v>7384</v>
      </c>
      <c r="B327" s="38" t="s">
        <v>7844</v>
      </c>
      <c r="C327" s="38" t="s">
        <v>9311</v>
      </c>
      <c r="D327" s="38" t="s">
        <v>7861</v>
      </c>
      <c r="E327" s="38" t="s">
        <v>7857</v>
      </c>
      <c r="F327" s="37" t="s">
        <v>7385</v>
      </c>
      <c r="G327" s="37" t="s">
        <v>8184</v>
      </c>
      <c r="H327" s="39">
        <v>74.793800000000005</v>
      </c>
      <c r="I327" s="39">
        <v>245</v>
      </c>
      <c r="J327" s="39">
        <v>539</v>
      </c>
      <c r="K327" s="39">
        <v>59.612900000000003</v>
      </c>
      <c r="L327" s="38">
        <v>1</v>
      </c>
    </row>
    <row r="328" spans="1:12" x14ac:dyDescent="0.25">
      <c r="A328" s="37" t="s">
        <v>7386</v>
      </c>
      <c r="B328" s="38" t="s">
        <v>7844</v>
      </c>
      <c r="C328" s="38" t="s">
        <v>9311</v>
      </c>
      <c r="D328" s="38" t="s">
        <v>7861</v>
      </c>
      <c r="E328" s="38" t="s">
        <v>7857</v>
      </c>
      <c r="F328" s="37" t="s">
        <v>7236</v>
      </c>
      <c r="G328" s="37" t="s">
        <v>8185</v>
      </c>
      <c r="H328" s="39">
        <v>79.326800000000006</v>
      </c>
      <c r="I328" s="39">
        <v>270</v>
      </c>
      <c r="J328" s="39">
        <v>595</v>
      </c>
      <c r="K328" s="39">
        <v>63.2258</v>
      </c>
      <c r="L328" s="38">
        <v>1</v>
      </c>
    </row>
    <row r="329" spans="1:12" x14ac:dyDescent="0.25">
      <c r="A329" s="37" t="s">
        <v>7387</v>
      </c>
      <c r="B329" s="38" t="s">
        <v>7844</v>
      </c>
      <c r="C329" s="38" t="s">
        <v>9311</v>
      </c>
      <c r="D329" s="38" t="s">
        <v>7861</v>
      </c>
      <c r="E329" s="38" t="s">
        <v>7857</v>
      </c>
      <c r="F329" s="37" t="s">
        <v>7388</v>
      </c>
      <c r="G329" s="37" t="s">
        <v>8185</v>
      </c>
      <c r="H329" s="39">
        <v>79.326800000000006</v>
      </c>
      <c r="I329" s="39">
        <v>270</v>
      </c>
      <c r="J329" s="39">
        <v>595</v>
      </c>
      <c r="K329" s="39">
        <v>63.2258</v>
      </c>
      <c r="L329" s="38">
        <v>1</v>
      </c>
    </row>
    <row r="330" spans="1:12" x14ac:dyDescent="0.25">
      <c r="A330" s="37" t="s">
        <v>7389</v>
      </c>
      <c r="B330" s="38" t="s">
        <v>7844</v>
      </c>
      <c r="C330" s="38" t="s">
        <v>9311</v>
      </c>
      <c r="D330" s="38" t="s">
        <v>7861</v>
      </c>
      <c r="E330" s="38" t="s">
        <v>7857</v>
      </c>
      <c r="F330" s="37" t="s">
        <v>7390</v>
      </c>
      <c r="G330" s="37" t="s">
        <v>8185</v>
      </c>
      <c r="H330" s="39">
        <v>79.326800000000006</v>
      </c>
      <c r="I330" s="39">
        <v>270</v>
      </c>
      <c r="J330" s="39">
        <v>595</v>
      </c>
      <c r="K330" s="39">
        <v>63.2258</v>
      </c>
      <c r="L330" s="38">
        <v>1</v>
      </c>
    </row>
    <row r="331" spans="1:12" x14ac:dyDescent="0.25">
      <c r="A331" s="37" t="s">
        <v>7391</v>
      </c>
      <c r="B331" s="38" t="s">
        <v>7844</v>
      </c>
      <c r="C331" s="38" t="s">
        <v>9311</v>
      </c>
      <c r="D331" s="38" t="s">
        <v>7861</v>
      </c>
      <c r="E331" s="38" t="s">
        <v>7857</v>
      </c>
      <c r="F331" s="37" t="s">
        <v>7392</v>
      </c>
      <c r="G331" s="37" t="s">
        <v>8185</v>
      </c>
      <c r="H331" s="39">
        <v>79.326800000000006</v>
      </c>
      <c r="I331" s="39">
        <v>270</v>
      </c>
      <c r="J331" s="39">
        <v>595</v>
      </c>
      <c r="K331" s="39">
        <v>63.2258</v>
      </c>
      <c r="L331" s="38">
        <v>1</v>
      </c>
    </row>
    <row r="332" spans="1:12" x14ac:dyDescent="0.25">
      <c r="A332" s="37" t="s">
        <v>7393</v>
      </c>
      <c r="B332" s="38" t="s">
        <v>7844</v>
      </c>
      <c r="C332" s="38" t="s">
        <v>9311</v>
      </c>
      <c r="D332" s="38" t="s">
        <v>7861</v>
      </c>
      <c r="E332" s="38" t="s">
        <v>7857</v>
      </c>
      <c r="F332" s="37" t="s">
        <v>7394</v>
      </c>
      <c r="G332" s="37" t="s">
        <v>8185</v>
      </c>
      <c r="H332" s="39">
        <v>79.326800000000006</v>
      </c>
      <c r="I332" s="39">
        <v>230</v>
      </c>
      <c r="J332" s="39">
        <v>499</v>
      </c>
      <c r="K332" s="39">
        <v>63.2258</v>
      </c>
      <c r="L332" s="38">
        <v>1</v>
      </c>
    </row>
    <row r="333" spans="1:12" x14ac:dyDescent="0.25">
      <c r="A333" s="37" t="s">
        <v>7395</v>
      </c>
      <c r="B333" s="38" t="s">
        <v>7844</v>
      </c>
      <c r="C333" s="38" t="s">
        <v>9311</v>
      </c>
      <c r="D333" s="38" t="s">
        <v>7861</v>
      </c>
      <c r="E333" s="38" t="s">
        <v>7857</v>
      </c>
      <c r="F333" s="37" t="s">
        <v>7396</v>
      </c>
      <c r="G333" s="37" t="s">
        <v>8186</v>
      </c>
      <c r="H333" s="39">
        <v>88.392700000000005</v>
      </c>
      <c r="I333" s="39">
        <v>309</v>
      </c>
      <c r="J333" s="39">
        <v>680</v>
      </c>
      <c r="K333" s="39">
        <v>70.451599999999999</v>
      </c>
      <c r="L333" s="38">
        <v>1</v>
      </c>
    </row>
    <row r="334" spans="1:12" x14ac:dyDescent="0.25">
      <c r="A334" s="37" t="s">
        <v>7397</v>
      </c>
      <c r="B334" s="38" t="s">
        <v>7844</v>
      </c>
      <c r="C334" s="38" t="s">
        <v>9311</v>
      </c>
      <c r="D334" s="38" t="s">
        <v>7861</v>
      </c>
      <c r="E334" s="38" t="s">
        <v>7857</v>
      </c>
      <c r="F334" s="37" t="s">
        <v>7398</v>
      </c>
      <c r="G334" s="37" t="s">
        <v>8187</v>
      </c>
      <c r="H334" s="39">
        <v>88.392700000000005</v>
      </c>
      <c r="I334" s="39">
        <v>309</v>
      </c>
      <c r="J334" s="39">
        <v>680</v>
      </c>
      <c r="K334" s="39">
        <v>70.451599999999999</v>
      </c>
      <c r="L334" s="38">
        <v>1</v>
      </c>
    </row>
    <row r="335" spans="1:12" x14ac:dyDescent="0.25">
      <c r="A335" s="37" t="s">
        <v>7399</v>
      </c>
      <c r="B335" s="38" t="s">
        <v>7844</v>
      </c>
      <c r="C335" s="38" t="s">
        <v>9311</v>
      </c>
      <c r="D335" s="38" t="s">
        <v>7861</v>
      </c>
      <c r="E335" s="38" t="s">
        <v>7857</v>
      </c>
      <c r="F335" s="37" t="s">
        <v>7400</v>
      </c>
      <c r="G335" s="37" t="s">
        <v>8188</v>
      </c>
      <c r="H335" s="39">
        <v>88.392700000000005</v>
      </c>
      <c r="I335" s="39">
        <v>309</v>
      </c>
      <c r="J335" s="39">
        <v>680</v>
      </c>
      <c r="K335" s="39">
        <v>70.451599999999999</v>
      </c>
      <c r="L335" s="38">
        <v>1</v>
      </c>
    </row>
    <row r="336" spans="1:12" x14ac:dyDescent="0.25">
      <c r="A336" s="37" t="s">
        <v>7401</v>
      </c>
      <c r="B336" s="38" t="s">
        <v>7844</v>
      </c>
      <c r="C336" s="38" t="s">
        <v>9311</v>
      </c>
      <c r="D336" s="38" t="s">
        <v>7861</v>
      </c>
      <c r="E336" s="38" t="s">
        <v>7857</v>
      </c>
      <c r="F336" s="37" t="s">
        <v>7402</v>
      </c>
      <c r="G336" s="37" t="s">
        <v>8189</v>
      </c>
      <c r="H336" s="39">
        <v>88.392700000000005</v>
      </c>
      <c r="I336" s="39">
        <v>309</v>
      </c>
      <c r="J336" s="39">
        <v>680</v>
      </c>
      <c r="K336" s="39">
        <v>70.451599999999999</v>
      </c>
      <c r="L336" s="38">
        <v>1</v>
      </c>
    </row>
    <row r="337" spans="1:12" x14ac:dyDescent="0.25">
      <c r="A337" s="37" t="s">
        <v>7403</v>
      </c>
      <c r="B337" s="38" t="s">
        <v>7844</v>
      </c>
      <c r="C337" s="38" t="s">
        <v>9311</v>
      </c>
      <c r="D337" s="38" t="s">
        <v>7856</v>
      </c>
      <c r="E337" s="38" t="s">
        <v>7857</v>
      </c>
      <c r="F337" s="37" t="s">
        <v>7404</v>
      </c>
      <c r="G337" s="37" t="s">
        <v>8190</v>
      </c>
      <c r="H337" s="39">
        <v>88.392700000000005</v>
      </c>
      <c r="I337" s="39">
        <v>290</v>
      </c>
      <c r="J337" s="39">
        <v>635</v>
      </c>
      <c r="K337" s="39">
        <v>70.451599999999999</v>
      </c>
      <c r="L337" s="38">
        <v>1</v>
      </c>
    </row>
    <row r="338" spans="1:12" x14ac:dyDescent="0.25">
      <c r="A338" s="37" t="s">
        <v>7405</v>
      </c>
      <c r="B338" s="38" t="s">
        <v>7844</v>
      </c>
      <c r="C338" s="38" t="s">
        <v>9311</v>
      </c>
      <c r="D338" s="38" t="s">
        <v>7861</v>
      </c>
      <c r="E338" s="38" t="s">
        <v>7857</v>
      </c>
      <c r="F338" s="37" t="s">
        <v>7406</v>
      </c>
      <c r="G338" s="37" t="s">
        <v>8191</v>
      </c>
      <c r="H338" s="39">
        <v>52.128999999999998</v>
      </c>
      <c r="I338" s="39">
        <v>169</v>
      </c>
      <c r="J338" s="39">
        <v>369</v>
      </c>
      <c r="K338" s="39">
        <v>41.548400000000001</v>
      </c>
      <c r="L338" s="38">
        <v>1</v>
      </c>
    </row>
    <row r="339" spans="1:12" x14ac:dyDescent="0.25">
      <c r="A339" s="37" t="s">
        <v>7407</v>
      </c>
      <c r="B339" s="38" t="s">
        <v>7844</v>
      </c>
      <c r="C339" s="38" t="s">
        <v>9311</v>
      </c>
      <c r="D339" s="38" t="s">
        <v>7861</v>
      </c>
      <c r="E339" s="38" t="s">
        <v>7857</v>
      </c>
      <c r="F339" s="37" t="s">
        <v>7406</v>
      </c>
      <c r="G339" s="37" t="s">
        <v>8192</v>
      </c>
      <c r="H339" s="39">
        <v>52.128999999999998</v>
      </c>
      <c r="I339" s="39">
        <v>169</v>
      </c>
      <c r="J339" s="39">
        <v>369</v>
      </c>
      <c r="K339" s="39">
        <v>41.548400000000001</v>
      </c>
      <c r="L339" s="38">
        <v>1</v>
      </c>
    </row>
    <row r="340" spans="1:12" x14ac:dyDescent="0.25">
      <c r="A340" s="37" t="s">
        <v>7408</v>
      </c>
      <c r="B340" s="38" t="s">
        <v>7844</v>
      </c>
      <c r="C340" s="38" t="s">
        <v>9311</v>
      </c>
      <c r="D340" s="38" t="s">
        <v>7861</v>
      </c>
      <c r="E340" s="38" t="s">
        <v>7857</v>
      </c>
      <c r="F340" s="37" t="s">
        <v>7406</v>
      </c>
      <c r="G340" s="37" t="s">
        <v>8193</v>
      </c>
      <c r="H340" s="39">
        <v>52.128999999999998</v>
      </c>
      <c r="I340" s="39">
        <v>169</v>
      </c>
      <c r="J340" s="39">
        <v>369</v>
      </c>
      <c r="K340" s="39">
        <v>41.548400000000001</v>
      </c>
      <c r="L340" s="38">
        <v>1</v>
      </c>
    </row>
    <row r="341" spans="1:12" x14ac:dyDescent="0.25">
      <c r="A341" s="37" t="s">
        <v>7409</v>
      </c>
      <c r="B341" s="38" t="s">
        <v>7844</v>
      </c>
      <c r="C341" s="38" t="s">
        <v>9311</v>
      </c>
      <c r="D341" s="38" t="s">
        <v>7861</v>
      </c>
      <c r="E341" s="38" t="s">
        <v>7857</v>
      </c>
      <c r="F341" s="37" t="s">
        <v>7410</v>
      </c>
      <c r="G341" s="37" t="s">
        <v>8194</v>
      </c>
      <c r="H341" s="39">
        <v>52.128999999999998</v>
      </c>
      <c r="I341" s="39">
        <v>169</v>
      </c>
      <c r="J341" s="39">
        <v>369</v>
      </c>
      <c r="K341" s="39">
        <v>41.548400000000001</v>
      </c>
      <c r="L341" s="38">
        <v>1</v>
      </c>
    </row>
    <row r="342" spans="1:12" x14ac:dyDescent="0.25">
      <c r="A342" s="37" t="s">
        <v>7411</v>
      </c>
      <c r="B342" s="38" t="s">
        <v>7844</v>
      </c>
      <c r="C342" s="38" t="s">
        <v>9311</v>
      </c>
      <c r="D342" s="38" t="s">
        <v>7861</v>
      </c>
      <c r="E342" s="38" t="s">
        <v>7857</v>
      </c>
      <c r="F342" s="37" t="s">
        <v>7412</v>
      </c>
      <c r="G342" s="37" t="s">
        <v>8195</v>
      </c>
      <c r="H342" s="39">
        <v>52.128999999999998</v>
      </c>
      <c r="I342" s="39">
        <v>169</v>
      </c>
      <c r="J342" s="39">
        <v>372</v>
      </c>
      <c r="K342" s="39">
        <v>41.548400000000001</v>
      </c>
      <c r="L342" s="38">
        <v>1</v>
      </c>
    </row>
    <row r="343" spans="1:12" x14ac:dyDescent="0.25">
      <c r="A343" s="37" t="s">
        <v>7413</v>
      </c>
      <c r="B343" s="38" t="s">
        <v>7844</v>
      </c>
      <c r="C343" s="38" t="s">
        <v>9311</v>
      </c>
      <c r="D343" s="38" t="s">
        <v>7859</v>
      </c>
      <c r="E343" s="38" t="s">
        <v>7851</v>
      </c>
      <c r="F343" s="37" t="s">
        <v>7414</v>
      </c>
      <c r="G343" s="37" t="s">
        <v>8196</v>
      </c>
      <c r="H343" s="39">
        <v>63.461399999999998</v>
      </c>
      <c r="I343" s="39">
        <v>220</v>
      </c>
      <c r="J343" s="39">
        <v>480</v>
      </c>
      <c r="K343" s="39">
        <v>50.580599999999997</v>
      </c>
      <c r="L343" s="38">
        <v>1</v>
      </c>
    </row>
    <row r="344" spans="1:12" x14ac:dyDescent="0.25">
      <c r="A344" s="37" t="s">
        <v>7415</v>
      </c>
      <c r="B344" s="38" t="s">
        <v>7844</v>
      </c>
      <c r="C344" s="38" t="s">
        <v>9309</v>
      </c>
      <c r="D344" s="38" t="s">
        <v>8033</v>
      </c>
      <c r="E344" s="38" t="s">
        <v>7857</v>
      </c>
      <c r="F344" s="37" t="s">
        <v>7416</v>
      </c>
      <c r="G344" s="37" t="s">
        <v>8197</v>
      </c>
      <c r="H344" s="39">
        <v>52.128999999999998</v>
      </c>
      <c r="I344" s="39">
        <v>149</v>
      </c>
      <c r="J344" s="39">
        <v>325</v>
      </c>
      <c r="K344" s="39">
        <v>41.548400000000001</v>
      </c>
      <c r="L344" s="38">
        <v>1</v>
      </c>
    </row>
    <row r="345" spans="1:12" x14ac:dyDescent="0.25">
      <c r="A345" s="37" t="s">
        <v>7417</v>
      </c>
      <c r="B345" s="38" t="s">
        <v>7844</v>
      </c>
      <c r="C345" s="38" t="s">
        <v>9311</v>
      </c>
      <c r="D345" s="38" t="s">
        <v>7859</v>
      </c>
      <c r="E345" s="38" t="s">
        <v>7857</v>
      </c>
      <c r="F345" s="37" t="s">
        <v>7418</v>
      </c>
      <c r="G345" s="37" t="s">
        <v>8198</v>
      </c>
      <c r="H345" s="39">
        <v>49.862499999999997</v>
      </c>
      <c r="I345" s="39">
        <v>160</v>
      </c>
      <c r="J345" s="39">
        <v>360</v>
      </c>
      <c r="K345" s="39">
        <v>39.741900000000001</v>
      </c>
      <c r="L345" s="38">
        <v>1</v>
      </c>
    </row>
    <row r="346" spans="1:12" x14ac:dyDescent="0.25">
      <c r="A346" s="37" t="s">
        <v>7419</v>
      </c>
      <c r="B346" s="38" t="s">
        <v>7844</v>
      </c>
      <c r="C346" s="38" t="s">
        <v>9311</v>
      </c>
      <c r="D346" s="38" t="s">
        <v>7859</v>
      </c>
      <c r="E346" s="38" t="s">
        <v>7857</v>
      </c>
      <c r="F346" s="37" t="s">
        <v>7420</v>
      </c>
      <c r="G346" s="37" t="s">
        <v>8199</v>
      </c>
      <c r="H346" s="39">
        <v>49.862499999999997</v>
      </c>
      <c r="I346" s="39">
        <v>170</v>
      </c>
      <c r="J346" s="39">
        <v>375</v>
      </c>
      <c r="K346" s="39">
        <v>39.741900000000001</v>
      </c>
      <c r="L346" s="38">
        <v>1</v>
      </c>
    </row>
    <row r="347" spans="1:12" x14ac:dyDescent="0.25">
      <c r="A347" s="37" t="s">
        <v>7421</v>
      </c>
      <c r="B347" s="38" t="s">
        <v>7844</v>
      </c>
      <c r="C347" s="38" t="s">
        <v>9311</v>
      </c>
      <c r="D347" s="38" t="s">
        <v>7859</v>
      </c>
      <c r="E347" s="38" t="s">
        <v>7857</v>
      </c>
      <c r="F347" s="37" t="s">
        <v>7418</v>
      </c>
      <c r="G347" s="37" t="s">
        <v>8200</v>
      </c>
      <c r="H347" s="39">
        <v>40.796599999999998</v>
      </c>
      <c r="I347" s="39">
        <v>129</v>
      </c>
      <c r="J347" s="39">
        <v>279</v>
      </c>
      <c r="K347" s="39">
        <v>32.516100000000002</v>
      </c>
      <c r="L347" s="38">
        <v>1</v>
      </c>
    </row>
    <row r="348" spans="1:12" x14ac:dyDescent="0.25">
      <c r="A348" s="37" t="s">
        <v>7422</v>
      </c>
      <c r="B348" s="38" t="s">
        <v>7844</v>
      </c>
      <c r="C348" s="38" t="s">
        <v>9312</v>
      </c>
      <c r="D348" s="38" t="s">
        <v>7917</v>
      </c>
      <c r="E348" s="38" t="s">
        <v>7851</v>
      </c>
      <c r="F348" s="37" t="s">
        <v>7423</v>
      </c>
      <c r="G348" s="37" t="s">
        <v>8201</v>
      </c>
      <c r="H348" s="39">
        <v>43.063099999999999</v>
      </c>
      <c r="I348" s="39">
        <v>129</v>
      </c>
      <c r="J348" s="39">
        <v>279</v>
      </c>
      <c r="K348" s="39">
        <v>34.322600000000001</v>
      </c>
      <c r="L348" s="38">
        <v>1</v>
      </c>
    </row>
    <row r="349" spans="1:12" x14ac:dyDescent="0.25">
      <c r="A349" s="37" t="s">
        <v>7424</v>
      </c>
      <c r="B349" s="38" t="s">
        <v>7844</v>
      </c>
      <c r="C349" s="38" t="s">
        <v>9309</v>
      </c>
      <c r="D349" s="38" t="s">
        <v>7850</v>
      </c>
      <c r="E349" s="38" t="s">
        <v>7857</v>
      </c>
      <c r="F349" s="37" t="s">
        <v>7425</v>
      </c>
      <c r="G349" s="37" t="s">
        <v>8202</v>
      </c>
      <c r="H349" s="39">
        <v>49.862499999999997</v>
      </c>
      <c r="I349" s="39">
        <v>179</v>
      </c>
      <c r="J349" s="39">
        <v>389</v>
      </c>
      <c r="K349" s="39">
        <v>39.741900000000001</v>
      </c>
      <c r="L349" s="38">
        <v>1</v>
      </c>
    </row>
    <row r="350" spans="1:12" x14ac:dyDescent="0.25">
      <c r="A350" s="37" t="s">
        <v>7426</v>
      </c>
      <c r="B350" s="38" t="s">
        <v>7844</v>
      </c>
      <c r="C350" s="38" t="s">
        <v>9311</v>
      </c>
      <c r="D350" s="38" t="s">
        <v>7856</v>
      </c>
      <c r="E350" s="38" t="s">
        <v>7857</v>
      </c>
      <c r="F350" s="37" t="s">
        <v>7427</v>
      </c>
      <c r="G350" s="37" t="s">
        <v>8203</v>
      </c>
      <c r="H350" s="39">
        <v>192.6507</v>
      </c>
      <c r="I350" s="39">
        <v>569</v>
      </c>
      <c r="J350" s="39">
        <v>1250</v>
      </c>
      <c r="K350" s="39">
        <v>153.54839999999999</v>
      </c>
      <c r="L350" s="38">
        <v>1</v>
      </c>
    </row>
    <row r="351" spans="1:12" x14ac:dyDescent="0.25">
      <c r="A351" s="37" t="s">
        <v>7428</v>
      </c>
      <c r="B351" s="38" t="s">
        <v>7844</v>
      </c>
      <c r="C351" s="38" t="s">
        <v>9311</v>
      </c>
      <c r="D351" s="38" t="s">
        <v>7861</v>
      </c>
      <c r="E351" s="38" t="s">
        <v>7851</v>
      </c>
      <c r="F351" s="37" t="s">
        <v>7429</v>
      </c>
      <c r="G351" s="37" t="s">
        <v>8204</v>
      </c>
      <c r="H351" s="39">
        <v>124.6563</v>
      </c>
      <c r="I351" s="39">
        <v>449</v>
      </c>
      <c r="J351" s="39">
        <v>980</v>
      </c>
      <c r="K351" s="39">
        <v>99.354799999999997</v>
      </c>
      <c r="L351" s="38">
        <v>1</v>
      </c>
    </row>
    <row r="352" spans="1:12" x14ac:dyDescent="0.25">
      <c r="A352" s="37" t="s">
        <v>7430</v>
      </c>
      <c r="B352" s="38" t="s">
        <v>7844</v>
      </c>
      <c r="C352" s="38" t="s">
        <v>9312</v>
      </c>
      <c r="D352" s="38" t="s">
        <v>7917</v>
      </c>
      <c r="E352" s="38" t="s">
        <v>7851</v>
      </c>
      <c r="F352" s="37" t="s">
        <v>7431</v>
      </c>
      <c r="G352" s="37" t="s">
        <v>8205</v>
      </c>
      <c r="H352" s="39">
        <v>79.326800000000006</v>
      </c>
      <c r="I352" s="39">
        <v>220</v>
      </c>
      <c r="J352" s="39">
        <v>479</v>
      </c>
      <c r="K352" s="39">
        <v>63.2258</v>
      </c>
      <c r="L352" s="38">
        <v>1</v>
      </c>
    </row>
    <row r="353" spans="1:12" x14ac:dyDescent="0.25">
      <c r="A353" s="37" t="s">
        <v>7432</v>
      </c>
      <c r="B353" s="38" t="s">
        <v>7844</v>
      </c>
      <c r="C353" s="38" t="s">
        <v>9311</v>
      </c>
      <c r="D353" s="38" t="s">
        <v>7856</v>
      </c>
      <c r="E353" s="38" t="s">
        <v>7857</v>
      </c>
      <c r="F353" s="37" t="s">
        <v>7433</v>
      </c>
      <c r="G353" s="37" t="s">
        <v>8206</v>
      </c>
      <c r="H353" s="39">
        <v>90.659199999999998</v>
      </c>
      <c r="I353" s="39">
        <v>299</v>
      </c>
      <c r="J353" s="39">
        <v>650</v>
      </c>
      <c r="K353" s="39">
        <v>72.258099999999999</v>
      </c>
      <c r="L353" s="38">
        <v>1</v>
      </c>
    </row>
    <row r="354" spans="1:12" x14ac:dyDescent="0.25">
      <c r="A354" s="37" t="s">
        <v>7434</v>
      </c>
      <c r="B354" s="38" t="s">
        <v>7844</v>
      </c>
      <c r="C354" s="38" t="s">
        <v>9311</v>
      </c>
      <c r="D354" s="38" t="s">
        <v>7856</v>
      </c>
      <c r="E354" s="38" t="s">
        <v>7857</v>
      </c>
      <c r="F354" s="37" t="s">
        <v>7435</v>
      </c>
      <c r="G354" s="37" t="s">
        <v>8207</v>
      </c>
      <c r="H354" s="39">
        <v>90.659199999999998</v>
      </c>
      <c r="I354" s="39">
        <v>315</v>
      </c>
      <c r="J354" s="39">
        <v>690</v>
      </c>
      <c r="K354" s="39">
        <v>72.258099999999999</v>
      </c>
      <c r="L354" s="38">
        <v>1</v>
      </c>
    </row>
    <row r="355" spans="1:12" x14ac:dyDescent="0.25">
      <c r="A355" s="37" t="s">
        <v>7436</v>
      </c>
      <c r="B355" s="38" t="s">
        <v>7844</v>
      </c>
      <c r="C355" s="38" t="s">
        <v>9311</v>
      </c>
      <c r="D355" s="38" t="s">
        <v>7856</v>
      </c>
      <c r="E355" s="38" t="s">
        <v>7857</v>
      </c>
      <c r="F355" s="37" t="s">
        <v>7437</v>
      </c>
      <c r="G355" s="37" t="s">
        <v>8208</v>
      </c>
      <c r="H355" s="39">
        <v>86.126199999999997</v>
      </c>
      <c r="I355" s="39">
        <v>275</v>
      </c>
      <c r="J355" s="39">
        <v>605</v>
      </c>
      <c r="K355" s="39">
        <v>68.645200000000003</v>
      </c>
      <c r="L355" s="38">
        <v>1</v>
      </c>
    </row>
    <row r="356" spans="1:12" x14ac:dyDescent="0.25">
      <c r="A356" s="37" t="s">
        <v>7438</v>
      </c>
      <c r="B356" s="38" t="s">
        <v>7844</v>
      </c>
      <c r="C356" s="38" t="s">
        <v>9311</v>
      </c>
      <c r="D356" s="38" t="s">
        <v>7856</v>
      </c>
      <c r="E356" s="38" t="s">
        <v>7857</v>
      </c>
      <c r="F356" s="37" t="s">
        <v>7439</v>
      </c>
      <c r="G356" s="37" t="s">
        <v>8209</v>
      </c>
      <c r="H356" s="39">
        <v>40.796599999999998</v>
      </c>
      <c r="I356" s="39">
        <v>140</v>
      </c>
      <c r="J356" s="39">
        <v>305</v>
      </c>
      <c r="K356" s="39">
        <v>32.516100000000002</v>
      </c>
      <c r="L356" s="38">
        <v>1</v>
      </c>
    </row>
    <row r="357" spans="1:12" x14ac:dyDescent="0.25">
      <c r="A357" s="37" t="s">
        <v>7440</v>
      </c>
      <c r="B357" s="38" t="s">
        <v>7844</v>
      </c>
      <c r="C357" s="38" t="s">
        <v>9309</v>
      </c>
      <c r="D357" s="38" t="s">
        <v>8033</v>
      </c>
      <c r="E357" s="38" t="s">
        <v>7857</v>
      </c>
      <c r="F357" s="37" t="s">
        <v>7441</v>
      </c>
      <c r="G357" s="37" t="s">
        <v>8210</v>
      </c>
      <c r="H357" s="39">
        <v>45.329599999999999</v>
      </c>
      <c r="I357" s="39">
        <v>159</v>
      </c>
      <c r="J357" s="39">
        <v>350</v>
      </c>
      <c r="K357" s="39">
        <v>36.128999999999998</v>
      </c>
      <c r="L357" s="38">
        <v>1</v>
      </c>
    </row>
    <row r="358" spans="1:12" x14ac:dyDescent="0.25">
      <c r="A358" s="37" t="s">
        <v>7442</v>
      </c>
      <c r="B358" s="38" t="s">
        <v>7844</v>
      </c>
      <c r="C358" s="38" t="s">
        <v>9311</v>
      </c>
      <c r="D358" s="38" t="s">
        <v>7856</v>
      </c>
      <c r="E358" s="38" t="s">
        <v>7857</v>
      </c>
      <c r="F358" s="37" t="s">
        <v>7443</v>
      </c>
      <c r="G358" s="37" t="s">
        <v>8211</v>
      </c>
      <c r="H358" s="39">
        <v>63.461399999999998</v>
      </c>
      <c r="I358" s="39">
        <v>235</v>
      </c>
      <c r="J358" s="39">
        <v>515</v>
      </c>
      <c r="K358" s="39">
        <v>50.580599999999997</v>
      </c>
      <c r="L358" s="38">
        <v>1</v>
      </c>
    </row>
    <row r="359" spans="1:12" x14ac:dyDescent="0.25">
      <c r="A359" s="37" t="s">
        <v>7444</v>
      </c>
      <c r="B359" s="38" t="s">
        <v>7844</v>
      </c>
      <c r="C359" s="38" t="s">
        <v>9311</v>
      </c>
      <c r="D359" s="38" t="s">
        <v>7856</v>
      </c>
      <c r="E359" s="38" t="s">
        <v>7857</v>
      </c>
      <c r="F359" s="37" t="s">
        <v>7445</v>
      </c>
      <c r="G359" s="37" t="s">
        <v>8212</v>
      </c>
      <c r="H359" s="39">
        <v>90.659199999999998</v>
      </c>
      <c r="I359" s="39">
        <v>305</v>
      </c>
      <c r="J359" s="39">
        <v>670</v>
      </c>
      <c r="K359" s="39">
        <v>72.258099999999999</v>
      </c>
      <c r="L359" s="38">
        <v>1</v>
      </c>
    </row>
    <row r="360" spans="1:12" x14ac:dyDescent="0.25">
      <c r="A360" s="37" t="s">
        <v>7446</v>
      </c>
      <c r="B360" s="38" t="s">
        <v>7844</v>
      </c>
      <c r="C360" s="38" t="s">
        <v>9311</v>
      </c>
      <c r="D360" s="38" t="s">
        <v>7859</v>
      </c>
      <c r="E360" s="38" t="s">
        <v>7857</v>
      </c>
      <c r="F360" s="37" t="s">
        <v>7447</v>
      </c>
      <c r="G360" s="37" t="s">
        <v>8213</v>
      </c>
      <c r="H360" s="39">
        <v>90.659199999999998</v>
      </c>
      <c r="I360" s="39">
        <v>299</v>
      </c>
      <c r="J360" s="39">
        <v>650</v>
      </c>
      <c r="K360" s="39">
        <v>72.258099999999999</v>
      </c>
      <c r="L360" s="38">
        <v>1</v>
      </c>
    </row>
    <row r="361" spans="1:12" x14ac:dyDescent="0.25">
      <c r="A361" s="37" t="s">
        <v>7448</v>
      </c>
      <c r="B361" s="38" t="s">
        <v>7844</v>
      </c>
      <c r="C361" s="38" t="s">
        <v>9309</v>
      </c>
      <c r="D361" s="38" t="s">
        <v>8029</v>
      </c>
      <c r="E361" s="38" t="s">
        <v>7857</v>
      </c>
      <c r="F361" s="37" t="s">
        <v>7449</v>
      </c>
      <c r="G361" s="37" t="s">
        <v>8214</v>
      </c>
      <c r="H361" s="39">
        <v>49.862499999999997</v>
      </c>
      <c r="I361" s="39">
        <v>175</v>
      </c>
      <c r="J361" s="39">
        <v>385</v>
      </c>
      <c r="K361" s="39">
        <v>39.741900000000001</v>
      </c>
      <c r="L361" s="38">
        <v>1</v>
      </c>
    </row>
    <row r="362" spans="1:12" x14ac:dyDescent="0.25">
      <c r="A362" s="37" t="s">
        <v>7450</v>
      </c>
      <c r="B362" s="38" t="s">
        <v>7844</v>
      </c>
      <c r="C362" s="38" t="s">
        <v>9311</v>
      </c>
      <c r="D362" s="38" t="s">
        <v>7856</v>
      </c>
      <c r="E362" s="38" t="s">
        <v>7857</v>
      </c>
      <c r="F362" s="37" t="s">
        <v>7451</v>
      </c>
      <c r="G362" s="37" t="s">
        <v>8215</v>
      </c>
      <c r="H362" s="39">
        <v>79.326800000000006</v>
      </c>
      <c r="I362" s="39">
        <v>255</v>
      </c>
      <c r="J362" s="39">
        <v>560</v>
      </c>
      <c r="K362" s="39">
        <v>63.2258</v>
      </c>
      <c r="L362" s="38">
        <v>1</v>
      </c>
    </row>
    <row r="363" spans="1:12" x14ac:dyDescent="0.25">
      <c r="A363" s="37" t="s">
        <v>7452</v>
      </c>
      <c r="B363" s="38" t="s">
        <v>7844</v>
      </c>
      <c r="C363" s="38" t="s">
        <v>9309</v>
      </c>
      <c r="D363" s="38" t="s">
        <v>8033</v>
      </c>
      <c r="E363" s="38" t="s">
        <v>7857</v>
      </c>
      <c r="F363" s="37" t="s">
        <v>7453</v>
      </c>
      <c r="G363" s="37" t="s">
        <v>8130</v>
      </c>
      <c r="H363" s="39">
        <v>33.997199999999999</v>
      </c>
      <c r="I363" s="39">
        <v>119</v>
      </c>
      <c r="J363" s="39">
        <v>260</v>
      </c>
      <c r="K363" s="39">
        <v>27.096800000000002</v>
      </c>
      <c r="L363" s="38">
        <v>1</v>
      </c>
    </row>
    <row r="364" spans="1:12" x14ac:dyDescent="0.25">
      <c r="A364" s="37" t="s">
        <v>7454</v>
      </c>
      <c r="B364" s="38" t="s">
        <v>7844</v>
      </c>
      <c r="C364" s="38" t="s">
        <v>9309</v>
      </c>
      <c r="D364" s="38" t="s">
        <v>8033</v>
      </c>
      <c r="E364" s="38" t="s">
        <v>7857</v>
      </c>
      <c r="F364" s="37" t="s">
        <v>7455</v>
      </c>
      <c r="G364" s="37" t="s">
        <v>8130</v>
      </c>
      <c r="H364" s="39">
        <v>33.997199999999999</v>
      </c>
      <c r="I364" s="39">
        <v>119</v>
      </c>
      <c r="J364" s="39">
        <v>260</v>
      </c>
      <c r="K364" s="39">
        <v>27.096800000000002</v>
      </c>
      <c r="L364" s="38">
        <v>1</v>
      </c>
    </row>
    <row r="365" spans="1:12" x14ac:dyDescent="0.25">
      <c r="A365" s="37" t="s">
        <v>7456</v>
      </c>
      <c r="B365" s="38" t="s">
        <v>7844</v>
      </c>
      <c r="C365" s="38" t="s">
        <v>9309</v>
      </c>
      <c r="D365" s="38" t="s">
        <v>8033</v>
      </c>
      <c r="E365" s="38" t="s">
        <v>7857</v>
      </c>
      <c r="F365" s="37" t="s">
        <v>7455</v>
      </c>
      <c r="G365" s="37" t="s">
        <v>8130</v>
      </c>
      <c r="H365" s="39">
        <v>33.997199999999999</v>
      </c>
      <c r="I365" s="39">
        <v>119</v>
      </c>
      <c r="J365" s="39">
        <v>260</v>
      </c>
      <c r="K365" s="39">
        <v>27.096800000000002</v>
      </c>
      <c r="L365" s="38">
        <v>1</v>
      </c>
    </row>
    <row r="366" spans="1:12" x14ac:dyDescent="0.25">
      <c r="A366" s="37" t="s">
        <v>7457</v>
      </c>
      <c r="B366" s="38" t="s">
        <v>7844</v>
      </c>
      <c r="C366" s="38" t="s">
        <v>9309</v>
      </c>
      <c r="D366" s="38" t="s">
        <v>8033</v>
      </c>
      <c r="E366" s="38" t="s">
        <v>7857</v>
      </c>
      <c r="F366" s="37" t="s">
        <v>7458</v>
      </c>
      <c r="G366" s="37" t="s">
        <v>8130</v>
      </c>
      <c r="H366" s="39">
        <v>33.997199999999999</v>
      </c>
      <c r="I366" s="39">
        <v>119</v>
      </c>
      <c r="J366" s="39">
        <v>260</v>
      </c>
      <c r="K366" s="39">
        <v>27.096800000000002</v>
      </c>
      <c r="L366" s="38">
        <v>1</v>
      </c>
    </row>
    <row r="367" spans="1:12" x14ac:dyDescent="0.25">
      <c r="A367" s="37" t="s">
        <v>7459</v>
      </c>
      <c r="B367" s="38" t="s">
        <v>7844</v>
      </c>
      <c r="C367" s="38" t="s">
        <v>9309</v>
      </c>
      <c r="D367" s="38" t="s">
        <v>8033</v>
      </c>
      <c r="E367" s="38" t="s">
        <v>7857</v>
      </c>
      <c r="F367" s="37" t="s">
        <v>7455</v>
      </c>
      <c r="G367" s="37" t="s">
        <v>8130</v>
      </c>
      <c r="H367" s="39">
        <v>33.997199999999999</v>
      </c>
      <c r="I367" s="39">
        <v>119</v>
      </c>
      <c r="J367" s="39">
        <v>260</v>
      </c>
      <c r="K367" s="39">
        <v>27.096800000000002</v>
      </c>
      <c r="L367" s="38">
        <v>1</v>
      </c>
    </row>
    <row r="368" spans="1:12" x14ac:dyDescent="0.25">
      <c r="A368" s="37" t="s">
        <v>7460</v>
      </c>
      <c r="B368" s="38" t="s">
        <v>7844</v>
      </c>
      <c r="C368" s="38" t="s">
        <v>9309</v>
      </c>
      <c r="D368" s="38" t="s">
        <v>8033</v>
      </c>
      <c r="E368" s="38" t="s">
        <v>7857</v>
      </c>
      <c r="F368" s="37" t="s">
        <v>7455</v>
      </c>
      <c r="G368" s="37" t="s">
        <v>8130</v>
      </c>
      <c r="H368" s="39">
        <v>33.997199999999999</v>
      </c>
      <c r="I368" s="39">
        <v>119</v>
      </c>
      <c r="J368" s="39">
        <v>260</v>
      </c>
      <c r="K368" s="39">
        <v>27.096800000000002</v>
      </c>
      <c r="L368" s="38">
        <v>1</v>
      </c>
    </row>
    <row r="369" spans="1:12" x14ac:dyDescent="0.25">
      <c r="A369" s="37" t="s">
        <v>7461</v>
      </c>
      <c r="B369" s="38" t="s">
        <v>7844</v>
      </c>
      <c r="C369" s="38" t="s">
        <v>9309</v>
      </c>
      <c r="D369" s="38" t="s">
        <v>8033</v>
      </c>
      <c r="E369" s="38" t="s">
        <v>7857</v>
      </c>
      <c r="F369" s="37" t="s">
        <v>7462</v>
      </c>
      <c r="G369" s="37" t="s">
        <v>8130</v>
      </c>
      <c r="H369" s="39">
        <v>33.997199999999999</v>
      </c>
      <c r="I369" s="39">
        <v>119</v>
      </c>
      <c r="J369" s="39">
        <v>260</v>
      </c>
      <c r="K369" s="39">
        <v>27.096800000000002</v>
      </c>
      <c r="L369" s="38">
        <v>1</v>
      </c>
    </row>
    <row r="370" spans="1:12" x14ac:dyDescent="0.25">
      <c r="A370" s="37" t="s">
        <v>7463</v>
      </c>
      <c r="B370" s="38" t="s">
        <v>7844</v>
      </c>
      <c r="C370" s="38" t="s">
        <v>9309</v>
      </c>
      <c r="D370" s="38" t="s">
        <v>8033</v>
      </c>
      <c r="E370" s="38" t="s">
        <v>7857</v>
      </c>
      <c r="F370" s="37" t="s">
        <v>7464</v>
      </c>
      <c r="G370" s="37" t="s">
        <v>8130</v>
      </c>
      <c r="H370" s="39">
        <v>33.997199999999999</v>
      </c>
      <c r="I370" s="39">
        <v>122</v>
      </c>
      <c r="J370" s="39">
        <v>269</v>
      </c>
      <c r="K370" s="39">
        <v>27.096800000000002</v>
      </c>
      <c r="L370" s="38">
        <v>1</v>
      </c>
    </row>
    <row r="371" spans="1:12" x14ac:dyDescent="0.25">
      <c r="A371" s="37" t="s">
        <v>7465</v>
      </c>
      <c r="B371" s="38" t="s">
        <v>7844</v>
      </c>
      <c r="C371" s="38" t="s">
        <v>9309</v>
      </c>
      <c r="D371" s="38" t="s">
        <v>8033</v>
      </c>
      <c r="E371" s="38" t="s">
        <v>7857</v>
      </c>
      <c r="F371" s="37" t="s">
        <v>7466</v>
      </c>
      <c r="G371" s="37" t="s">
        <v>8130</v>
      </c>
      <c r="H371" s="39">
        <v>33.997199999999999</v>
      </c>
      <c r="I371" s="39">
        <v>112</v>
      </c>
      <c r="J371" s="39">
        <v>245</v>
      </c>
      <c r="K371" s="39">
        <v>27.096800000000002</v>
      </c>
      <c r="L371" s="38">
        <v>1</v>
      </c>
    </row>
    <row r="372" spans="1:12" x14ac:dyDescent="0.25">
      <c r="A372" s="37" t="s">
        <v>7467</v>
      </c>
      <c r="B372" s="38" t="s">
        <v>7844</v>
      </c>
      <c r="C372" s="38" t="s">
        <v>9309</v>
      </c>
      <c r="D372" s="38" t="s">
        <v>8033</v>
      </c>
      <c r="E372" s="38" t="s">
        <v>7857</v>
      </c>
      <c r="F372" s="37" t="s">
        <v>7468</v>
      </c>
      <c r="G372" s="37" t="s">
        <v>8130</v>
      </c>
      <c r="H372" s="39">
        <v>33.997199999999999</v>
      </c>
      <c r="I372" s="39">
        <v>112</v>
      </c>
      <c r="J372" s="39">
        <v>245</v>
      </c>
      <c r="K372" s="39">
        <v>27.096800000000002</v>
      </c>
      <c r="L372" s="38">
        <v>1</v>
      </c>
    </row>
    <row r="373" spans="1:12" x14ac:dyDescent="0.25">
      <c r="A373" s="37" t="s">
        <v>7469</v>
      </c>
      <c r="B373" s="38" t="s">
        <v>7844</v>
      </c>
      <c r="C373" s="38" t="s">
        <v>9309</v>
      </c>
      <c r="D373" s="38" t="s">
        <v>8029</v>
      </c>
      <c r="E373" s="38" t="s">
        <v>7857</v>
      </c>
      <c r="F373" s="37" t="s">
        <v>7470</v>
      </c>
      <c r="G373" s="37" t="s">
        <v>8216</v>
      </c>
      <c r="H373" s="39">
        <v>33.997199999999999</v>
      </c>
      <c r="I373" s="39">
        <v>112</v>
      </c>
      <c r="J373" s="39">
        <v>239</v>
      </c>
      <c r="K373" s="39">
        <v>27.096800000000002</v>
      </c>
      <c r="L373" s="38">
        <v>1</v>
      </c>
    </row>
    <row r="374" spans="1:12" x14ac:dyDescent="0.25">
      <c r="A374" s="37" t="s">
        <v>7471</v>
      </c>
      <c r="B374" s="38" t="s">
        <v>7844</v>
      </c>
      <c r="C374" s="38" t="s">
        <v>9311</v>
      </c>
      <c r="D374" s="38" t="s">
        <v>7861</v>
      </c>
      <c r="E374" s="38" t="s">
        <v>7857</v>
      </c>
      <c r="F374" s="37" t="s">
        <v>7472</v>
      </c>
      <c r="G374" s="37" t="s">
        <v>8217</v>
      </c>
      <c r="H374" s="39">
        <v>45.329599999999999</v>
      </c>
      <c r="I374" s="39">
        <v>159</v>
      </c>
      <c r="J374" s="39">
        <v>350</v>
      </c>
      <c r="K374" s="39">
        <v>36.128999999999998</v>
      </c>
      <c r="L374" s="38">
        <v>1</v>
      </c>
    </row>
    <row r="375" spans="1:12" x14ac:dyDescent="0.25">
      <c r="A375" s="37" t="s">
        <v>7473</v>
      </c>
      <c r="B375" s="38" t="s">
        <v>7844</v>
      </c>
      <c r="C375" s="38" t="s">
        <v>9309</v>
      </c>
      <c r="D375" s="38" t="s">
        <v>8029</v>
      </c>
      <c r="E375" s="38" t="s">
        <v>7857</v>
      </c>
      <c r="F375" s="37" t="s">
        <v>7474</v>
      </c>
      <c r="G375" s="37" t="s">
        <v>8218</v>
      </c>
      <c r="H375" s="39">
        <v>56.661999999999999</v>
      </c>
      <c r="I375" s="39">
        <v>169</v>
      </c>
      <c r="J375" s="39">
        <v>370</v>
      </c>
      <c r="K375" s="39">
        <v>45.161299999999997</v>
      </c>
      <c r="L375" s="38">
        <v>1</v>
      </c>
    </row>
    <row r="376" spans="1:12" x14ac:dyDescent="0.25">
      <c r="A376" s="37" t="s">
        <v>7475</v>
      </c>
      <c r="B376" s="38" t="s">
        <v>7844</v>
      </c>
      <c r="C376" s="38" t="s">
        <v>9309</v>
      </c>
      <c r="D376" s="38" t="s">
        <v>8029</v>
      </c>
      <c r="E376" s="38" t="s">
        <v>7857</v>
      </c>
      <c r="F376" s="37" t="s">
        <v>7474</v>
      </c>
      <c r="G376" s="37" t="s">
        <v>8219</v>
      </c>
      <c r="H376" s="39">
        <v>56.661999999999999</v>
      </c>
      <c r="I376" s="39">
        <v>180</v>
      </c>
      <c r="J376" s="39">
        <v>390</v>
      </c>
      <c r="K376" s="39">
        <v>45.161299999999997</v>
      </c>
      <c r="L376" s="38">
        <v>1</v>
      </c>
    </row>
    <row r="377" spans="1:12" x14ac:dyDescent="0.25">
      <c r="A377" s="37" t="s">
        <v>7476</v>
      </c>
      <c r="B377" s="38" t="s">
        <v>7844</v>
      </c>
      <c r="C377" s="38" t="s">
        <v>9311</v>
      </c>
      <c r="D377" s="38" t="s">
        <v>7859</v>
      </c>
      <c r="E377" s="38" t="s">
        <v>7857</v>
      </c>
      <c r="F377" s="37" t="s">
        <v>7477</v>
      </c>
      <c r="G377" s="37" t="s">
        <v>8220</v>
      </c>
      <c r="H377" s="39">
        <v>72.527299999999997</v>
      </c>
      <c r="I377" s="39">
        <v>250</v>
      </c>
      <c r="J377" s="39">
        <v>550</v>
      </c>
      <c r="K377" s="39">
        <v>57.8065</v>
      </c>
      <c r="L377" s="38">
        <v>1</v>
      </c>
    </row>
    <row r="378" spans="1:12" x14ac:dyDescent="0.25">
      <c r="A378" s="37" t="s">
        <v>7478</v>
      </c>
      <c r="B378" s="38" t="s">
        <v>7844</v>
      </c>
      <c r="C378" s="38" t="s">
        <v>9311</v>
      </c>
      <c r="D378" s="38" t="s">
        <v>7856</v>
      </c>
      <c r="E378" s="38" t="s">
        <v>7857</v>
      </c>
      <c r="F378" s="37" t="s">
        <v>7479</v>
      </c>
      <c r="G378" s="37" t="s">
        <v>8221</v>
      </c>
      <c r="H378" s="39">
        <v>56.661999999999999</v>
      </c>
      <c r="I378" s="39">
        <v>179</v>
      </c>
      <c r="J378" s="39">
        <v>389</v>
      </c>
      <c r="K378" s="39">
        <v>45.161299999999997</v>
      </c>
      <c r="L378" s="38">
        <v>1</v>
      </c>
    </row>
    <row r="379" spans="1:12" x14ac:dyDescent="0.25">
      <c r="A379" s="37" t="s">
        <v>7480</v>
      </c>
      <c r="B379" s="38" t="s">
        <v>7844</v>
      </c>
      <c r="C379" s="38" t="s">
        <v>9311</v>
      </c>
      <c r="D379" s="38" t="s">
        <v>7861</v>
      </c>
      <c r="E379" s="38" t="s">
        <v>7857</v>
      </c>
      <c r="F379" s="37" t="s">
        <v>7481</v>
      </c>
      <c r="G379" s="37" t="s">
        <v>8222</v>
      </c>
      <c r="H379" s="39">
        <v>67.994399999999999</v>
      </c>
      <c r="I379" s="39">
        <v>205</v>
      </c>
      <c r="J379" s="39">
        <v>450</v>
      </c>
      <c r="K379" s="39">
        <v>54.1935</v>
      </c>
      <c r="L379" s="38">
        <v>1</v>
      </c>
    </row>
    <row r="380" spans="1:12" x14ac:dyDescent="0.25">
      <c r="A380" s="37" t="s">
        <v>7482</v>
      </c>
      <c r="B380" s="38" t="s">
        <v>7844</v>
      </c>
      <c r="C380" s="38" t="s">
        <v>9311</v>
      </c>
      <c r="D380" s="38" t="s">
        <v>7861</v>
      </c>
      <c r="E380" s="38" t="s">
        <v>7857</v>
      </c>
      <c r="F380" s="37" t="s">
        <v>7483</v>
      </c>
      <c r="G380" s="37" t="s">
        <v>8223</v>
      </c>
      <c r="H380" s="39">
        <v>90.659199999999998</v>
      </c>
      <c r="I380" s="39">
        <v>299</v>
      </c>
      <c r="J380" s="39">
        <v>650</v>
      </c>
      <c r="K380" s="39">
        <v>72.258099999999999</v>
      </c>
      <c r="L380" s="38">
        <v>1</v>
      </c>
    </row>
    <row r="381" spans="1:12" x14ac:dyDescent="0.25">
      <c r="A381" s="37" t="s">
        <v>7484</v>
      </c>
      <c r="B381" s="38" t="s">
        <v>7844</v>
      </c>
      <c r="C381" s="38" t="s">
        <v>9311</v>
      </c>
      <c r="D381" s="38" t="s">
        <v>7861</v>
      </c>
      <c r="E381" s="38" t="s">
        <v>7857</v>
      </c>
      <c r="F381" s="37" t="s">
        <v>7485</v>
      </c>
      <c r="G381" s="37" t="s">
        <v>8224</v>
      </c>
      <c r="H381" s="39">
        <v>86.126199999999997</v>
      </c>
      <c r="I381" s="39">
        <v>280</v>
      </c>
      <c r="J381" s="39">
        <v>615</v>
      </c>
      <c r="K381" s="39">
        <v>68.645200000000003</v>
      </c>
      <c r="L381" s="38">
        <v>1</v>
      </c>
    </row>
    <row r="382" spans="1:12" x14ac:dyDescent="0.25">
      <c r="A382" s="37" t="s">
        <v>7486</v>
      </c>
      <c r="B382" s="38" t="s">
        <v>7844</v>
      </c>
      <c r="C382" s="38" t="s">
        <v>9311</v>
      </c>
      <c r="D382" s="38" t="s">
        <v>7856</v>
      </c>
      <c r="E382" s="38" t="s">
        <v>7857</v>
      </c>
      <c r="F382" s="37" t="s">
        <v>7487</v>
      </c>
      <c r="G382" s="37" t="s">
        <v>8225</v>
      </c>
      <c r="H382" s="39">
        <v>72.527299999999997</v>
      </c>
      <c r="I382" s="39">
        <v>239</v>
      </c>
      <c r="J382" s="39">
        <v>525</v>
      </c>
      <c r="K382" s="39">
        <v>57.8065</v>
      </c>
      <c r="L382" s="38">
        <v>1</v>
      </c>
    </row>
    <row r="383" spans="1:12" x14ac:dyDescent="0.25">
      <c r="A383" s="37" t="s">
        <v>7488</v>
      </c>
      <c r="B383" s="38" t="s">
        <v>7844</v>
      </c>
      <c r="C383" s="38" t="s">
        <v>9311</v>
      </c>
      <c r="D383" s="38" t="s">
        <v>7856</v>
      </c>
      <c r="E383" s="38" t="s">
        <v>7857</v>
      </c>
      <c r="F383" s="37" t="s">
        <v>7489</v>
      </c>
      <c r="G383" s="37" t="s">
        <v>8226</v>
      </c>
      <c r="H383" s="39">
        <v>45.329599999999999</v>
      </c>
      <c r="I383" s="39">
        <v>150</v>
      </c>
      <c r="J383" s="39">
        <v>330</v>
      </c>
      <c r="K383" s="39">
        <v>36.128999999999998</v>
      </c>
      <c r="L383" s="38">
        <v>1</v>
      </c>
    </row>
    <row r="384" spans="1:12" x14ac:dyDescent="0.25">
      <c r="A384" s="37" t="s">
        <v>7490</v>
      </c>
      <c r="B384" s="38" t="s">
        <v>7844</v>
      </c>
      <c r="C384" s="38" t="s">
        <v>9311</v>
      </c>
      <c r="D384" s="38" t="s">
        <v>7856</v>
      </c>
      <c r="E384" s="38" t="s">
        <v>7857</v>
      </c>
      <c r="F384" s="37" t="s">
        <v>7491</v>
      </c>
      <c r="G384" s="37" t="s">
        <v>8227</v>
      </c>
      <c r="H384" s="39">
        <v>45.329599999999999</v>
      </c>
      <c r="I384" s="39">
        <v>159</v>
      </c>
      <c r="J384" s="39">
        <v>349</v>
      </c>
      <c r="K384" s="39">
        <v>36.128999999999998</v>
      </c>
      <c r="L384" s="38">
        <v>1</v>
      </c>
    </row>
    <row r="385" spans="1:12" x14ac:dyDescent="0.25">
      <c r="A385" s="37" t="s">
        <v>7492</v>
      </c>
      <c r="B385" s="38" t="s">
        <v>7844</v>
      </c>
      <c r="C385" s="38" t="s">
        <v>9311</v>
      </c>
      <c r="D385" s="38" t="s">
        <v>7856</v>
      </c>
      <c r="E385" s="38" t="s">
        <v>7857</v>
      </c>
      <c r="F385" s="37" t="s">
        <v>7493</v>
      </c>
      <c r="G385" s="37" t="s">
        <v>8228</v>
      </c>
      <c r="H385" s="39">
        <v>45.329599999999999</v>
      </c>
      <c r="I385" s="39">
        <v>154</v>
      </c>
      <c r="J385" s="39">
        <v>335</v>
      </c>
      <c r="K385" s="39">
        <v>36.128999999999998</v>
      </c>
      <c r="L385" s="38">
        <v>1</v>
      </c>
    </row>
    <row r="386" spans="1:12" x14ac:dyDescent="0.25">
      <c r="A386" s="37" t="s">
        <v>7494</v>
      </c>
      <c r="B386" s="38" t="s">
        <v>7844</v>
      </c>
      <c r="C386" s="38" t="s">
        <v>9311</v>
      </c>
      <c r="D386" s="38" t="s">
        <v>7856</v>
      </c>
      <c r="E386" s="38" t="s">
        <v>7857</v>
      </c>
      <c r="F386" s="37" t="s">
        <v>7495</v>
      </c>
      <c r="G386" s="37" t="s">
        <v>8229</v>
      </c>
      <c r="H386" s="39">
        <v>45.329599999999999</v>
      </c>
      <c r="I386" s="39">
        <v>159</v>
      </c>
      <c r="J386" s="39">
        <v>349</v>
      </c>
      <c r="K386" s="39">
        <v>36.128999999999998</v>
      </c>
      <c r="L386" s="38">
        <v>1</v>
      </c>
    </row>
    <row r="387" spans="1:12" x14ac:dyDescent="0.25">
      <c r="A387" s="37" t="s">
        <v>7496</v>
      </c>
      <c r="B387" s="38" t="s">
        <v>7844</v>
      </c>
      <c r="C387" s="38" t="s">
        <v>9309</v>
      </c>
      <c r="D387" s="38" t="s">
        <v>8033</v>
      </c>
      <c r="E387" s="38" t="s">
        <v>7857</v>
      </c>
      <c r="F387" s="37" t="s">
        <v>7497</v>
      </c>
      <c r="G387" s="37" t="s">
        <v>8230</v>
      </c>
      <c r="H387" s="39">
        <v>52.128999999999998</v>
      </c>
      <c r="I387" s="39">
        <v>170</v>
      </c>
      <c r="J387" s="39">
        <v>369</v>
      </c>
      <c r="K387" s="39">
        <v>41.548400000000001</v>
      </c>
      <c r="L387" s="38">
        <v>1</v>
      </c>
    </row>
    <row r="388" spans="1:12" x14ac:dyDescent="0.25">
      <c r="A388" s="37" t="s">
        <v>7498</v>
      </c>
      <c r="B388" s="38" t="s">
        <v>7844</v>
      </c>
      <c r="C388" s="38" t="s">
        <v>9311</v>
      </c>
      <c r="D388" s="38" t="s">
        <v>7856</v>
      </c>
      <c r="E388" s="38" t="s">
        <v>7857</v>
      </c>
      <c r="F388" s="37" t="s">
        <v>7499</v>
      </c>
      <c r="G388" s="37" t="s">
        <v>8231</v>
      </c>
      <c r="H388" s="39">
        <v>101.99160000000001</v>
      </c>
      <c r="I388" s="39">
        <v>360</v>
      </c>
      <c r="J388" s="39">
        <v>790</v>
      </c>
      <c r="K388" s="39">
        <v>81.290300000000002</v>
      </c>
      <c r="L388" s="38">
        <v>1</v>
      </c>
    </row>
    <row r="389" spans="1:12" x14ac:dyDescent="0.25">
      <c r="A389" s="37" t="s">
        <v>7500</v>
      </c>
      <c r="B389" s="38" t="s">
        <v>7844</v>
      </c>
      <c r="C389" s="38" t="s">
        <v>9309</v>
      </c>
      <c r="D389" s="38" t="s">
        <v>7850</v>
      </c>
      <c r="E389" s="38" t="s">
        <v>7857</v>
      </c>
      <c r="F389" s="37" t="s">
        <v>7501</v>
      </c>
      <c r="G389" s="37" t="s">
        <v>8232</v>
      </c>
      <c r="H389" s="39">
        <v>79.326800000000006</v>
      </c>
      <c r="I389" s="39">
        <v>259</v>
      </c>
      <c r="J389" s="39">
        <v>570</v>
      </c>
      <c r="K389" s="39">
        <v>63.2258</v>
      </c>
      <c r="L389" s="38">
        <v>1</v>
      </c>
    </row>
    <row r="390" spans="1:12" x14ac:dyDescent="0.25">
      <c r="A390" s="37" t="s">
        <v>7502</v>
      </c>
      <c r="B390" s="38" t="s">
        <v>7844</v>
      </c>
      <c r="C390" s="38" t="s">
        <v>9311</v>
      </c>
      <c r="D390" s="38" t="s">
        <v>7861</v>
      </c>
      <c r="E390" s="38" t="s">
        <v>7857</v>
      </c>
      <c r="F390" s="37" t="s">
        <v>7503</v>
      </c>
      <c r="G390" s="37" t="s">
        <v>8233</v>
      </c>
      <c r="H390" s="39">
        <v>169.98589999999999</v>
      </c>
      <c r="I390" s="39">
        <v>575</v>
      </c>
      <c r="J390" s="39">
        <v>1250</v>
      </c>
      <c r="K390" s="39">
        <v>135.48390000000001</v>
      </c>
      <c r="L390" s="38">
        <v>1</v>
      </c>
    </row>
    <row r="391" spans="1:12" x14ac:dyDescent="0.25">
      <c r="A391" s="37" t="s">
        <v>7504</v>
      </c>
      <c r="B391" s="38" t="s">
        <v>7844</v>
      </c>
      <c r="C391" s="38" t="s">
        <v>9311</v>
      </c>
      <c r="D391" s="38" t="s">
        <v>7905</v>
      </c>
      <c r="E391" s="38" t="s">
        <v>7857</v>
      </c>
      <c r="F391" s="37" t="s">
        <v>7505</v>
      </c>
      <c r="G391" s="37" t="s">
        <v>8234</v>
      </c>
      <c r="H391" s="39">
        <v>101.99160000000001</v>
      </c>
      <c r="I391" s="39">
        <v>350</v>
      </c>
      <c r="J391" s="39">
        <v>770</v>
      </c>
      <c r="K391" s="39">
        <v>81.290300000000002</v>
      </c>
      <c r="L391" s="38">
        <v>1</v>
      </c>
    </row>
    <row r="392" spans="1:12" x14ac:dyDescent="0.25">
      <c r="A392" s="37" t="s">
        <v>7506</v>
      </c>
      <c r="B392" s="38" t="s">
        <v>7844</v>
      </c>
      <c r="C392" s="38" t="s">
        <v>9311</v>
      </c>
      <c r="D392" s="38" t="s">
        <v>7856</v>
      </c>
      <c r="E392" s="38" t="s">
        <v>7857</v>
      </c>
      <c r="F392" s="37" t="s">
        <v>7507</v>
      </c>
      <c r="G392" s="37" t="s">
        <v>8235</v>
      </c>
      <c r="H392" s="39">
        <v>120.1234</v>
      </c>
      <c r="I392" s="39">
        <v>425</v>
      </c>
      <c r="J392" s="39">
        <v>935</v>
      </c>
      <c r="K392" s="39">
        <v>95.741900000000001</v>
      </c>
      <c r="L392" s="38">
        <v>1</v>
      </c>
    </row>
    <row r="393" spans="1:12" x14ac:dyDescent="0.25">
      <c r="A393" s="37" t="s">
        <v>7508</v>
      </c>
      <c r="B393" s="38" t="s">
        <v>7844</v>
      </c>
      <c r="C393" s="38" t="s">
        <v>9311</v>
      </c>
      <c r="D393" s="38" t="s">
        <v>7856</v>
      </c>
      <c r="E393" s="38" t="s">
        <v>7857</v>
      </c>
      <c r="F393" s="37" t="s">
        <v>7509</v>
      </c>
      <c r="G393" s="37" t="s">
        <v>8236</v>
      </c>
      <c r="H393" s="39">
        <v>113.324</v>
      </c>
      <c r="I393" s="39">
        <v>360</v>
      </c>
      <c r="J393" s="39">
        <v>790</v>
      </c>
      <c r="K393" s="39">
        <v>90.322599999999994</v>
      </c>
      <c r="L393" s="38">
        <v>1</v>
      </c>
    </row>
    <row r="394" spans="1:12" x14ac:dyDescent="0.25">
      <c r="A394" s="37" t="s">
        <v>7510</v>
      </c>
      <c r="B394" s="38" t="s">
        <v>7844</v>
      </c>
      <c r="C394" s="38" t="s">
        <v>9311</v>
      </c>
      <c r="D394" s="38" t="s">
        <v>7905</v>
      </c>
      <c r="E394" s="38" t="s">
        <v>7857</v>
      </c>
      <c r="F394" s="37" t="s">
        <v>7511</v>
      </c>
      <c r="G394" s="37" t="s">
        <v>8237</v>
      </c>
      <c r="H394" s="39">
        <v>203.98310000000001</v>
      </c>
      <c r="I394" s="39">
        <v>649</v>
      </c>
      <c r="J394" s="39">
        <v>1425</v>
      </c>
      <c r="K394" s="39">
        <v>162.5806</v>
      </c>
      <c r="L394" s="38">
        <v>1</v>
      </c>
    </row>
    <row r="395" spans="1:12" x14ac:dyDescent="0.25">
      <c r="A395" s="37" t="s">
        <v>7512</v>
      </c>
      <c r="B395" s="38" t="s">
        <v>7844</v>
      </c>
      <c r="C395" s="38" t="s">
        <v>9311</v>
      </c>
      <c r="D395" s="38" t="s">
        <v>7859</v>
      </c>
      <c r="E395" s="38" t="s">
        <v>7857</v>
      </c>
      <c r="F395" s="37" t="s">
        <v>7513</v>
      </c>
      <c r="G395" s="37" t="s">
        <v>8238</v>
      </c>
      <c r="H395" s="39">
        <v>111.0575</v>
      </c>
      <c r="I395" s="39">
        <v>360</v>
      </c>
      <c r="J395" s="39">
        <v>795</v>
      </c>
      <c r="K395" s="39">
        <v>88.516099999999994</v>
      </c>
      <c r="L395" s="38">
        <v>1</v>
      </c>
    </row>
    <row r="396" spans="1:12" x14ac:dyDescent="0.25">
      <c r="A396" s="37" t="s">
        <v>7514</v>
      </c>
      <c r="B396" s="38" t="s">
        <v>7844</v>
      </c>
      <c r="C396" s="38" t="s">
        <v>9311</v>
      </c>
      <c r="D396" s="38" t="s">
        <v>7856</v>
      </c>
      <c r="E396" s="38" t="s">
        <v>7857</v>
      </c>
      <c r="F396" s="37" t="s">
        <v>7515</v>
      </c>
      <c r="G396" s="37" t="s">
        <v>8239</v>
      </c>
      <c r="H396" s="39">
        <v>156.3871</v>
      </c>
      <c r="I396" s="39">
        <v>520</v>
      </c>
      <c r="J396" s="39">
        <v>1145</v>
      </c>
      <c r="K396" s="39">
        <v>124.6452</v>
      </c>
      <c r="L396" s="38">
        <v>1</v>
      </c>
    </row>
    <row r="397" spans="1:12" x14ac:dyDescent="0.25">
      <c r="A397" s="37" t="s">
        <v>7516</v>
      </c>
      <c r="B397" s="38" t="s">
        <v>7844</v>
      </c>
      <c r="C397" s="38" t="s">
        <v>9311</v>
      </c>
      <c r="D397" s="38" t="s">
        <v>7856</v>
      </c>
      <c r="E397" s="38" t="s">
        <v>7857</v>
      </c>
      <c r="F397" s="37" t="s">
        <v>7517</v>
      </c>
      <c r="G397" s="37" t="s">
        <v>8240</v>
      </c>
      <c r="H397" s="39">
        <v>124.6563</v>
      </c>
      <c r="I397" s="39">
        <v>420</v>
      </c>
      <c r="J397" s="39">
        <v>925</v>
      </c>
      <c r="K397" s="39">
        <v>99.354799999999997</v>
      </c>
      <c r="L397" s="38">
        <v>1</v>
      </c>
    </row>
    <row r="398" spans="1:12" x14ac:dyDescent="0.25">
      <c r="A398" s="37" t="s">
        <v>7518</v>
      </c>
      <c r="B398" s="38" t="s">
        <v>7844</v>
      </c>
      <c r="C398" s="38" t="s">
        <v>9311</v>
      </c>
      <c r="D398" s="38" t="s">
        <v>7861</v>
      </c>
      <c r="E398" s="38" t="s">
        <v>7857</v>
      </c>
      <c r="F398" s="37" t="s">
        <v>7519</v>
      </c>
      <c r="G398" s="37" t="s">
        <v>8241</v>
      </c>
      <c r="H398" s="39">
        <v>147.3211</v>
      </c>
      <c r="I398" s="39">
        <v>500</v>
      </c>
      <c r="J398" s="39">
        <v>1100</v>
      </c>
      <c r="K398" s="39">
        <v>117.4194</v>
      </c>
      <c r="L398" s="38">
        <v>1</v>
      </c>
    </row>
    <row r="399" spans="1:12" x14ac:dyDescent="0.25">
      <c r="A399" s="37" t="s">
        <v>7520</v>
      </c>
      <c r="B399" s="38" t="s">
        <v>7844</v>
      </c>
      <c r="C399" s="38" t="s">
        <v>9311</v>
      </c>
      <c r="D399" s="38" t="s">
        <v>7856</v>
      </c>
      <c r="E399" s="38" t="s">
        <v>7857</v>
      </c>
      <c r="F399" s="37" t="s">
        <v>7521</v>
      </c>
      <c r="G399" s="37" t="s">
        <v>8242</v>
      </c>
      <c r="H399" s="39">
        <v>58.2714</v>
      </c>
      <c r="I399" s="39">
        <v>205</v>
      </c>
      <c r="J399" s="39">
        <v>515</v>
      </c>
      <c r="K399" s="39">
        <v>43.4861</v>
      </c>
      <c r="L399" s="38">
        <v>1</v>
      </c>
    </row>
    <row r="400" spans="1:12" x14ac:dyDescent="0.25">
      <c r="A400" s="37" t="s">
        <v>7522</v>
      </c>
      <c r="B400" s="38" t="s">
        <v>7844</v>
      </c>
      <c r="C400" s="38" t="s">
        <v>9311</v>
      </c>
      <c r="D400" s="38" t="s">
        <v>7856</v>
      </c>
      <c r="E400" s="38" t="s">
        <v>7857</v>
      </c>
      <c r="F400" s="37" t="s">
        <v>7521</v>
      </c>
      <c r="G400" s="37" t="s">
        <v>8243</v>
      </c>
      <c r="H400" s="39">
        <v>58.2714</v>
      </c>
      <c r="I400" s="39">
        <v>205</v>
      </c>
      <c r="J400" s="39">
        <v>515</v>
      </c>
      <c r="K400" s="39">
        <v>43.4861</v>
      </c>
      <c r="L400" s="38">
        <v>1</v>
      </c>
    </row>
    <row r="401" spans="1:12" x14ac:dyDescent="0.25">
      <c r="A401" s="37" t="s">
        <v>7523</v>
      </c>
      <c r="B401" s="38" t="s">
        <v>7844</v>
      </c>
      <c r="C401" s="38" t="s">
        <v>9311</v>
      </c>
      <c r="D401" s="38" t="s">
        <v>7856</v>
      </c>
      <c r="E401" s="38" t="s">
        <v>7857</v>
      </c>
      <c r="F401" s="37" t="s">
        <v>7521</v>
      </c>
      <c r="G401" s="37" t="s">
        <v>8244</v>
      </c>
      <c r="H401" s="39">
        <v>58.2714</v>
      </c>
      <c r="I401" s="39">
        <v>205</v>
      </c>
      <c r="J401" s="39">
        <v>515</v>
      </c>
      <c r="K401" s="39">
        <v>43.4861</v>
      </c>
      <c r="L401" s="38">
        <v>1</v>
      </c>
    </row>
    <row r="402" spans="1:12" x14ac:dyDescent="0.25">
      <c r="A402" s="37" t="s">
        <v>7524</v>
      </c>
      <c r="B402" s="38" t="s">
        <v>7844</v>
      </c>
      <c r="C402" s="38" t="s">
        <v>9311</v>
      </c>
      <c r="D402" s="38" t="s">
        <v>7859</v>
      </c>
      <c r="E402" s="38" t="s">
        <v>7857</v>
      </c>
      <c r="F402" s="37" t="s">
        <v>7525</v>
      </c>
      <c r="G402" s="37" t="s">
        <v>8245</v>
      </c>
      <c r="H402" s="39">
        <v>48.5595</v>
      </c>
      <c r="I402" s="39">
        <v>225</v>
      </c>
      <c r="J402" s="39">
        <v>560</v>
      </c>
      <c r="K402" s="39">
        <v>36.238399999999999</v>
      </c>
      <c r="L402" s="38">
        <v>1</v>
      </c>
    </row>
    <row r="403" spans="1:12" x14ac:dyDescent="0.25">
      <c r="A403" s="37" t="s">
        <v>7526</v>
      </c>
      <c r="B403" s="38" t="s">
        <v>7844</v>
      </c>
      <c r="C403" s="38" t="s">
        <v>9309</v>
      </c>
      <c r="D403" s="38" t="s">
        <v>8029</v>
      </c>
      <c r="E403" s="38" t="s">
        <v>7857</v>
      </c>
      <c r="F403" s="37" t="s">
        <v>7527</v>
      </c>
      <c r="G403" s="37" t="s">
        <v>8246</v>
      </c>
      <c r="H403" s="39">
        <v>93.234300000000005</v>
      </c>
      <c r="I403" s="39">
        <v>305</v>
      </c>
      <c r="J403" s="39">
        <v>780</v>
      </c>
      <c r="K403" s="39">
        <v>69.577799999999996</v>
      </c>
      <c r="L403" s="38">
        <v>1</v>
      </c>
    </row>
    <row r="404" spans="1:12" x14ac:dyDescent="0.25">
      <c r="A404" s="37" t="s">
        <v>7528</v>
      </c>
      <c r="B404" s="38" t="s">
        <v>7844</v>
      </c>
      <c r="C404" s="38" t="s">
        <v>9309</v>
      </c>
      <c r="D404" s="38" t="s">
        <v>8033</v>
      </c>
      <c r="E404" s="38" t="s">
        <v>7857</v>
      </c>
      <c r="F404" s="37" t="s">
        <v>7529</v>
      </c>
      <c r="G404" s="37" t="s">
        <v>8247</v>
      </c>
      <c r="H404" s="39">
        <v>67.9833</v>
      </c>
      <c r="I404" s="39">
        <v>225</v>
      </c>
      <c r="J404" s="39">
        <v>560</v>
      </c>
      <c r="K404" s="39">
        <v>50.733800000000002</v>
      </c>
      <c r="L404" s="38">
        <v>1</v>
      </c>
    </row>
    <row r="405" spans="1:12" x14ac:dyDescent="0.25">
      <c r="A405" s="37" t="s">
        <v>7530</v>
      </c>
      <c r="B405" s="38" t="s">
        <v>7844</v>
      </c>
      <c r="C405" s="38" t="s">
        <v>9311</v>
      </c>
      <c r="D405" s="38" t="s">
        <v>7856</v>
      </c>
      <c r="E405" s="38" t="s">
        <v>7857</v>
      </c>
      <c r="F405" s="37" t="s">
        <v>7531</v>
      </c>
      <c r="G405" s="37" t="s">
        <v>8248</v>
      </c>
      <c r="H405" s="39">
        <v>38.8476</v>
      </c>
      <c r="I405" s="39">
        <v>130</v>
      </c>
      <c r="J405" s="39">
        <v>320</v>
      </c>
      <c r="K405" s="39">
        <v>28.9908</v>
      </c>
      <c r="L405" s="38">
        <v>1</v>
      </c>
    </row>
    <row r="406" spans="1:12" x14ac:dyDescent="0.25">
      <c r="A406" s="37" t="s">
        <v>7532</v>
      </c>
      <c r="B406" s="38" t="s">
        <v>7844</v>
      </c>
      <c r="C406" s="38" t="s">
        <v>9309</v>
      </c>
      <c r="D406" s="38" t="s">
        <v>7850</v>
      </c>
      <c r="E406" s="38" t="s">
        <v>7857</v>
      </c>
      <c r="F406" s="37" t="s">
        <v>7533</v>
      </c>
      <c r="G406" s="37" t="s">
        <v>8249</v>
      </c>
      <c r="H406" s="39">
        <v>25.251000000000001</v>
      </c>
      <c r="I406" s="39">
        <v>85</v>
      </c>
      <c r="J406" s="39">
        <v>215</v>
      </c>
      <c r="K406" s="39">
        <v>18.844000000000001</v>
      </c>
      <c r="L406" s="38">
        <v>1</v>
      </c>
    </row>
    <row r="407" spans="1:12" x14ac:dyDescent="0.25">
      <c r="A407" s="37" t="s">
        <v>7534</v>
      </c>
      <c r="B407" s="38" t="s">
        <v>7844</v>
      </c>
      <c r="C407" s="38" t="s">
        <v>9312</v>
      </c>
      <c r="D407" s="38" t="s">
        <v>7917</v>
      </c>
      <c r="E407" s="38" t="s">
        <v>7851</v>
      </c>
      <c r="F407" s="37" t="s">
        <v>7535</v>
      </c>
      <c r="G407" s="37" t="s">
        <v>8250</v>
      </c>
      <c r="H407" s="39">
        <v>58.2714</v>
      </c>
      <c r="I407" s="39">
        <v>220</v>
      </c>
      <c r="J407" s="39">
        <v>549</v>
      </c>
      <c r="K407" s="39">
        <v>43.4861</v>
      </c>
      <c r="L407" s="38">
        <v>1</v>
      </c>
    </row>
    <row r="408" spans="1:12" x14ac:dyDescent="0.25">
      <c r="A408" s="37" t="s">
        <v>7536</v>
      </c>
      <c r="B408" s="38" t="s">
        <v>7844</v>
      </c>
      <c r="C408" s="38" t="s">
        <v>9312</v>
      </c>
      <c r="D408" s="38" t="s">
        <v>7917</v>
      </c>
      <c r="E408" s="38" t="s">
        <v>7851</v>
      </c>
      <c r="F408" s="37" t="s">
        <v>7537</v>
      </c>
      <c r="G408" s="37" t="s">
        <v>8251</v>
      </c>
      <c r="H408" s="39">
        <v>34.962899999999998</v>
      </c>
      <c r="I408" s="39">
        <v>129</v>
      </c>
      <c r="J408" s="39">
        <v>320</v>
      </c>
      <c r="K408" s="39">
        <v>26.091699999999999</v>
      </c>
      <c r="L408" s="38">
        <v>1</v>
      </c>
    </row>
    <row r="409" spans="1:12" x14ac:dyDescent="0.25">
      <c r="A409" s="37" t="s">
        <v>7538</v>
      </c>
      <c r="B409" s="38" t="s">
        <v>7844</v>
      </c>
      <c r="C409" s="38" t="s">
        <v>9311</v>
      </c>
      <c r="D409" s="38" t="s">
        <v>7861</v>
      </c>
      <c r="E409" s="38" t="s">
        <v>7857</v>
      </c>
      <c r="F409" s="37" t="s">
        <v>7539</v>
      </c>
      <c r="G409" s="37" t="s">
        <v>8252</v>
      </c>
      <c r="H409" s="39">
        <v>77.6952</v>
      </c>
      <c r="I409" s="39">
        <v>280</v>
      </c>
      <c r="J409" s="39">
        <v>699</v>
      </c>
      <c r="K409" s="39">
        <v>57.981499999999997</v>
      </c>
      <c r="L409" s="38">
        <v>1</v>
      </c>
    </row>
    <row r="410" spans="1:12" x14ac:dyDescent="0.25">
      <c r="A410" s="37" t="s">
        <v>7540</v>
      </c>
      <c r="B410" s="38" t="s">
        <v>7844</v>
      </c>
      <c r="C410" s="38" t="s">
        <v>9311</v>
      </c>
      <c r="D410" s="38" t="s">
        <v>7861</v>
      </c>
      <c r="E410" s="38" t="s">
        <v>7857</v>
      </c>
      <c r="F410" s="37" t="s">
        <v>7541</v>
      </c>
      <c r="G410" s="37" t="s">
        <v>8253</v>
      </c>
      <c r="H410" s="39">
        <v>93.234300000000005</v>
      </c>
      <c r="I410" s="39">
        <v>335</v>
      </c>
      <c r="J410" s="39">
        <v>835</v>
      </c>
      <c r="K410" s="39">
        <v>69.577799999999996</v>
      </c>
      <c r="L410" s="38">
        <v>1</v>
      </c>
    </row>
    <row r="411" spans="1:12" x14ac:dyDescent="0.25">
      <c r="A411" s="37" t="s">
        <v>7542</v>
      </c>
      <c r="B411" s="38" t="s">
        <v>7844</v>
      </c>
      <c r="C411" s="38" t="s">
        <v>9311</v>
      </c>
      <c r="D411" s="38" t="s">
        <v>7861</v>
      </c>
      <c r="E411" s="38" t="s">
        <v>7857</v>
      </c>
      <c r="F411" s="37" t="s">
        <v>7543</v>
      </c>
      <c r="G411" s="37" t="s">
        <v>8254</v>
      </c>
      <c r="H411" s="39">
        <v>77.6952</v>
      </c>
      <c r="I411" s="39">
        <v>295</v>
      </c>
      <c r="J411" s="39">
        <v>735</v>
      </c>
      <c r="K411" s="39">
        <v>57.981499999999997</v>
      </c>
      <c r="L411" s="38">
        <v>1</v>
      </c>
    </row>
    <row r="412" spans="1:12" x14ac:dyDescent="0.25">
      <c r="A412" s="37" t="s">
        <v>7544</v>
      </c>
      <c r="B412" s="38" t="s">
        <v>7844</v>
      </c>
      <c r="C412" s="38" t="s">
        <v>9311</v>
      </c>
      <c r="D412" s="38" t="s">
        <v>7861</v>
      </c>
      <c r="E412" s="38" t="s">
        <v>7857</v>
      </c>
      <c r="F412" s="37" t="s">
        <v>7545</v>
      </c>
      <c r="G412" s="37" t="s">
        <v>8255</v>
      </c>
      <c r="H412" s="39">
        <v>58.2714</v>
      </c>
      <c r="I412" s="39">
        <v>235</v>
      </c>
      <c r="J412" s="39">
        <v>590</v>
      </c>
      <c r="K412" s="39">
        <v>43.4861</v>
      </c>
      <c r="L412" s="38">
        <v>1</v>
      </c>
    </row>
    <row r="413" spans="1:12" x14ac:dyDescent="0.25">
      <c r="A413" s="37" t="s">
        <v>7546</v>
      </c>
      <c r="B413" s="38" t="s">
        <v>7844</v>
      </c>
      <c r="C413" s="38" t="s">
        <v>9311</v>
      </c>
      <c r="D413" s="38" t="s">
        <v>7856</v>
      </c>
      <c r="E413" s="38" t="s">
        <v>7857</v>
      </c>
      <c r="F413" s="37" t="s">
        <v>7547</v>
      </c>
      <c r="G413" s="37" t="s">
        <v>8256</v>
      </c>
      <c r="H413" s="39">
        <v>73.810500000000005</v>
      </c>
      <c r="I413" s="39">
        <v>275</v>
      </c>
      <c r="J413" s="39">
        <v>690</v>
      </c>
      <c r="K413" s="39">
        <v>55.0824</v>
      </c>
      <c r="L413" s="38">
        <v>1</v>
      </c>
    </row>
    <row r="414" spans="1:12" x14ac:dyDescent="0.25">
      <c r="A414" s="37" t="s">
        <v>7548</v>
      </c>
      <c r="B414" s="38" t="s">
        <v>7844</v>
      </c>
      <c r="C414" s="38" t="s">
        <v>9311</v>
      </c>
      <c r="D414" s="38" t="s">
        <v>7861</v>
      </c>
      <c r="E414" s="38" t="s">
        <v>7857</v>
      </c>
      <c r="F414" s="37" t="s">
        <v>7549</v>
      </c>
      <c r="G414" s="37" t="s">
        <v>8257</v>
      </c>
      <c r="H414" s="39">
        <v>97.119</v>
      </c>
      <c r="I414" s="39">
        <v>345</v>
      </c>
      <c r="J414" s="39">
        <v>860</v>
      </c>
      <c r="K414" s="39">
        <v>72.476900000000001</v>
      </c>
      <c r="L414" s="38">
        <v>1</v>
      </c>
    </row>
    <row r="415" spans="1:12" x14ac:dyDescent="0.25">
      <c r="A415" s="37" t="s">
        <v>7550</v>
      </c>
      <c r="B415" s="38" t="s">
        <v>7844</v>
      </c>
      <c r="C415" s="38" t="s">
        <v>9311</v>
      </c>
      <c r="D415" s="38" t="s">
        <v>7861</v>
      </c>
      <c r="E415" s="38" t="s">
        <v>7857</v>
      </c>
      <c r="F415" s="37" t="s">
        <v>7551</v>
      </c>
      <c r="G415" s="37" t="s">
        <v>8258</v>
      </c>
      <c r="H415" s="39">
        <v>87.4071</v>
      </c>
      <c r="I415" s="39">
        <v>305</v>
      </c>
      <c r="J415" s="39">
        <v>760</v>
      </c>
      <c r="K415" s="39">
        <v>65.229200000000006</v>
      </c>
      <c r="L415" s="38">
        <v>1</v>
      </c>
    </row>
    <row r="416" spans="1:12" x14ac:dyDescent="0.25">
      <c r="A416" s="37" t="s">
        <v>7552</v>
      </c>
      <c r="B416" s="38" t="s">
        <v>7844</v>
      </c>
      <c r="C416" s="38" t="s">
        <v>9312</v>
      </c>
      <c r="D416" s="38" t="s">
        <v>7917</v>
      </c>
      <c r="E416" s="38" t="s">
        <v>7851</v>
      </c>
      <c r="F416" s="37" t="s">
        <v>7553</v>
      </c>
      <c r="G416" s="37" t="s">
        <v>8259</v>
      </c>
      <c r="H416" s="39">
        <v>9.7119</v>
      </c>
      <c r="I416" s="39">
        <v>30</v>
      </c>
      <c r="J416" s="39">
        <v>75</v>
      </c>
      <c r="K416" s="39">
        <v>7.2477</v>
      </c>
      <c r="L416" s="38">
        <v>1</v>
      </c>
    </row>
    <row r="417" spans="1:12" x14ac:dyDescent="0.25">
      <c r="A417" s="37" t="s">
        <v>7554</v>
      </c>
      <c r="B417" s="38" t="s">
        <v>7844</v>
      </c>
      <c r="C417" s="38" t="s">
        <v>9309</v>
      </c>
      <c r="D417" s="38" t="s">
        <v>8033</v>
      </c>
      <c r="E417" s="38" t="s">
        <v>7857</v>
      </c>
      <c r="F417" s="37" t="s">
        <v>7555</v>
      </c>
      <c r="G417" s="37" t="s">
        <v>8260</v>
      </c>
      <c r="H417" s="39">
        <v>44.674799999999998</v>
      </c>
      <c r="I417" s="39">
        <v>160</v>
      </c>
      <c r="J417" s="39">
        <v>399</v>
      </c>
      <c r="K417" s="39">
        <v>33.339399999999998</v>
      </c>
      <c r="L417" s="38">
        <v>1</v>
      </c>
    </row>
    <row r="418" spans="1:12" x14ac:dyDescent="0.25">
      <c r="A418" s="37" t="s">
        <v>7556</v>
      </c>
      <c r="B418" s="38" t="s">
        <v>7844</v>
      </c>
      <c r="C418" s="38" t="s">
        <v>9311</v>
      </c>
      <c r="D418" s="38" t="s">
        <v>7861</v>
      </c>
      <c r="E418" s="38" t="s">
        <v>7857</v>
      </c>
      <c r="F418" s="37" t="s">
        <v>7557</v>
      </c>
      <c r="G418" s="37" t="s">
        <v>8261</v>
      </c>
      <c r="H418" s="39">
        <v>67.9833</v>
      </c>
      <c r="I418" s="39">
        <v>255</v>
      </c>
      <c r="J418" s="39">
        <v>640</v>
      </c>
      <c r="K418" s="39">
        <v>50.733800000000002</v>
      </c>
      <c r="L418" s="38">
        <v>1</v>
      </c>
    </row>
    <row r="419" spans="1:12" x14ac:dyDescent="0.25">
      <c r="A419" s="37" t="s">
        <v>7558</v>
      </c>
      <c r="B419" s="38" t="s">
        <v>7844</v>
      </c>
      <c r="C419" s="38" t="s">
        <v>9311</v>
      </c>
      <c r="D419" s="38" t="s">
        <v>7856</v>
      </c>
      <c r="E419" s="38" t="s">
        <v>7857</v>
      </c>
      <c r="F419" s="37" t="s">
        <v>7559</v>
      </c>
      <c r="G419" s="37" t="s">
        <v>8262</v>
      </c>
      <c r="H419" s="39">
        <v>54.386699999999998</v>
      </c>
      <c r="I419" s="39">
        <v>218</v>
      </c>
      <c r="J419" s="39">
        <v>540</v>
      </c>
      <c r="K419" s="39">
        <v>40.5871</v>
      </c>
      <c r="L419" s="38">
        <v>1</v>
      </c>
    </row>
    <row r="420" spans="1:12" x14ac:dyDescent="0.25">
      <c r="A420" s="37" t="s">
        <v>7560</v>
      </c>
      <c r="B420" s="38" t="s">
        <v>7844</v>
      </c>
      <c r="C420" s="38" t="s">
        <v>9311</v>
      </c>
      <c r="D420" s="38" t="s">
        <v>7861</v>
      </c>
      <c r="E420" s="38" t="s">
        <v>7857</v>
      </c>
      <c r="F420" s="37" t="s">
        <v>7561</v>
      </c>
      <c r="G420" s="37" t="s">
        <v>8263</v>
      </c>
      <c r="H420" s="39">
        <v>67.9833</v>
      </c>
      <c r="I420" s="39">
        <v>258</v>
      </c>
      <c r="J420" s="39">
        <v>645</v>
      </c>
      <c r="K420" s="39">
        <v>50.733800000000002</v>
      </c>
      <c r="L420" s="38">
        <v>1</v>
      </c>
    </row>
    <row r="421" spans="1:12" x14ac:dyDescent="0.25">
      <c r="A421" s="37" t="s">
        <v>7562</v>
      </c>
      <c r="B421" s="38" t="s">
        <v>7844</v>
      </c>
      <c r="C421" s="38" t="s">
        <v>9311</v>
      </c>
      <c r="D421" s="38" t="s">
        <v>8082</v>
      </c>
      <c r="E421" s="38" t="s">
        <v>7857</v>
      </c>
      <c r="F421" s="37" t="s">
        <v>7563</v>
      </c>
      <c r="G421" s="37" t="s">
        <v>8264</v>
      </c>
      <c r="H421" s="39">
        <v>42.732399999999998</v>
      </c>
      <c r="I421" s="39">
        <v>149</v>
      </c>
      <c r="J421" s="39">
        <v>369</v>
      </c>
      <c r="K421" s="39">
        <v>31.889800000000001</v>
      </c>
      <c r="L421" s="38">
        <v>1</v>
      </c>
    </row>
    <row r="422" spans="1:12" x14ac:dyDescent="0.25">
      <c r="A422" s="37" t="s">
        <v>7564</v>
      </c>
      <c r="B422" s="40" t="s">
        <v>7845</v>
      </c>
      <c r="C422" s="38" t="s">
        <v>9312</v>
      </c>
      <c r="D422" s="38" t="s">
        <v>7917</v>
      </c>
      <c r="E422" s="38" t="s">
        <v>7929</v>
      </c>
      <c r="F422" s="37" t="s">
        <v>7565</v>
      </c>
      <c r="G422" s="37" t="s">
        <v>8265</v>
      </c>
      <c r="H422" s="39">
        <v>7.7694999999999999</v>
      </c>
      <c r="I422" s="39">
        <v>45</v>
      </c>
      <c r="J422" s="39">
        <v>115</v>
      </c>
      <c r="K422" s="39">
        <v>5.7981999999999996</v>
      </c>
      <c r="L422" s="38">
        <v>1</v>
      </c>
    </row>
    <row r="423" spans="1:12" x14ac:dyDescent="0.25">
      <c r="A423" s="37" t="s">
        <v>7566</v>
      </c>
      <c r="B423" s="40" t="s">
        <v>7845</v>
      </c>
      <c r="C423" s="38" t="s">
        <v>9312</v>
      </c>
      <c r="D423" s="38" t="s">
        <v>7917</v>
      </c>
      <c r="E423" s="38" t="s">
        <v>7929</v>
      </c>
      <c r="F423" s="37" t="s">
        <v>7567</v>
      </c>
      <c r="G423" s="37" t="s">
        <v>8266</v>
      </c>
      <c r="H423" s="39">
        <v>15.539</v>
      </c>
      <c r="I423" s="39">
        <v>60</v>
      </c>
      <c r="J423" s="39">
        <v>150</v>
      </c>
      <c r="K423" s="39">
        <v>11.596299999999999</v>
      </c>
      <c r="L423" s="38">
        <v>1</v>
      </c>
    </row>
    <row r="424" spans="1:12" x14ac:dyDescent="0.25">
      <c r="A424" s="37" t="s">
        <v>7568</v>
      </c>
      <c r="B424" s="38" t="s">
        <v>7844</v>
      </c>
      <c r="C424" s="38" t="s">
        <v>9312</v>
      </c>
      <c r="D424" s="38" t="s">
        <v>7917</v>
      </c>
      <c r="E424" s="38" t="s">
        <v>7949</v>
      </c>
      <c r="F424" s="37" t="s">
        <v>7569</v>
      </c>
      <c r="G424" s="37" t="s">
        <v>8267</v>
      </c>
      <c r="H424" s="39">
        <v>17.481400000000001</v>
      </c>
      <c r="I424" s="39">
        <v>60</v>
      </c>
      <c r="J424" s="39">
        <v>150</v>
      </c>
      <c r="K424" s="39">
        <v>13.0458</v>
      </c>
      <c r="L424" s="38">
        <v>1</v>
      </c>
    </row>
    <row r="425" spans="1:12" x14ac:dyDescent="0.25">
      <c r="A425" s="37" t="s">
        <v>7570</v>
      </c>
      <c r="B425" s="38" t="s">
        <v>7844</v>
      </c>
      <c r="C425" s="38" t="s">
        <v>9309</v>
      </c>
      <c r="D425" s="38" t="s">
        <v>7850</v>
      </c>
      <c r="E425" s="38" t="s">
        <v>7857</v>
      </c>
      <c r="F425" s="37" t="s">
        <v>7571</v>
      </c>
      <c r="G425" s="37" t="s">
        <v>8268</v>
      </c>
      <c r="H425" s="39">
        <v>12.625500000000001</v>
      </c>
      <c r="I425" s="39">
        <v>40</v>
      </c>
      <c r="J425" s="39">
        <v>99</v>
      </c>
      <c r="K425" s="39">
        <v>9.4220000000000006</v>
      </c>
      <c r="L425" s="38">
        <v>1</v>
      </c>
    </row>
    <row r="426" spans="1:12" x14ac:dyDescent="0.25">
      <c r="A426" s="37" t="s">
        <v>7572</v>
      </c>
      <c r="B426" s="38" t="s">
        <v>7844</v>
      </c>
      <c r="C426" s="38" t="s">
        <v>9311</v>
      </c>
      <c r="D426" s="38" t="s">
        <v>7861</v>
      </c>
      <c r="E426" s="38" t="s">
        <v>7857</v>
      </c>
      <c r="F426" s="37" t="s">
        <v>7561</v>
      </c>
      <c r="G426" s="37" t="s">
        <v>8269</v>
      </c>
      <c r="H426" s="39">
        <v>46.617100000000001</v>
      </c>
      <c r="I426" s="39">
        <v>230</v>
      </c>
      <c r="J426" s="39">
        <v>570</v>
      </c>
      <c r="K426" s="39">
        <v>34.788899999999998</v>
      </c>
      <c r="L426" s="38">
        <v>1</v>
      </c>
    </row>
    <row r="427" spans="1:12" x14ac:dyDescent="0.25">
      <c r="A427" s="37" t="s">
        <v>7573</v>
      </c>
      <c r="B427" s="38" t="s">
        <v>7844</v>
      </c>
      <c r="C427" s="38" t="s">
        <v>9309</v>
      </c>
      <c r="D427" s="38" t="s">
        <v>8029</v>
      </c>
      <c r="E427" s="38" t="s">
        <v>7857</v>
      </c>
      <c r="F427" s="37" t="s">
        <v>7574</v>
      </c>
      <c r="G427" s="37" t="s">
        <v>8270</v>
      </c>
      <c r="H427" s="39">
        <v>106.8309</v>
      </c>
      <c r="I427" s="39">
        <v>320</v>
      </c>
      <c r="J427" s="39">
        <v>800</v>
      </c>
      <c r="K427" s="39">
        <v>79.724599999999995</v>
      </c>
      <c r="L427" s="38">
        <v>1</v>
      </c>
    </row>
    <row r="428" spans="1:12" x14ac:dyDescent="0.25">
      <c r="A428" s="37" t="s">
        <v>7575</v>
      </c>
      <c r="B428" s="38" t="s">
        <v>7844</v>
      </c>
      <c r="C428" s="38" t="s">
        <v>9309</v>
      </c>
      <c r="D428" s="38" t="s">
        <v>8029</v>
      </c>
      <c r="E428" s="38" t="s">
        <v>7857</v>
      </c>
      <c r="F428" s="37" t="s">
        <v>7576</v>
      </c>
      <c r="G428" s="37" t="s">
        <v>8270</v>
      </c>
      <c r="H428" s="39">
        <v>106.8309</v>
      </c>
      <c r="I428" s="39">
        <v>320</v>
      </c>
      <c r="J428" s="39">
        <v>800</v>
      </c>
      <c r="K428" s="39">
        <v>79.724599999999995</v>
      </c>
      <c r="L428" s="38">
        <v>1</v>
      </c>
    </row>
    <row r="429" spans="1:12" x14ac:dyDescent="0.25">
      <c r="A429" s="37" t="s">
        <v>7577</v>
      </c>
      <c r="B429" s="38" t="s">
        <v>7844</v>
      </c>
      <c r="C429" s="38" t="s">
        <v>9312</v>
      </c>
      <c r="D429" s="38" t="s">
        <v>7917</v>
      </c>
      <c r="E429" s="38" t="s">
        <v>7851</v>
      </c>
      <c r="F429" s="37" t="s">
        <v>7578</v>
      </c>
      <c r="G429" s="37" t="s">
        <v>8271</v>
      </c>
      <c r="H429" s="39">
        <v>29.1357</v>
      </c>
      <c r="I429" s="39">
        <v>95</v>
      </c>
      <c r="J429" s="39">
        <v>230</v>
      </c>
      <c r="K429" s="39">
        <v>21.743099999999998</v>
      </c>
      <c r="L429" s="38">
        <v>1</v>
      </c>
    </row>
    <row r="430" spans="1:12" x14ac:dyDescent="0.25">
      <c r="A430" s="37" t="s">
        <v>7579</v>
      </c>
      <c r="B430" s="38" t="s">
        <v>7844</v>
      </c>
      <c r="C430" s="38" t="s">
        <v>9311</v>
      </c>
      <c r="D430" s="38" t="s">
        <v>7859</v>
      </c>
      <c r="E430" s="38" t="s">
        <v>7857</v>
      </c>
      <c r="F430" s="37" t="s">
        <v>7580</v>
      </c>
      <c r="G430" s="37" t="s">
        <v>8272</v>
      </c>
      <c r="H430" s="39">
        <v>62.156199999999998</v>
      </c>
      <c r="I430" s="39">
        <v>240</v>
      </c>
      <c r="J430" s="39">
        <v>599</v>
      </c>
      <c r="K430" s="39">
        <v>46.385199999999998</v>
      </c>
      <c r="L430" s="38">
        <v>1</v>
      </c>
    </row>
    <row r="431" spans="1:12" x14ac:dyDescent="0.25">
      <c r="A431" s="37" t="s">
        <v>7581</v>
      </c>
      <c r="B431" s="38" t="s">
        <v>7844</v>
      </c>
      <c r="C431" s="38" t="s">
        <v>9311</v>
      </c>
      <c r="D431" s="38" t="s">
        <v>7861</v>
      </c>
      <c r="E431" s="38" t="s">
        <v>7857</v>
      </c>
      <c r="F431" s="37" t="s">
        <v>7582</v>
      </c>
      <c r="G431" s="37" t="s">
        <v>8273</v>
      </c>
      <c r="H431" s="39">
        <v>116.5429</v>
      </c>
      <c r="I431" s="39">
        <v>405</v>
      </c>
      <c r="J431" s="39">
        <v>1015</v>
      </c>
      <c r="K431" s="39">
        <v>86.972300000000004</v>
      </c>
      <c r="L431" s="38">
        <v>1</v>
      </c>
    </row>
    <row r="432" spans="1:12" x14ac:dyDescent="0.25">
      <c r="A432" s="37" t="s">
        <v>7583</v>
      </c>
      <c r="B432" s="38" t="s">
        <v>7844</v>
      </c>
      <c r="C432" s="38" t="s">
        <v>9311</v>
      </c>
      <c r="D432" s="38" t="s">
        <v>7861</v>
      </c>
      <c r="E432" s="38" t="s">
        <v>7857</v>
      </c>
      <c r="F432" s="37" t="s">
        <v>7584</v>
      </c>
      <c r="G432" s="37" t="s">
        <v>8274</v>
      </c>
      <c r="H432" s="39">
        <v>116.5429</v>
      </c>
      <c r="I432" s="39">
        <v>405</v>
      </c>
      <c r="J432" s="39">
        <v>1015</v>
      </c>
      <c r="K432" s="39">
        <v>86.972300000000004</v>
      </c>
      <c r="L432" s="38">
        <v>1</v>
      </c>
    </row>
    <row r="433" spans="1:12" x14ac:dyDescent="0.25">
      <c r="A433" s="37" t="s">
        <v>7585</v>
      </c>
      <c r="B433" s="38" t="s">
        <v>7844</v>
      </c>
      <c r="C433" s="38" t="s">
        <v>9311</v>
      </c>
      <c r="D433" s="38" t="s">
        <v>7861</v>
      </c>
      <c r="E433" s="38" t="s">
        <v>7857</v>
      </c>
      <c r="F433" s="37" t="s">
        <v>7586</v>
      </c>
      <c r="G433" s="37" t="s">
        <v>8275</v>
      </c>
      <c r="H433" s="39">
        <v>174.8143</v>
      </c>
      <c r="I433" s="39">
        <v>550</v>
      </c>
      <c r="J433" s="39">
        <v>1350</v>
      </c>
      <c r="K433" s="39">
        <v>130.45840000000001</v>
      </c>
      <c r="L433" s="38">
        <v>1</v>
      </c>
    </row>
    <row r="434" spans="1:12" x14ac:dyDescent="0.25">
      <c r="A434" s="37" t="s">
        <v>7587</v>
      </c>
      <c r="B434" s="40" t="s">
        <v>7159</v>
      </c>
      <c r="C434" s="38" t="s">
        <v>9309</v>
      </c>
      <c r="D434" s="38" t="s">
        <v>8029</v>
      </c>
      <c r="E434" s="38" t="s">
        <v>8276</v>
      </c>
      <c r="F434" s="37" t="s">
        <v>7588</v>
      </c>
      <c r="G434" s="37" t="s">
        <v>8277</v>
      </c>
      <c r="H434" s="39">
        <v>48.5595</v>
      </c>
      <c r="I434" s="39">
        <v>129</v>
      </c>
      <c r="J434" s="39">
        <v>319</v>
      </c>
      <c r="K434" s="39">
        <v>36.238399999999999</v>
      </c>
      <c r="L434" s="38">
        <v>1</v>
      </c>
    </row>
    <row r="435" spans="1:12" x14ac:dyDescent="0.25">
      <c r="A435" s="37" t="s">
        <v>7589</v>
      </c>
      <c r="B435" s="38" t="s">
        <v>7844</v>
      </c>
      <c r="C435" s="38" t="s">
        <v>9311</v>
      </c>
      <c r="D435" s="38" t="s">
        <v>7861</v>
      </c>
      <c r="E435" s="38" t="s">
        <v>7857</v>
      </c>
      <c r="F435" s="37" t="s">
        <v>7590</v>
      </c>
      <c r="G435" s="37" t="s">
        <v>8278</v>
      </c>
      <c r="H435" s="39">
        <v>145.67859999999999</v>
      </c>
      <c r="I435" s="39">
        <v>480</v>
      </c>
      <c r="J435" s="39">
        <v>1200</v>
      </c>
      <c r="K435" s="39">
        <v>108.7153</v>
      </c>
      <c r="L435" s="38">
        <v>1</v>
      </c>
    </row>
    <row r="436" spans="1:12" x14ac:dyDescent="0.25">
      <c r="A436" s="37" t="s">
        <v>7591</v>
      </c>
      <c r="B436" s="38" t="s">
        <v>7844</v>
      </c>
      <c r="C436" s="38" t="s">
        <v>9311</v>
      </c>
      <c r="D436" s="38" t="s">
        <v>7861</v>
      </c>
      <c r="E436" s="38" t="s">
        <v>7857</v>
      </c>
      <c r="F436" s="37" t="s">
        <v>7592</v>
      </c>
      <c r="G436" s="37" t="s">
        <v>8279</v>
      </c>
      <c r="H436" s="39">
        <v>106.8309</v>
      </c>
      <c r="I436" s="39">
        <v>375</v>
      </c>
      <c r="J436" s="39">
        <v>935</v>
      </c>
      <c r="K436" s="39">
        <v>79.724599999999995</v>
      </c>
      <c r="L436" s="38">
        <v>1</v>
      </c>
    </row>
    <row r="437" spans="1:12" x14ac:dyDescent="0.25">
      <c r="A437" s="37" t="s">
        <v>7593</v>
      </c>
      <c r="B437" s="38" t="s">
        <v>7844</v>
      </c>
      <c r="C437" s="38" t="s">
        <v>9311</v>
      </c>
      <c r="D437" s="38" t="s">
        <v>7861</v>
      </c>
      <c r="E437" s="38" t="s">
        <v>7857</v>
      </c>
      <c r="F437" s="37" t="s">
        <v>7594</v>
      </c>
      <c r="G437" s="37" t="s">
        <v>8280</v>
      </c>
      <c r="H437" s="39">
        <v>87.4071</v>
      </c>
      <c r="I437" s="39">
        <v>305</v>
      </c>
      <c r="J437" s="39">
        <v>760</v>
      </c>
      <c r="K437" s="39">
        <v>65.229200000000006</v>
      </c>
      <c r="L437" s="38">
        <v>1</v>
      </c>
    </row>
    <row r="438" spans="1:12" x14ac:dyDescent="0.25">
      <c r="A438" s="37" t="s">
        <v>7595</v>
      </c>
      <c r="B438" s="38" t="s">
        <v>7844</v>
      </c>
      <c r="C438" s="38" t="s">
        <v>9311</v>
      </c>
      <c r="D438" s="38" t="s">
        <v>7861</v>
      </c>
      <c r="E438" s="38" t="s">
        <v>7857</v>
      </c>
      <c r="F438" s="37" t="s">
        <v>7596</v>
      </c>
      <c r="G438" s="37" t="s">
        <v>8281</v>
      </c>
      <c r="H438" s="39">
        <v>48.5595</v>
      </c>
      <c r="I438" s="39">
        <v>180</v>
      </c>
      <c r="J438" s="39">
        <v>450</v>
      </c>
      <c r="K438" s="39">
        <v>36.238399999999999</v>
      </c>
      <c r="L438" s="38">
        <v>1</v>
      </c>
    </row>
    <row r="439" spans="1:12" x14ac:dyDescent="0.25">
      <c r="A439" s="37" t="s">
        <v>7597</v>
      </c>
      <c r="B439" s="38" t="s">
        <v>7844</v>
      </c>
      <c r="C439" s="38" t="s">
        <v>9309</v>
      </c>
      <c r="D439" s="38" t="s">
        <v>8033</v>
      </c>
      <c r="E439" s="38" t="s">
        <v>7857</v>
      </c>
      <c r="F439" s="37" t="s">
        <v>7598</v>
      </c>
      <c r="G439" s="37" t="s">
        <v>8282</v>
      </c>
      <c r="H439" s="39">
        <v>64.098600000000005</v>
      </c>
      <c r="I439" s="39">
        <v>215</v>
      </c>
      <c r="J439" s="39">
        <v>525</v>
      </c>
      <c r="K439" s="39">
        <v>47.834800000000001</v>
      </c>
      <c r="L439" s="38">
        <v>1</v>
      </c>
    </row>
    <row r="440" spans="1:12" x14ac:dyDescent="0.25">
      <c r="A440" s="37" t="s">
        <v>7599</v>
      </c>
      <c r="B440" s="38" t="s">
        <v>7844</v>
      </c>
      <c r="C440" s="38" t="s">
        <v>9311</v>
      </c>
      <c r="D440" s="38" t="s">
        <v>7856</v>
      </c>
      <c r="E440" s="38" t="s">
        <v>7857</v>
      </c>
      <c r="F440" s="37" t="s">
        <v>7600</v>
      </c>
      <c r="G440" s="37" t="s">
        <v>8283</v>
      </c>
      <c r="H440" s="39">
        <v>155.3905</v>
      </c>
      <c r="I440" s="39">
        <v>515</v>
      </c>
      <c r="J440" s="39">
        <v>1280</v>
      </c>
      <c r="K440" s="39">
        <v>115.96299999999999</v>
      </c>
      <c r="L440" s="38">
        <v>1</v>
      </c>
    </row>
    <row r="441" spans="1:12" x14ac:dyDescent="0.25">
      <c r="A441" s="37" t="s">
        <v>7601</v>
      </c>
      <c r="B441" s="38" t="s">
        <v>7844</v>
      </c>
      <c r="C441" s="38" t="s">
        <v>9311</v>
      </c>
      <c r="D441" s="38" t="s">
        <v>7861</v>
      </c>
      <c r="E441" s="38" t="s">
        <v>7857</v>
      </c>
      <c r="F441" s="37" t="s">
        <v>7602</v>
      </c>
      <c r="G441" s="37" t="s">
        <v>8284</v>
      </c>
      <c r="H441" s="39">
        <v>101.0038</v>
      </c>
      <c r="I441" s="39">
        <v>375</v>
      </c>
      <c r="J441" s="39">
        <v>930</v>
      </c>
      <c r="K441" s="39">
        <v>75.376000000000005</v>
      </c>
      <c r="L441" s="38">
        <v>1</v>
      </c>
    </row>
    <row r="442" spans="1:12" x14ac:dyDescent="0.25">
      <c r="A442" s="37" t="s">
        <v>7603</v>
      </c>
      <c r="B442" s="38" t="s">
        <v>7844</v>
      </c>
      <c r="C442" s="38" t="s">
        <v>9309</v>
      </c>
      <c r="D442" s="38" t="s">
        <v>7850</v>
      </c>
      <c r="E442" s="38" t="s">
        <v>7857</v>
      </c>
      <c r="F442" s="37" t="s">
        <v>7604</v>
      </c>
      <c r="G442" s="37" t="s">
        <v>8285</v>
      </c>
      <c r="H442" s="39">
        <v>11.654299999999999</v>
      </c>
      <c r="I442" s="39">
        <v>40</v>
      </c>
      <c r="J442" s="39">
        <v>99</v>
      </c>
      <c r="K442" s="39">
        <v>8.6972000000000005</v>
      </c>
      <c r="L442" s="38">
        <v>1</v>
      </c>
    </row>
    <row r="443" spans="1:12" x14ac:dyDescent="0.25">
      <c r="A443" s="37" t="s">
        <v>7605</v>
      </c>
      <c r="B443" s="38" t="s">
        <v>7844</v>
      </c>
      <c r="C443" s="38" t="s">
        <v>9311</v>
      </c>
      <c r="D443" s="38" t="s">
        <v>7859</v>
      </c>
      <c r="E443" s="38" t="s">
        <v>7857</v>
      </c>
      <c r="F443" s="37" t="s">
        <v>7606</v>
      </c>
      <c r="G443" s="37" t="s">
        <v>8286</v>
      </c>
      <c r="H443" s="39">
        <v>58.2714</v>
      </c>
      <c r="I443" s="39">
        <v>215</v>
      </c>
      <c r="J443" s="39">
        <v>530</v>
      </c>
      <c r="K443" s="39">
        <v>43.4861</v>
      </c>
      <c r="L443" s="38">
        <v>1</v>
      </c>
    </row>
    <row r="444" spans="1:12" x14ac:dyDescent="0.25">
      <c r="A444" s="37" t="s">
        <v>7607</v>
      </c>
      <c r="B444" s="38" t="s">
        <v>7844</v>
      </c>
      <c r="C444" s="38" t="s">
        <v>9309</v>
      </c>
      <c r="D444" s="38" t="s">
        <v>7850</v>
      </c>
      <c r="E444" s="38" t="s">
        <v>7851</v>
      </c>
      <c r="F444" s="37" t="s">
        <v>7608</v>
      </c>
      <c r="G444" s="37" t="s">
        <v>8287</v>
      </c>
      <c r="H444" s="39">
        <v>174.8143</v>
      </c>
      <c r="I444" s="39">
        <v>480</v>
      </c>
      <c r="J444" s="39">
        <v>1200</v>
      </c>
      <c r="K444" s="39">
        <v>130.45840000000001</v>
      </c>
      <c r="L444" s="38">
        <v>1</v>
      </c>
    </row>
    <row r="445" spans="1:12" x14ac:dyDescent="0.25">
      <c r="A445" s="37" t="s">
        <v>7609</v>
      </c>
      <c r="B445" s="38" t="s">
        <v>7844</v>
      </c>
      <c r="C445" s="38" t="s">
        <v>9311</v>
      </c>
      <c r="D445" s="38" t="s">
        <v>7905</v>
      </c>
      <c r="E445" s="38" t="s">
        <v>7857</v>
      </c>
      <c r="F445" s="37" t="s">
        <v>7610</v>
      </c>
      <c r="G445" s="37" t="s">
        <v>8288</v>
      </c>
      <c r="H445" s="39">
        <v>58.2714</v>
      </c>
      <c r="I445" s="39">
        <v>215</v>
      </c>
      <c r="J445" s="39">
        <v>535</v>
      </c>
      <c r="K445" s="39">
        <v>43.4861</v>
      </c>
      <c r="L445" s="38">
        <v>1</v>
      </c>
    </row>
    <row r="446" spans="1:12" x14ac:dyDescent="0.25">
      <c r="A446" s="37" t="s">
        <v>7611</v>
      </c>
      <c r="B446" s="38" t="s">
        <v>7844</v>
      </c>
      <c r="C446" s="38" t="s">
        <v>9309</v>
      </c>
      <c r="D446" s="38" t="s">
        <v>7850</v>
      </c>
      <c r="E446" s="38" t="s">
        <v>7857</v>
      </c>
      <c r="F446" s="37" t="s">
        <v>7612</v>
      </c>
      <c r="G446" s="37" t="s">
        <v>8289</v>
      </c>
      <c r="H446" s="39">
        <v>13.5967</v>
      </c>
      <c r="I446" s="39">
        <v>54</v>
      </c>
      <c r="J446" s="39">
        <v>130</v>
      </c>
      <c r="K446" s="39">
        <v>10.146800000000001</v>
      </c>
      <c r="L446" s="38">
        <v>1</v>
      </c>
    </row>
    <row r="447" spans="1:12" x14ac:dyDescent="0.25">
      <c r="A447" s="37" t="s">
        <v>7613</v>
      </c>
      <c r="B447" s="38" t="s">
        <v>7844</v>
      </c>
      <c r="C447" s="38" t="s">
        <v>9309</v>
      </c>
      <c r="D447" s="38" t="s">
        <v>7850</v>
      </c>
      <c r="E447" s="38" t="s">
        <v>7857</v>
      </c>
      <c r="F447" s="37" t="s">
        <v>7612</v>
      </c>
      <c r="G447" s="37" t="s">
        <v>8290</v>
      </c>
      <c r="H447" s="39">
        <v>19.4238</v>
      </c>
      <c r="I447" s="39">
        <v>74</v>
      </c>
      <c r="J447" s="39">
        <v>179</v>
      </c>
      <c r="K447" s="39">
        <v>14.4954</v>
      </c>
      <c r="L447" s="38">
        <v>1</v>
      </c>
    </row>
    <row r="448" spans="1:12" x14ac:dyDescent="0.25">
      <c r="A448" s="37" t="s">
        <v>7614</v>
      </c>
      <c r="B448" s="38" t="s">
        <v>7844</v>
      </c>
      <c r="C448" s="38" t="s">
        <v>9311</v>
      </c>
      <c r="D448" s="38" t="s">
        <v>7861</v>
      </c>
      <c r="E448" s="38" t="s">
        <v>7857</v>
      </c>
      <c r="F448" s="37" t="s">
        <v>7615</v>
      </c>
      <c r="G448" s="37" t="s">
        <v>8291</v>
      </c>
      <c r="H448" s="39">
        <v>213.6619</v>
      </c>
      <c r="I448" s="39">
        <v>595</v>
      </c>
      <c r="J448" s="39">
        <v>1485</v>
      </c>
      <c r="K448" s="39">
        <v>159.44919999999999</v>
      </c>
      <c r="L448" s="38">
        <v>1</v>
      </c>
    </row>
    <row r="449" spans="1:12" x14ac:dyDescent="0.25">
      <c r="A449" s="37" t="s">
        <v>7616</v>
      </c>
      <c r="B449" s="38" t="s">
        <v>7844</v>
      </c>
      <c r="C449" s="38" t="s">
        <v>9311</v>
      </c>
      <c r="D449" s="38" t="s">
        <v>7861</v>
      </c>
      <c r="E449" s="38" t="s">
        <v>7857</v>
      </c>
      <c r="F449" s="37" t="s">
        <v>7617</v>
      </c>
      <c r="G449" s="37" t="s">
        <v>8292</v>
      </c>
      <c r="H449" s="39">
        <v>233.0857</v>
      </c>
      <c r="I449" s="39">
        <v>650</v>
      </c>
      <c r="J449" s="39">
        <v>1620</v>
      </c>
      <c r="K449" s="39">
        <v>173.94460000000001</v>
      </c>
      <c r="L449" s="38">
        <v>1</v>
      </c>
    </row>
    <row r="450" spans="1:12" x14ac:dyDescent="0.25">
      <c r="A450" s="37" t="s">
        <v>7618</v>
      </c>
      <c r="B450" s="38" t="s">
        <v>7844</v>
      </c>
      <c r="C450" s="38" t="s">
        <v>9311</v>
      </c>
      <c r="D450" s="38" t="s">
        <v>7861</v>
      </c>
      <c r="E450" s="38" t="s">
        <v>7857</v>
      </c>
      <c r="F450" s="37" t="s">
        <v>7619</v>
      </c>
      <c r="G450" s="37" t="s">
        <v>8293</v>
      </c>
      <c r="H450" s="39">
        <v>44.674799999999998</v>
      </c>
      <c r="I450" s="39">
        <v>155</v>
      </c>
      <c r="J450" s="39">
        <v>385</v>
      </c>
      <c r="K450" s="39">
        <v>33.339399999999998</v>
      </c>
      <c r="L450" s="38">
        <v>1</v>
      </c>
    </row>
    <row r="451" spans="1:12" x14ac:dyDescent="0.25">
      <c r="A451" s="37" t="s">
        <v>7620</v>
      </c>
      <c r="B451" s="38" t="s">
        <v>7844</v>
      </c>
      <c r="C451" s="38" t="s">
        <v>9311</v>
      </c>
      <c r="D451" s="38" t="s">
        <v>7856</v>
      </c>
      <c r="E451" s="38" t="s">
        <v>7857</v>
      </c>
      <c r="F451" s="37" t="s">
        <v>7621</v>
      </c>
      <c r="G451" s="37" t="s">
        <v>8294</v>
      </c>
      <c r="H451" s="39">
        <v>97.119</v>
      </c>
      <c r="I451" s="39">
        <v>360</v>
      </c>
      <c r="J451" s="39">
        <v>900</v>
      </c>
      <c r="K451" s="39">
        <v>72.476900000000001</v>
      </c>
      <c r="L451" s="38">
        <v>1</v>
      </c>
    </row>
    <row r="452" spans="1:12" x14ac:dyDescent="0.25">
      <c r="A452" s="37" t="s">
        <v>7622</v>
      </c>
      <c r="B452" s="38" t="s">
        <v>7844</v>
      </c>
      <c r="C452" s="38" t="s">
        <v>9311</v>
      </c>
      <c r="D452" s="38" t="s">
        <v>7861</v>
      </c>
      <c r="E452" s="38" t="s">
        <v>7857</v>
      </c>
      <c r="F452" s="37" t="s">
        <v>7623</v>
      </c>
      <c r="G452" s="37" t="s">
        <v>8295</v>
      </c>
      <c r="H452" s="39">
        <v>106.8309</v>
      </c>
      <c r="I452" s="39">
        <v>360</v>
      </c>
      <c r="J452" s="39">
        <v>900</v>
      </c>
      <c r="K452" s="39">
        <v>79.724599999999995</v>
      </c>
      <c r="L452" s="38">
        <v>1</v>
      </c>
    </row>
    <row r="453" spans="1:12" x14ac:dyDescent="0.25">
      <c r="A453" s="37" t="s">
        <v>7624</v>
      </c>
      <c r="B453" s="38" t="s">
        <v>7844</v>
      </c>
      <c r="C453" s="38" t="s">
        <v>9311</v>
      </c>
      <c r="D453" s="38" t="s">
        <v>7856</v>
      </c>
      <c r="E453" s="38" t="s">
        <v>7857</v>
      </c>
      <c r="F453" s="37" t="s">
        <v>7625</v>
      </c>
      <c r="G453" s="37" t="s">
        <v>8296</v>
      </c>
      <c r="H453" s="39">
        <v>73.810500000000005</v>
      </c>
      <c r="I453" s="39">
        <v>255</v>
      </c>
      <c r="J453" s="39">
        <v>640</v>
      </c>
      <c r="K453" s="39">
        <v>55.0824</v>
      </c>
      <c r="L453" s="38">
        <v>1</v>
      </c>
    </row>
    <row r="454" spans="1:12" x14ac:dyDescent="0.25">
      <c r="A454" s="37" t="s">
        <v>7626</v>
      </c>
      <c r="B454" s="38" t="s">
        <v>7844</v>
      </c>
      <c r="C454" s="38" t="s">
        <v>9311</v>
      </c>
      <c r="D454" s="38" t="s">
        <v>7861</v>
      </c>
      <c r="E454" s="38" t="s">
        <v>7857</v>
      </c>
      <c r="F454" s="37" t="s">
        <v>7627</v>
      </c>
      <c r="G454" s="37" t="s">
        <v>8297</v>
      </c>
      <c r="H454" s="39">
        <v>106.8309</v>
      </c>
      <c r="I454" s="39">
        <v>360</v>
      </c>
      <c r="J454" s="39">
        <v>900</v>
      </c>
      <c r="K454" s="39">
        <v>79.724599999999995</v>
      </c>
      <c r="L454" s="38">
        <v>1</v>
      </c>
    </row>
    <row r="455" spans="1:12" x14ac:dyDescent="0.25">
      <c r="A455" s="37" t="s">
        <v>7628</v>
      </c>
      <c r="B455" s="38" t="s">
        <v>7844</v>
      </c>
      <c r="C455" s="38" t="s">
        <v>9311</v>
      </c>
      <c r="D455" s="38" t="s">
        <v>7861</v>
      </c>
      <c r="E455" s="38" t="s">
        <v>7857</v>
      </c>
      <c r="F455" s="37" t="s">
        <v>7629</v>
      </c>
      <c r="G455" s="37" t="s">
        <v>8298</v>
      </c>
      <c r="H455" s="39">
        <v>54.386699999999998</v>
      </c>
      <c r="I455" s="39">
        <v>195</v>
      </c>
      <c r="J455" s="39">
        <v>489</v>
      </c>
      <c r="K455" s="39">
        <v>40.5871</v>
      </c>
      <c r="L455" s="38">
        <v>1</v>
      </c>
    </row>
    <row r="456" spans="1:12" x14ac:dyDescent="0.25">
      <c r="A456" s="37" t="s">
        <v>7630</v>
      </c>
      <c r="B456" s="38" t="s">
        <v>7844</v>
      </c>
      <c r="C456" s="38" t="s">
        <v>9311</v>
      </c>
      <c r="D456" s="38" t="s">
        <v>8082</v>
      </c>
      <c r="E456" s="38" t="s">
        <v>7857</v>
      </c>
      <c r="F456" s="37" t="s">
        <v>7631</v>
      </c>
      <c r="G456" s="37" t="s">
        <v>8299</v>
      </c>
      <c r="H456" s="39">
        <v>73.810500000000005</v>
      </c>
      <c r="I456" s="39">
        <v>250</v>
      </c>
      <c r="J456" s="39">
        <v>625</v>
      </c>
      <c r="K456" s="39">
        <v>55.0824</v>
      </c>
      <c r="L456" s="38">
        <v>1</v>
      </c>
    </row>
    <row r="457" spans="1:12" x14ac:dyDescent="0.25">
      <c r="A457" s="37" t="s">
        <v>7632</v>
      </c>
      <c r="B457" s="38" t="s">
        <v>7844</v>
      </c>
      <c r="C457" s="38" t="s">
        <v>9311</v>
      </c>
      <c r="D457" s="38" t="s">
        <v>7905</v>
      </c>
      <c r="E457" s="38" t="s">
        <v>7857</v>
      </c>
      <c r="F457" s="37" t="s">
        <v>7633</v>
      </c>
      <c r="G457" s="37" t="s">
        <v>8300</v>
      </c>
      <c r="H457" s="39">
        <v>48.5595</v>
      </c>
      <c r="I457" s="39">
        <v>165</v>
      </c>
      <c r="J457" s="39">
        <v>415</v>
      </c>
      <c r="K457" s="39">
        <v>36.238399999999999</v>
      </c>
      <c r="L457" s="38">
        <v>1</v>
      </c>
    </row>
    <row r="458" spans="1:12" x14ac:dyDescent="0.25">
      <c r="A458" s="37" t="s">
        <v>7634</v>
      </c>
      <c r="B458" s="38" t="s">
        <v>7844</v>
      </c>
      <c r="C458" s="38" t="s">
        <v>9311</v>
      </c>
      <c r="D458" s="38" t="s">
        <v>7861</v>
      </c>
      <c r="E458" s="38" t="s">
        <v>7857</v>
      </c>
      <c r="F458" s="37" t="s">
        <v>7635</v>
      </c>
      <c r="G458" s="37" t="s">
        <v>8301</v>
      </c>
      <c r="H458" s="39">
        <v>44.674799999999998</v>
      </c>
      <c r="I458" s="39">
        <v>155</v>
      </c>
      <c r="J458" s="39">
        <v>389</v>
      </c>
      <c r="K458" s="39">
        <v>33.339399999999998</v>
      </c>
      <c r="L458" s="38">
        <v>1</v>
      </c>
    </row>
    <row r="459" spans="1:12" x14ac:dyDescent="0.25">
      <c r="A459" s="37" t="s">
        <v>7636</v>
      </c>
      <c r="B459" s="38" t="s">
        <v>7844</v>
      </c>
      <c r="C459" s="38" t="s">
        <v>9309</v>
      </c>
      <c r="D459" s="38" t="s">
        <v>8033</v>
      </c>
      <c r="E459" s="38" t="s">
        <v>7857</v>
      </c>
      <c r="F459" s="37" t="s">
        <v>7637</v>
      </c>
      <c r="G459" s="37" t="s">
        <v>8302</v>
      </c>
      <c r="H459" s="39">
        <v>29.1357</v>
      </c>
      <c r="I459" s="39">
        <v>115</v>
      </c>
      <c r="J459" s="39">
        <v>285</v>
      </c>
      <c r="K459" s="39">
        <v>21.743099999999998</v>
      </c>
      <c r="L459" s="38">
        <v>1</v>
      </c>
    </row>
    <row r="460" spans="1:12" x14ac:dyDescent="0.25">
      <c r="A460" s="37" t="s">
        <v>7638</v>
      </c>
      <c r="B460" s="38" t="s">
        <v>7844</v>
      </c>
      <c r="C460" s="38" t="s">
        <v>9311</v>
      </c>
      <c r="D460" s="38" t="s">
        <v>7861</v>
      </c>
      <c r="E460" s="38" t="s">
        <v>7857</v>
      </c>
      <c r="F460" s="37" t="s">
        <v>7639</v>
      </c>
      <c r="G460" s="37" t="s">
        <v>8303</v>
      </c>
      <c r="H460" s="39">
        <v>67.9833</v>
      </c>
      <c r="I460" s="39">
        <v>235</v>
      </c>
      <c r="J460" s="39">
        <v>585</v>
      </c>
      <c r="K460" s="39">
        <v>50.733800000000002</v>
      </c>
      <c r="L460" s="38">
        <v>1</v>
      </c>
    </row>
    <row r="461" spans="1:12" x14ac:dyDescent="0.25">
      <c r="A461" s="37" t="s">
        <v>7640</v>
      </c>
      <c r="B461" s="38" t="s">
        <v>7844</v>
      </c>
      <c r="C461" s="38" t="s">
        <v>9309</v>
      </c>
      <c r="D461" s="38" t="s">
        <v>8033</v>
      </c>
      <c r="E461" s="38" t="s">
        <v>7857</v>
      </c>
      <c r="F461" s="37" t="s">
        <v>7641</v>
      </c>
      <c r="G461" s="37" t="s">
        <v>8304</v>
      </c>
      <c r="H461" s="39">
        <v>31.078099999999999</v>
      </c>
      <c r="I461" s="39">
        <v>112</v>
      </c>
      <c r="J461" s="39">
        <v>280</v>
      </c>
      <c r="K461" s="39">
        <v>23.192599999999999</v>
      </c>
      <c r="L461" s="38">
        <v>1</v>
      </c>
    </row>
    <row r="462" spans="1:12" x14ac:dyDescent="0.25">
      <c r="A462" s="37" t="s">
        <v>7642</v>
      </c>
      <c r="B462" s="38" t="s">
        <v>7844</v>
      </c>
      <c r="C462" s="38" t="s">
        <v>9311</v>
      </c>
      <c r="D462" s="38" t="s">
        <v>7861</v>
      </c>
      <c r="E462" s="38" t="s">
        <v>7857</v>
      </c>
      <c r="F462" s="37" t="s">
        <v>7643</v>
      </c>
      <c r="G462" s="37" t="s">
        <v>8305</v>
      </c>
      <c r="H462" s="39">
        <v>58.2714</v>
      </c>
      <c r="I462" s="39">
        <v>220</v>
      </c>
      <c r="J462" s="39">
        <v>550</v>
      </c>
      <c r="K462" s="39">
        <v>43.4861</v>
      </c>
      <c r="L462" s="38">
        <v>1</v>
      </c>
    </row>
    <row r="463" spans="1:12" x14ac:dyDescent="0.25">
      <c r="A463" s="37" t="s">
        <v>7644</v>
      </c>
      <c r="B463" s="38" t="s">
        <v>7844</v>
      </c>
      <c r="C463" s="38" t="s">
        <v>9311</v>
      </c>
      <c r="D463" s="38" t="s">
        <v>7861</v>
      </c>
      <c r="E463" s="38" t="s">
        <v>7857</v>
      </c>
      <c r="F463" s="37" t="s">
        <v>7645</v>
      </c>
      <c r="G463" s="37" t="s">
        <v>8306</v>
      </c>
      <c r="H463" s="39">
        <v>42.732399999999998</v>
      </c>
      <c r="I463" s="39">
        <v>145</v>
      </c>
      <c r="J463" s="39">
        <v>359</v>
      </c>
      <c r="K463" s="39">
        <v>31.889800000000001</v>
      </c>
      <c r="L463" s="38">
        <v>1</v>
      </c>
    </row>
    <row r="464" spans="1:12" x14ac:dyDescent="0.25">
      <c r="A464" s="37" t="s">
        <v>7646</v>
      </c>
      <c r="B464" s="38" t="s">
        <v>7844</v>
      </c>
      <c r="C464" s="38" t="s">
        <v>9311</v>
      </c>
      <c r="D464" s="38" t="s">
        <v>7861</v>
      </c>
      <c r="E464" s="38" t="s">
        <v>7857</v>
      </c>
      <c r="F464" s="37" t="s">
        <v>7647</v>
      </c>
      <c r="G464" s="37" t="s">
        <v>8307</v>
      </c>
      <c r="H464" s="39">
        <v>194.2381</v>
      </c>
      <c r="I464" s="39">
        <v>580</v>
      </c>
      <c r="J464" s="39">
        <v>1450</v>
      </c>
      <c r="K464" s="39">
        <v>144.9538</v>
      </c>
      <c r="L464" s="38">
        <v>1</v>
      </c>
    </row>
    <row r="465" spans="1:12" x14ac:dyDescent="0.25">
      <c r="A465" s="37" t="s">
        <v>7648</v>
      </c>
      <c r="B465" s="38" t="s">
        <v>7844</v>
      </c>
      <c r="C465" s="38" t="s">
        <v>9311</v>
      </c>
      <c r="D465" s="38" t="s">
        <v>7861</v>
      </c>
      <c r="E465" s="38" t="s">
        <v>7857</v>
      </c>
      <c r="F465" s="37" t="s">
        <v>7649</v>
      </c>
      <c r="G465" s="37" t="s">
        <v>8308</v>
      </c>
      <c r="H465" s="39">
        <v>67.9833</v>
      </c>
      <c r="I465" s="39">
        <v>260</v>
      </c>
      <c r="J465" s="39">
        <v>640</v>
      </c>
      <c r="K465" s="39">
        <v>50.733800000000002</v>
      </c>
      <c r="L465" s="38">
        <v>1</v>
      </c>
    </row>
    <row r="466" spans="1:12" x14ac:dyDescent="0.25">
      <c r="A466" s="37" t="s">
        <v>7650</v>
      </c>
      <c r="B466" s="38" t="s">
        <v>7844</v>
      </c>
      <c r="C466" s="38" t="s">
        <v>9311</v>
      </c>
      <c r="D466" s="38" t="s">
        <v>7861</v>
      </c>
      <c r="E466" s="38" t="s">
        <v>7857</v>
      </c>
      <c r="F466" s="37" t="s">
        <v>7649</v>
      </c>
      <c r="G466" s="37" t="s">
        <v>8309</v>
      </c>
      <c r="H466" s="39">
        <v>73.810500000000005</v>
      </c>
      <c r="I466" s="39">
        <v>275</v>
      </c>
      <c r="J466" s="39">
        <v>685</v>
      </c>
      <c r="K466" s="39">
        <v>55.0824</v>
      </c>
      <c r="L466" s="38">
        <v>1</v>
      </c>
    </row>
    <row r="467" spans="1:12" x14ac:dyDescent="0.25">
      <c r="A467" s="37" t="s">
        <v>7651</v>
      </c>
      <c r="B467" s="38" t="s">
        <v>7844</v>
      </c>
      <c r="C467" s="38" t="s">
        <v>9312</v>
      </c>
      <c r="D467" s="38" t="s">
        <v>7917</v>
      </c>
      <c r="E467" s="38" t="s">
        <v>7857</v>
      </c>
      <c r="F467" s="37" t="s">
        <v>7652</v>
      </c>
      <c r="G467" s="37" t="s">
        <v>8310</v>
      </c>
      <c r="H467" s="39">
        <v>48.5595</v>
      </c>
      <c r="I467" s="39">
        <v>145</v>
      </c>
      <c r="J467" s="39">
        <v>350</v>
      </c>
      <c r="K467" s="39">
        <v>36.238399999999999</v>
      </c>
      <c r="L467" s="38">
        <v>1</v>
      </c>
    </row>
    <row r="468" spans="1:12" x14ac:dyDescent="0.25">
      <c r="A468" s="37" t="s">
        <v>7653</v>
      </c>
      <c r="B468" s="38" t="s">
        <v>7844</v>
      </c>
      <c r="C468" s="38" t="s">
        <v>9311</v>
      </c>
      <c r="D468" s="38" t="s">
        <v>7856</v>
      </c>
      <c r="E468" s="38" t="s">
        <v>7857</v>
      </c>
      <c r="F468" s="37" t="s">
        <v>7654</v>
      </c>
      <c r="G468" s="37" t="s">
        <v>8311</v>
      </c>
      <c r="H468" s="39">
        <v>4.8559999999999999</v>
      </c>
      <c r="I468" s="39">
        <v>20</v>
      </c>
      <c r="J468" s="39">
        <v>49</v>
      </c>
      <c r="K468" s="39">
        <v>3.6238000000000001</v>
      </c>
      <c r="L468" s="38">
        <v>1</v>
      </c>
    </row>
    <row r="469" spans="1:12" x14ac:dyDescent="0.25">
      <c r="A469" s="37" t="s">
        <v>7655</v>
      </c>
      <c r="B469" s="38" t="s">
        <v>7844</v>
      </c>
      <c r="C469" s="38" t="s">
        <v>9311</v>
      </c>
      <c r="D469" s="38" t="s">
        <v>7861</v>
      </c>
      <c r="E469" s="38" t="s">
        <v>7857</v>
      </c>
      <c r="F469" s="37" t="s">
        <v>7656</v>
      </c>
      <c r="G469" s="37" t="s">
        <v>8312</v>
      </c>
      <c r="H469" s="39">
        <v>81.58</v>
      </c>
      <c r="I469" s="39">
        <v>305</v>
      </c>
      <c r="J469" s="39">
        <v>760</v>
      </c>
      <c r="K469" s="39">
        <v>60.880600000000001</v>
      </c>
      <c r="L469" s="38">
        <v>1</v>
      </c>
    </row>
    <row r="470" spans="1:12" x14ac:dyDescent="0.25">
      <c r="A470" s="37" t="s">
        <v>7657</v>
      </c>
      <c r="B470" s="38" t="s">
        <v>7844</v>
      </c>
      <c r="C470" s="38" t="s">
        <v>9311</v>
      </c>
      <c r="D470" s="38" t="s">
        <v>7861</v>
      </c>
      <c r="E470" s="38" t="s">
        <v>7857</v>
      </c>
      <c r="F470" s="37" t="s">
        <v>7658</v>
      </c>
      <c r="G470" s="37" t="s">
        <v>8313</v>
      </c>
      <c r="H470" s="39">
        <v>60.213799999999999</v>
      </c>
      <c r="I470" s="39">
        <v>215</v>
      </c>
      <c r="J470" s="39">
        <v>535</v>
      </c>
      <c r="K470" s="39">
        <v>44.935699999999997</v>
      </c>
      <c r="L470" s="38">
        <v>1</v>
      </c>
    </row>
    <row r="471" spans="1:12" x14ac:dyDescent="0.25">
      <c r="A471" s="37" t="s">
        <v>7659</v>
      </c>
      <c r="B471" s="38" t="s">
        <v>7844</v>
      </c>
      <c r="C471" s="38" t="s">
        <v>9309</v>
      </c>
      <c r="D471" s="38" t="s">
        <v>8033</v>
      </c>
      <c r="E471" s="38" t="s">
        <v>7857</v>
      </c>
      <c r="F471" s="37" t="s">
        <v>7660</v>
      </c>
      <c r="G471" s="37" t="s">
        <v>8314</v>
      </c>
      <c r="H471" s="39">
        <v>42.732399999999998</v>
      </c>
      <c r="I471" s="39">
        <v>155</v>
      </c>
      <c r="J471" s="39">
        <v>385</v>
      </c>
      <c r="K471" s="39">
        <v>31.889800000000001</v>
      </c>
      <c r="L471" s="38">
        <v>1</v>
      </c>
    </row>
    <row r="472" spans="1:12" x14ac:dyDescent="0.25">
      <c r="A472" s="37" t="s">
        <v>7661</v>
      </c>
      <c r="B472" s="38" t="s">
        <v>7844</v>
      </c>
      <c r="C472" s="38" t="s">
        <v>9311</v>
      </c>
      <c r="D472" s="38" t="s">
        <v>7861</v>
      </c>
      <c r="E472" s="38" t="s">
        <v>7857</v>
      </c>
      <c r="F472" s="37" t="s">
        <v>7662</v>
      </c>
      <c r="G472" s="37" t="s">
        <v>8315</v>
      </c>
      <c r="H472" s="39">
        <v>106.8309</v>
      </c>
      <c r="I472" s="39">
        <v>370</v>
      </c>
      <c r="J472" s="39">
        <v>925</v>
      </c>
      <c r="K472" s="39">
        <v>79.724599999999995</v>
      </c>
      <c r="L472" s="38">
        <v>1</v>
      </c>
    </row>
    <row r="473" spans="1:12" x14ac:dyDescent="0.25">
      <c r="A473" s="37" t="s">
        <v>7663</v>
      </c>
      <c r="B473" s="38" t="s">
        <v>7844</v>
      </c>
      <c r="C473" s="38" t="s">
        <v>9311</v>
      </c>
      <c r="D473" s="38" t="s">
        <v>7861</v>
      </c>
      <c r="E473" s="38" t="s">
        <v>7857</v>
      </c>
      <c r="F473" s="37" t="s">
        <v>7664</v>
      </c>
      <c r="G473" s="37" t="s">
        <v>8316</v>
      </c>
      <c r="H473" s="39">
        <v>106.8309</v>
      </c>
      <c r="I473" s="39">
        <v>370</v>
      </c>
      <c r="J473" s="39">
        <v>925</v>
      </c>
      <c r="K473" s="39">
        <v>79.724599999999995</v>
      </c>
      <c r="L473" s="38">
        <v>1</v>
      </c>
    </row>
    <row r="474" spans="1:12" x14ac:dyDescent="0.25">
      <c r="A474" s="37" t="s">
        <v>7665</v>
      </c>
      <c r="B474" s="38" t="s">
        <v>7844</v>
      </c>
      <c r="C474" s="38" t="s">
        <v>9311</v>
      </c>
      <c r="D474" s="38" t="s">
        <v>7861</v>
      </c>
      <c r="E474" s="38" t="s">
        <v>7857</v>
      </c>
      <c r="F474" s="37" t="s">
        <v>7666</v>
      </c>
      <c r="G474" s="37" t="s">
        <v>8317</v>
      </c>
      <c r="H474" s="39">
        <v>87.4071</v>
      </c>
      <c r="I474" s="39">
        <v>290</v>
      </c>
      <c r="J474" s="39">
        <v>725</v>
      </c>
      <c r="K474" s="39">
        <v>65.229200000000006</v>
      </c>
      <c r="L474" s="38">
        <v>1</v>
      </c>
    </row>
    <row r="475" spans="1:12" x14ac:dyDescent="0.25">
      <c r="A475" s="37" t="s">
        <v>7667</v>
      </c>
      <c r="B475" s="38" t="s">
        <v>7844</v>
      </c>
      <c r="C475" s="38" t="s">
        <v>9311</v>
      </c>
      <c r="D475" s="38" t="s">
        <v>7861</v>
      </c>
      <c r="E475" s="38" t="s">
        <v>7857</v>
      </c>
      <c r="F475" s="37" t="s">
        <v>7584</v>
      </c>
      <c r="G475" s="37" t="s">
        <v>8318</v>
      </c>
      <c r="H475" s="39">
        <v>87.4071</v>
      </c>
      <c r="I475" s="39">
        <v>315</v>
      </c>
      <c r="J475" s="39">
        <v>785</v>
      </c>
      <c r="K475" s="39">
        <v>65.229200000000006</v>
      </c>
      <c r="L475" s="38">
        <v>1</v>
      </c>
    </row>
    <row r="476" spans="1:12" x14ac:dyDescent="0.25">
      <c r="A476" s="37" t="s">
        <v>7668</v>
      </c>
      <c r="B476" s="38" t="s">
        <v>7844</v>
      </c>
      <c r="C476" s="38" t="s">
        <v>9311</v>
      </c>
      <c r="D476" s="38" t="s">
        <v>7861</v>
      </c>
      <c r="E476" s="38" t="s">
        <v>7857</v>
      </c>
      <c r="F476" s="37" t="s">
        <v>7669</v>
      </c>
      <c r="G476" s="37" t="s">
        <v>8319</v>
      </c>
      <c r="H476" s="39">
        <v>64.098600000000005</v>
      </c>
      <c r="I476" s="39">
        <v>225</v>
      </c>
      <c r="J476" s="39">
        <v>560</v>
      </c>
      <c r="K476" s="39">
        <v>47.834800000000001</v>
      </c>
      <c r="L476" s="38">
        <v>1</v>
      </c>
    </row>
    <row r="477" spans="1:12" x14ac:dyDescent="0.25">
      <c r="A477" s="37" t="s">
        <v>7670</v>
      </c>
      <c r="B477" s="38" t="s">
        <v>7844</v>
      </c>
      <c r="C477" s="38" t="s">
        <v>9311</v>
      </c>
      <c r="D477" s="38" t="s">
        <v>7861</v>
      </c>
      <c r="E477" s="38" t="s">
        <v>7857</v>
      </c>
      <c r="F477" s="37" t="s">
        <v>7671</v>
      </c>
      <c r="G477" s="37" t="s">
        <v>8320</v>
      </c>
      <c r="H477" s="39">
        <v>64.098600000000005</v>
      </c>
      <c r="I477" s="39">
        <v>225</v>
      </c>
      <c r="J477" s="39">
        <v>560</v>
      </c>
      <c r="K477" s="39">
        <v>47.834800000000001</v>
      </c>
      <c r="L477" s="38">
        <v>1</v>
      </c>
    </row>
    <row r="478" spans="1:12" x14ac:dyDescent="0.25">
      <c r="A478" s="37" t="s">
        <v>7672</v>
      </c>
      <c r="B478" s="38" t="s">
        <v>7844</v>
      </c>
      <c r="C478" s="38" t="s">
        <v>9311</v>
      </c>
      <c r="D478" s="38" t="s">
        <v>7861</v>
      </c>
      <c r="E478" s="38" t="s">
        <v>7857</v>
      </c>
      <c r="F478" s="37" t="s">
        <v>7673</v>
      </c>
      <c r="G478" s="37" t="s">
        <v>8321</v>
      </c>
      <c r="H478" s="39">
        <v>64.098600000000005</v>
      </c>
      <c r="I478" s="39">
        <v>224</v>
      </c>
      <c r="J478" s="39">
        <v>560</v>
      </c>
      <c r="K478" s="39">
        <v>47.834800000000001</v>
      </c>
      <c r="L478" s="38">
        <v>1</v>
      </c>
    </row>
    <row r="479" spans="1:12" x14ac:dyDescent="0.25">
      <c r="A479" s="37" t="s">
        <v>7674</v>
      </c>
      <c r="B479" s="38" t="s">
        <v>7844</v>
      </c>
      <c r="C479" s="38" t="s">
        <v>9311</v>
      </c>
      <c r="D479" s="38" t="s">
        <v>7861</v>
      </c>
      <c r="E479" s="38" t="s">
        <v>7857</v>
      </c>
      <c r="F479" s="37" t="s">
        <v>7675</v>
      </c>
      <c r="G479" s="37" t="s">
        <v>8322</v>
      </c>
      <c r="H479" s="39">
        <v>87.4071</v>
      </c>
      <c r="I479" s="39">
        <v>299</v>
      </c>
      <c r="J479" s="39">
        <v>740</v>
      </c>
      <c r="K479" s="39">
        <v>65.229200000000006</v>
      </c>
      <c r="L479" s="38">
        <v>1</v>
      </c>
    </row>
    <row r="480" spans="1:12" x14ac:dyDescent="0.25">
      <c r="A480" s="37" t="s">
        <v>7676</v>
      </c>
      <c r="B480" s="38" t="s">
        <v>7844</v>
      </c>
      <c r="C480" s="38" t="s">
        <v>9311</v>
      </c>
      <c r="D480" s="38" t="s">
        <v>7861</v>
      </c>
      <c r="E480" s="38" t="s">
        <v>7857</v>
      </c>
      <c r="F480" s="37" t="s">
        <v>7677</v>
      </c>
      <c r="G480" s="37" t="s">
        <v>8323</v>
      </c>
      <c r="H480" s="39">
        <v>87.4071</v>
      </c>
      <c r="I480" s="39">
        <v>315</v>
      </c>
      <c r="J480" s="39">
        <v>785</v>
      </c>
      <c r="K480" s="39">
        <v>65.229200000000006</v>
      </c>
      <c r="L480" s="38">
        <v>1</v>
      </c>
    </row>
    <row r="481" spans="1:12" x14ac:dyDescent="0.25">
      <c r="A481" s="37" t="s">
        <v>7678</v>
      </c>
      <c r="B481" s="38" t="s">
        <v>7844</v>
      </c>
      <c r="C481" s="38" t="s">
        <v>9311</v>
      </c>
      <c r="D481" s="38" t="s">
        <v>7861</v>
      </c>
      <c r="E481" s="38" t="s">
        <v>7857</v>
      </c>
      <c r="F481" s="37" t="s">
        <v>7679</v>
      </c>
      <c r="G481" s="37" t="s">
        <v>8324</v>
      </c>
      <c r="H481" s="39">
        <v>116.5429</v>
      </c>
      <c r="I481" s="39">
        <v>399</v>
      </c>
      <c r="J481" s="39">
        <v>990</v>
      </c>
      <c r="K481" s="39">
        <v>86.972300000000004</v>
      </c>
      <c r="L481" s="38">
        <v>1</v>
      </c>
    </row>
    <row r="482" spans="1:12" x14ac:dyDescent="0.25">
      <c r="A482" s="37" t="s">
        <v>7680</v>
      </c>
      <c r="B482" s="38" t="s">
        <v>7844</v>
      </c>
      <c r="C482" s="38" t="s">
        <v>9311</v>
      </c>
      <c r="D482" s="38" t="s">
        <v>7861</v>
      </c>
      <c r="E482" s="38" t="s">
        <v>7857</v>
      </c>
      <c r="F482" s="37" t="s">
        <v>7681</v>
      </c>
      <c r="G482" s="37" t="s">
        <v>8325</v>
      </c>
      <c r="H482" s="39">
        <v>135.9667</v>
      </c>
      <c r="I482" s="39">
        <v>475</v>
      </c>
      <c r="J482" s="39">
        <v>1185</v>
      </c>
      <c r="K482" s="39">
        <v>101.46769999999999</v>
      </c>
      <c r="L482" s="38">
        <v>1</v>
      </c>
    </row>
    <row r="483" spans="1:12" x14ac:dyDescent="0.25">
      <c r="A483" s="37" t="s">
        <v>7682</v>
      </c>
      <c r="B483" s="38" t="s">
        <v>7844</v>
      </c>
      <c r="C483" s="38" t="s">
        <v>9311</v>
      </c>
      <c r="D483" s="38" t="s">
        <v>7861</v>
      </c>
      <c r="E483" s="38" t="s">
        <v>7857</v>
      </c>
      <c r="F483" s="37" t="s">
        <v>7683</v>
      </c>
      <c r="G483" s="37" t="s">
        <v>8326</v>
      </c>
      <c r="H483" s="39">
        <v>64.098600000000005</v>
      </c>
      <c r="I483" s="39">
        <v>235</v>
      </c>
      <c r="J483" s="39">
        <v>585</v>
      </c>
      <c r="K483" s="39">
        <v>47.834800000000001</v>
      </c>
      <c r="L483" s="38">
        <v>1</v>
      </c>
    </row>
    <row r="484" spans="1:12" x14ac:dyDescent="0.25">
      <c r="A484" s="37" t="s">
        <v>7684</v>
      </c>
      <c r="B484" s="38" t="s">
        <v>7844</v>
      </c>
      <c r="C484" s="38" t="s">
        <v>9311</v>
      </c>
      <c r="D484" s="38" t="s">
        <v>7859</v>
      </c>
      <c r="E484" s="38" t="s">
        <v>7857</v>
      </c>
      <c r="F484" s="37" t="s">
        <v>7685</v>
      </c>
      <c r="G484" s="37" t="s">
        <v>8327</v>
      </c>
      <c r="H484" s="39">
        <v>54.386699999999998</v>
      </c>
      <c r="I484" s="39">
        <v>235</v>
      </c>
      <c r="J484" s="39">
        <v>585</v>
      </c>
      <c r="K484" s="39">
        <v>40.5871</v>
      </c>
      <c r="L484" s="38">
        <v>1</v>
      </c>
    </row>
    <row r="485" spans="1:12" x14ac:dyDescent="0.25">
      <c r="A485" s="37" t="s">
        <v>7686</v>
      </c>
      <c r="B485" s="38" t="s">
        <v>7844</v>
      </c>
      <c r="C485" s="38" t="s">
        <v>9311</v>
      </c>
      <c r="D485" s="38" t="s">
        <v>7861</v>
      </c>
      <c r="E485" s="38" t="s">
        <v>7857</v>
      </c>
      <c r="F485" s="37" t="s">
        <v>7687</v>
      </c>
      <c r="G485" s="37" t="s">
        <v>8328</v>
      </c>
      <c r="H485" s="39">
        <v>116.5429</v>
      </c>
      <c r="I485" s="39">
        <v>385</v>
      </c>
      <c r="J485" s="39">
        <v>960</v>
      </c>
      <c r="K485" s="39">
        <v>86.972300000000004</v>
      </c>
      <c r="L485" s="38">
        <v>1</v>
      </c>
    </row>
    <row r="486" spans="1:12" x14ac:dyDescent="0.25">
      <c r="A486" s="37" t="s">
        <v>7688</v>
      </c>
      <c r="B486" s="38" t="s">
        <v>7844</v>
      </c>
      <c r="C486" s="38" t="s">
        <v>9311</v>
      </c>
      <c r="D486" s="38" t="s">
        <v>7861</v>
      </c>
      <c r="E486" s="38" t="s">
        <v>7857</v>
      </c>
      <c r="F486" s="37" t="s">
        <v>7689</v>
      </c>
      <c r="G486" s="37" t="s">
        <v>8329</v>
      </c>
      <c r="H486" s="39">
        <v>67.9833</v>
      </c>
      <c r="I486" s="39">
        <v>230</v>
      </c>
      <c r="J486" s="39">
        <v>575</v>
      </c>
      <c r="K486" s="39">
        <v>50.733800000000002</v>
      </c>
      <c r="L486" s="38">
        <v>1</v>
      </c>
    </row>
    <row r="487" spans="1:12" x14ac:dyDescent="0.25">
      <c r="A487" s="37" t="s">
        <v>7690</v>
      </c>
      <c r="B487" s="38" t="s">
        <v>7844</v>
      </c>
      <c r="C487" s="38" t="s">
        <v>9309</v>
      </c>
      <c r="D487" s="38" t="s">
        <v>7850</v>
      </c>
      <c r="E487" s="38" t="s">
        <v>7857</v>
      </c>
      <c r="F487" s="37" t="s">
        <v>7691</v>
      </c>
      <c r="G487" s="37" t="s">
        <v>8330</v>
      </c>
      <c r="H487" s="39">
        <v>25.251000000000001</v>
      </c>
      <c r="I487" s="39">
        <v>129</v>
      </c>
      <c r="J487" s="39">
        <v>320</v>
      </c>
      <c r="K487" s="39">
        <v>18.844000000000001</v>
      </c>
      <c r="L487" s="38">
        <v>1</v>
      </c>
    </row>
    <row r="488" spans="1:12" x14ac:dyDescent="0.25">
      <c r="A488" s="37" t="s">
        <v>7692</v>
      </c>
      <c r="B488" s="38" t="s">
        <v>7844</v>
      </c>
      <c r="C488" s="38" t="s">
        <v>9311</v>
      </c>
      <c r="D488" s="38" t="s">
        <v>7861</v>
      </c>
      <c r="E488" s="38" t="s">
        <v>7857</v>
      </c>
      <c r="F488" s="37" t="s">
        <v>7693</v>
      </c>
      <c r="G488" s="37" t="s">
        <v>8331</v>
      </c>
      <c r="H488" s="39">
        <v>77.6952</v>
      </c>
      <c r="I488" s="39">
        <v>275</v>
      </c>
      <c r="J488" s="39">
        <v>685</v>
      </c>
      <c r="K488" s="39">
        <v>57.981499999999997</v>
      </c>
      <c r="L488" s="38">
        <v>1</v>
      </c>
    </row>
    <row r="489" spans="1:12" x14ac:dyDescent="0.25">
      <c r="A489" s="37" t="s">
        <v>7694</v>
      </c>
      <c r="B489" s="38" t="s">
        <v>7844</v>
      </c>
      <c r="C489" s="38" t="s">
        <v>9311</v>
      </c>
      <c r="D489" s="38" t="s">
        <v>7905</v>
      </c>
      <c r="E489" s="38" t="s">
        <v>7857</v>
      </c>
      <c r="F489" s="37" t="s">
        <v>7695</v>
      </c>
      <c r="G489" s="37" t="s">
        <v>8332</v>
      </c>
      <c r="H489" s="39">
        <v>194.2381</v>
      </c>
      <c r="I489" s="39">
        <v>500</v>
      </c>
      <c r="J489" s="39">
        <v>1250</v>
      </c>
      <c r="K489" s="39">
        <v>144.9538</v>
      </c>
      <c r="L489" s="38">
        <v>1</v>
      </c>
    </row>
    <row r="490" spans="1:12" x14ac:dyDescent="0.25">
      <c r="A490" s="37" t="s">
        <v>7696</v>
      </c>
      <c r="B490" s="38" t="s">
        <v>7844</v>
      </c>
      <c r="C490" s="38" t="s">
        <v>9311</v>
      </c>
      <c r="D490" s="38" t="s">
        <v>7911</v>
      </c>
      <c r="E490" s="38" t="s">
        <v>7857</v>
      </c>
      <c r="F490" s="37" t="s">
        <v>7697</v>
      </c>
      <c r="G490" s="37" t="s">
        <v>8333</v>
      </c>
      <c r="H490" s="39">
        <v>174.8143</v>
      </c>
      <c r="I490" s="39">
        <v>500</v>
      </c>
      <c r="J490" s="39">
        <v>1250</v>
      </c>
      <c r="K490" s="39">
        <v>130.45840000000001</v>
      </c>
      <c r="L490" s="38">
        <v>1</v>
      </c>
    </row>
    <row r="491" spans="1:12" x14ac:dyDescent="0.25">
      <c r="A491" s="37" t="s">
        <v>7698</v>
      </c>
      <c r="B491" s="38" t="s">
        <v>7844</v>
      </c>
      <c r="C491" s="38" t="s">
        <v>9312</v>
      </c>
      <c r="D491" s="38" t="s">
        <v>7917</v>
      </c>
      <c r="E491" s="38" t="s">
        <v>7857</v>
      </c>
      <c r="F491" s="37" t="s">
        <v>7652</v>
      </c>
      <c r="G491" s="37" t="s">
        <v>8334</v>
      </c>
      <c r="H491" s="39">
        <v>48.5595</v>
      </c>
      <c r="I491" s="39">
        <v>145</v>
      </c>
      <c r="J491" s="39">
        <v>350</v>
      </c>
      <c r="K491" s="39">
        <v>36.238399999999999</v>
      </c>
      <c r="L491" s="38">
        <v>1</v>
      </c>
    </row>
    <row r="492" spans="1:12" x14ac:dyDescent="0.25">
      <c r="A492" s="37" t="s">
        <v>7699</v>
      </c>
      <c r="B492" s="38" t="s">
        <v>7844</v>
      </c>
      <c r="C492" s="38" t="s">
        <v>9312</v>
      </c>
      <c r="D492" s="38" t="s">
        <v>7917</v>
      </c>
      <c r="E492" s="38" t="s">
        <v>7857</v>
      </c>
      <c r="F492" s="37" t="s">
        <v>7652</v>
      </c>
      <c r="G492" s="37" t="s">
        <v>8334</v>
      </c>
      <c r="H492" s="39">
        <v>48.5595</v>
      </c>
      <c r="I492" s="39">
        <v>145</v>
      </c>
      <c r="J492" s="39">
        <v>350</v>
      </c>
      <c r="K492" s="39">
        <v>36.238399999999999</v>
      </c>
      <c r="L492" s="38">
        <v>1</v>
      </c>
    </row>
    <row r="493" spans="1:12" x14ac:dyDescent="0.25">
      <c r="A493" s="37" t="s">
        <v>7700</v>
      </c>
      <c r="B493" s="38" t="s">
        <v>7844</v>
      </c>
      <c r="C493" s="38" t="s">
        <v>9309</v>
      </c>
      <c r="D493" s="38" t="s">
        <v>7878</v>
      </c>
      <c r="E493" s="38" t="s">
        <v>7851</v>
      </c>
      <c r="F493" s="37" t="s">
        <v>7701</v>
      </c>
      <c r="G493" s="37" t="s">
        <v>8335</v>
      </c>
      <c r="H493" s="39">
        <v>1.8212999999999999</v>
      </c>
      <c r="I493" s="39">
        <v>7</v>
      </c>
      <c r="J493" s="39">
        <v>15</v>
      </c>
      <c r="K493" s="39">
        <v>1.4516</v>
      </c>
      <c r="L493" s="38">
        <v>1</v>
      </c>
    </row>
    <row r="494" spans="1:12" x14ac:dyDescent="0.25">
      <c r="A494" s="37" t="s">
        <v>7702</v>
      </c>
      <c r="B494" s="38" t="s">
        <v>7844</v>
      </c>
      <c r="C494" s="38" t="s">
        <v>9309</v>
      </c>
      <c r="D494" s="38" t="s">
        <v>7908</v>
      </c>
      <c r="E494" s="38" t="s">
        <v>7857</v>
      </c>
      <c r="F494" s="37" t="s">
        <v>7703</v>
      </c>
      <c r="G494" s="37" t="s">
        <v>8336</v>
      </c>
      <c r="H494" s="39">
        <v>40.796599999999998</v>
      </c>
      <c r="I494" s="39">
        <v>135</v>
      </c>
      <c r="J494" s="39">
        <v>289</v>
      </c>
      <c r="K494" s="39">
        <v>32.516100000000002</v>
      </c>
      <c r="L494" s="38">
        <v>1</v>
      </c>
    </row>
    <row r="495" spans="1:12" x14ac:dyDescent="0.25">
      <c r="A495" s="37" t="s">
        <v>7704</v>
      </c>
      <c r="B495" s="38" t="s">
        <v>7844</v>
      </c>
      <c r="C495" s="38" t="s">
        <v>9309</v>
      </c>
      <c r="D495" s="38" t="s">
        <v>8033</v>
      </c>
      <c r="E495" s="38" t="s">
        <v>7857</v>
      </c>
      <c r="F495" s="37" t="s">
        <v>7705</v>
      </c>
      <c r="G495" s="37" t="s">
        <v>8337</v>
      </c>
      <c r="H495" s="39">
        <v>45.329599999999999</v>
      </c>
      <c r="I495" s="39">
        <v>125</v>
      </c>
      <c r="J495" s="39">
        <v>275</v>
      </c>
      <c r="K495" s="39">
        <v>36.128999999999998</v>
      </c>
      <c r="L495" s="38">
        <v>1</v>
      </c>
    </row>
    <row r="496" spans="1:12" x14ac:dyDescent="0.25">
      <c r="A496" s="37" t="s">
        <v>7706</v>
      </c>
      <c r="B496" s="38" t="s">
        <v>7844</v>
      </c>
      <c r="C496" s="38" t="s">
        <v>9309</v>
      </c>
      <c r="D496" s="38" t="s">
        <v>8033</v>
      </c>
      <c r="E496" s="38" t="s">
        <v>7857</v>
      </c>
      <c r="F496" s="37" t="s">
        <v>7707</v>
      </c>
      <c r="G496" s="37" t="s">
        <v>8337</v>
      </c>
      <c r="H496" s="39">
        <v>45.329599999999999</v>
      </c>
      <c r="I496" s="39">
        <v>125</v>
      </c>
      <c r="J496" s="39">
        <v>275</v>
      </c>
      <c r="K496" s="39">
        <v>36.128999999999998</v>
      </c>
      <c r="L496" s="38">
        <v>1</v>
      </c>
    </row>
    <row r="497" spans="1:12" x14ac:dyDescent="0.25">
      <c r="A497" s="37" t="s">
        <v>50</v>
      </c>
      <c r="B497" s="40" t="s">
        <v>7845</v>
      </c>
      <c r="C497" s="38" t="s">
        <v>9308</v>
      </c>
      <c r="D497" s="38" t="s">
        <v>7892</v>
      </c>
      <c r="E497" s="38" t="s">
        <v>7866</v>
      </c>
      <c r="F497" s="37" t="s">
        <v>7708</v>
      </c>
      <c r="G497" s="37" t="s">
        <v>8338</v>
      </c>
      <c r="H497" s="39">
        <v>4.63</v>
      </c>
      <c r="I497" s="39">
        <v>12</v>
      </c>
      <c r="J497" s="39">
        <v>25</v>
      </c>
      <c r="K497" s="39">
        <v>3.61</v>
      </c>
      <c r="L497" s="38">
        <v>1</v>
      </c>
    </row>
    <row r="498" spans="1:12" x14ac:dyDescent="0.25">
      <c r="A498" s="37" t="s">
        <v>7131</v>
      </c>
      <c r="B498" s="38" t="s">
        <v>7844</v>
      </c>
      <c r="C498" s="38" t="s">
        <v>9311</v>
      </c>
      <c r="D498" s="38" t="s">
        <v>7905</v>
      </c>
      <c r="E498" s="38" t="s">
        <v>7857</v>
      </c>
      <c r="F498" s="37" t="s">
        <v>7132</v>
      </c>
      <c r="G498" s="37" t="s">
        <v>8339</v>
      </c>
      <c r="H498" s="39">
        <v>95.147499999999994</v>
      </c>
      <c r="I498" s="39">
        <v>300</v>
      </c>
      <c r="J498" s="39">
        <v>675</v>
      </c>
      <c r="K498" s="39">
        <v>73.190299999999993</v>
      </c>
      <c r="L498" s="38">
        <v>1</v>
      </c>
    </row>
    <row r="499" spans="1:12" x14ac:dyDescent="0.25">
      <c r="A499" s="37" t="s">
        <v>34</v>
      </c>
      <c r="B499" s="38" t="s">
        <v>7844</v>
      </c>
      <c r="C499" s="38" t="s">
        <v>9308</v>
      </c>
      <c r="D499" s="38" t="s">
        <v>7853</v>
      </c>
      <c r="E499" s="38" t="s">
        <v>7854</v>
      </c>
      <c r="F499" s="37" t="s">
        <v>7133</v>
      </c>
      <c r="G499" s="37" t="s">
        <v>8340</v>
      </c>
      <c r="H499" s="39">
        <v>3.1030000000000002</v>
      </c>
      <c r="I499" s="39">
        <v>19</v>
      </c>
      <c r="J499" s="39">
        <v>45</v>
      </c>
      <c r="K499" s="39">
        <v>2.3868999999999998</v>
      </c>
      <c r="L499" s="38">
        <v>1</v>
      </c>
    </row>
    <row r="500" spans="1:12" x14ac:dyDescent="0.25">
      <c r="A500" s="37" t="s">
        <v>33</v>
      </c>
      <c r="B500" s="38" t="s">
        <v>7844</v>
      </c>
      <c r="C500" s="38" t="s">
        <v>9308</v>
      </c>
      <c r="D500" s="38" t="s">
        <v>7853</v>
      </c>
      <c r="E500" s="38" t="s">
        <v>7854</v>
      </c>
      <c r="F500" s="37" t="s">
        <v>7134</v>
      </c>
      <c r="G500" s="37" t="s">
        <v>8341</v>
      </c>
      <c r="H500" s="39">
        <v>3.4790000000000001</v>
      </c>
      <c r="I500" s="39">
        <v>19</v>
      </c>
      <c r="J500" s="39">
        <v>45</v>
      </c>
      <c r="K500" s="39">
        <v>2.8515999999999999</v>
      </c>
      <c r="L500" s="38">
        <v>1</v>
      </c>
    </row>
    <row r="501" spans="1:12" x14ac:dyDescent="0.25">
      <c r="A501" s="37" t="s">
        <v>7709</v>
      </c>
      <c r="B501" s="40" t="s">
        <v>7845</v>
      </c>
      <c r="C501" s="38" t="s">
        <v>9311</v>
      </c>
      <c r="D501" s="38" t="s">
        <v>7861</v>
      </c>
      <c r="E501" s="38" t="s">
        <v>7929</v>
      </c>
      <c r="F501" s="37" t="s">
        <v>7710</v>
      </c>
      <c r="G501" s="37" t="s">
        <v>8342</v>
      </c>
      <c r="H501" s="39">
        <v>115.95829999999999</v>
      </c>
      <c r="I501" s="39">
        <v>345</v>
      </c>
      <c r="J501" s="39">
        <v>860</v>
      </c>
      <c r="K501" s="39">
        <v>100.83329999999999</v>
      </c>
      <c r="L501" s="38">
        <v>1</v>
      </c>
    </row>
    <row r="502" spans="1:12" x14ac:dyDescent="0.25">
      <c r="A502" s="37" t="s">
        <v>7711</v>
      </c>
      <c r="B502" s="40" t="s">
        <v>7845</v>
      </c>
      <c r="C502" s="38" t="s">
        <v>9311</v>
      </c>
      <c r="D502" s="38" t="s">
        <v>7861</v>
      </c>
      <c r="E502" s="38" t="s">
        <v>7929</v>
      </c>
      <c r="F502" s="37" t="s">
        <v>7712</v>
      </c>
      <c r="G502" s="37" t="s">
        <v>8342</v>
      </c>
      <c r="H502" s="39">
        <v>115.95829999999999</v>
      </c>
      <c r="I502" s="39">
        <v>345</v>
      </c>
      <c r="J502" s="39">
        <v>860</v>
      </c>
      <c r="K502" s="39">
        <v>100.83329999999999</v>
      </c>
      <c r="L502" s="38">
        <v>1</v>
      </c>
    </row>
    <row r="503" spans="1:12" x14ac:dyDescent="0.25">
      <c r="A503" s="37" t="s">
        <v>7713</v>
      </c>
      <c r="B503" s="40" t="s">
        <v>7845</v>
      </c>
      <c r="C503" s="38" t="s">
        <v>9311</v>
      </c>
      <c r="D503" s="38" t="s">
        <v>7856</v>
      </c>
      <c r="E503" s="38" t="s">
        <v>7929</v>
      </c>
      <c r="F503" s="37" t="s">
        <v>7714</v>
      </c>
      <c r="G503" s="37" t="s">
        <v>8343</v>
      </c>
      <c r="H503" s="39">
        <v>31.625</v>
      </c>
      <c r="I503" s="39">
        <v>110</v>
      </c>
      <c r="J503" s="39">
        <v>275</v>
      </c>
      <c r="K503" s="39">
        <v>27.5</v>
      </c>
      <c r="L503" s="38">
        <v>1</v>
      </c>
    </row>
    <row r="504" spans="1:12" x14ac:dyDescent="0.25">
      <c r="A504" s="37" t="s">
        <v>7715</v>
      </c>
      <c r="B504" s="40" t="s">
        <v>7845</v>
      </c>
      <c r="C504" s="38" t="s">
        <v>9311</v>
      </c>
      <c r="D504" s="38" t="s">
        <v>7856</v>
      </c>
      <c r="E504" s="38" t="s">
        <v>7929</v>
      </c>
      <c r="F504" s="37" t="s">
        <v>7716</v>
      </c>
      <c r="G504" s="37" t="s">
        <v>8344</v>
      </c>
      <c r="H504" s="39">
        <v>31.625</v>
      </c>
      <c r="I504" s="39">
        <v>110</v>
      </c>
      <c r="J504" s="39">
        <v>275</v>
      </c>
      <c r="K504" s="39">
        <v>27.5</v>
      </c>
      <c r="L504" s="38">
        <v>1</v>
      </c>
    </row>
    <row r="505" spans="1:12" x14ac:dyDescent="0.25">
      <c r="A505" s="37" t="s">
        <v>7717</v>
      </c>
      <c r="B505" s="40" t="s">
        <v>7845</v>
      </c>
      <c r="C505" s="38" t="s">
        <v>9311</v>
      </c>
      <c r="D505" s="38" t="s">
        <v>7861</v>
      </c>
      <c r="E505" s="38" t="s">
        <v>7929</v>
      </c>
      <c r="F505" s="37" t="s">
        <v>7718</v>
      </c>
      <c r="G505" s="37" t="s">
        <v>8345</v>
      </c>
      <c r="H505" s="39">
        <v>88.55</v>
      </c>
      <c r="I505" s="39">
        <v>310</v>
      </c>
      <c r="J505" s="39">
        <v>775</v>
      </c>
      <c r="K505" s="39">
        <v>77</v>
      </c>
      <c r="L505" s="38">
        <v>1</v>
      </c>
    </row>
    <row r="506" spans="1:12" x14ac:dyDescent="0.25">
      <c r="A506" s="37" t="s">
        <v>7719</v>
      </c>
      <c r="B506" s="40" t="s">
        <v>7845</v>
      </c>
      <c r="C506" s="38" t="s">
        <v>9311</v>
      </c>
      <c r="D506" s="38" t="s">
        <v>7861</v>
      </c>
      <c r="E506" s="38" t="s">
        <v>7929</v>
      </c>
      <c r="F506" s="37" t="s">
        <v>7720</v>
      </c>
      <c r="G506" s="37" t="s">
        <v>8345</v>
      </c>
      <c r="H506" s="39">
        <v>88.55</v>
      </c>
      <c r="I506" s="39">
        <v>310</v>
      </c>
      <c r="J506" s="39">
        <v>775</v>
      </c>
      <c r="K506" s="39">
        <v>77</v>
      </c>
      <c r="L506" s="38">
        <v>1</v>
      </c>
    </row>
    <row r="507" spans="1:12" x14ac:dyDescent="0.25">
      <c r="A507" s="37" t="s">
        <v>7721</v>
      </c>
      <c r="B507" s="40" t="s">
        <v>7845</v>
      </c>
      <c r="C507" s="38" t="s">
        <v>9311</v>
      </c>
      <c r="D507" s="38" t="s">
        <v>8052</v>
      </c>
      <c r="E507" s="38" t="s">
        <v>7929</v>
      </c>
      <c r="F507" s="37" t="s">
        <v>7722</v>
      </c>
      <c r="G507" s="37" t="s">
        <v>8345</v>
      </c>
      <c r="H507" s="39">
        <v>73.181799999999996</v>
      </c>
      <c r="I507" s="39">
        <v>270</v>
      </c>
      <c r="J507" s="39">
        <v>675</v>
      </c>
      <c r="K507" s="39">
        <v>63.636400000000002</v>
      </c>
      <c r="L507" s="38">
        <v>1</v>
      </c>
    </row>
    <row r="508" spans="1:12" x14ac:dyDescent="0.25">
      <c r="A508" s="37" t="s">
        <v>7723</v>
      </c>
      <c r="B508" s="40" t="s">
        <v>7845</v>
      </c>
      <c r="C508" s="38" t="s">
        <v>9311</v>
      </c>
      <c r="D508" s="38" t="s">
        <v>8052</v>
      </c>
      <c r="E508" s="38" t="s">
        <v>7929</v>
      </c>
      <c r="F508" s="37" t="s">
        <v>7724</v>
      </c>
      <c r="G508" s="37" t="s">
        <v>8345</v>
      </c>
      <c r="H508" s="39">
        <v>73.181799999999996</v>
      </c>
      <c r="I508" s="39">
        <v>270</v>
      </c>
      <c r="J508" s="39">
        <v>675</v>
      </c>
      <c r="K508" s="39">
        <v>63.636400000000002</v>
      </c>
      <c r="L508" s="38">
        <v>1</v>
      </c>
    </row>
    <row r="509" spans="1:12" x14ac:dyDescent="0.25">
      <c r="A509" s="37" t="s">
        <v>7725</v>
      </c>
      <c r="B509" s="40" t="s">
        <v>7845</v>
      </c>
      <c r="C509" s="38" t="s">
        <v>9308</v>
      </c>
      <c r="D509" s="38" t="s">
        <v>7931</v>
      </c>
      <c r="E509" s="38" t="s">
        <v>7929</v>
      </c>
      <c r="F509" s="37" t="s">
        <v>7726</v>
      </c>
      <c r="G509" s="37" t="s">
        <v>8346</v>
      </c>
      <c r="H509" s="39">
        <v>3.8332999999999999</v>
      </c>
      <c r="I509" s="39">
        <v>14</v>
      </c>
      <c r="J509" s="39">
        <v>25</v>
      </c>
      <c r="K509" s="39">
        <v>3.3332999999999999</v>
      </c>
      <c r="L509" s="38">
        <v>1</v>
      </c>
    </row>
    <row r="510" spans="1:12" x14ac:dyDescent="0.25">
      <c r="A510" s="37" t="s">
        <v>7727</v>
      </c>
      <c r="B510" s="40" t="s">
        <v>7845</v>
      </c>
      <c r="C510" s="38" t="s">
        <v>9311</v>
      </c>
      <c r="D510" s="38" t="s">
        <v>7856</v>
      </c>
      <c r="E510" s="38" t="s">
        <v>7929</v>
      </c>
      <c r="F510" s="37" t="s">
        <v>7728</v>
      </c>
      <c r="G510" s="37" t="s">
        <v>8347</v>
      </c>
      <c r="H510" s="39">
        <v>115.95829999999999</v>
      </c>
      <c r="I510" s="39">
        <v>380</v>
      </c>
      <c r="J510" s="39">
        <v>950</v>
      </c>
      <c r="K510" s="39">
        <v>100.83329999999999</v>
      </c>
      <c r="L510" s="38">
        <v>1</v>
      </c>
    </row>
    <row r="511" spans="1:12" x14ac:dyDescent="0.25">
      <c r="A511" s="37" t="s">
        <v>7729</v>
      </c>
      <c r="B511" s="40" t="s">
        <v>7845</v>
      </c>
      <c r="C511" s="38" t="s">
        <v>9311</v>
      </c>
      <c r="D511" s="38" t="s">
        <v>7856</v>
      </c>
      <c r="E511" s="38" t="s">
        <v>7929</v>
      </c>
      <c r="F511" s="37" t="s">
        <v>7730</v>
      </c>
      <c r="G511" s="37" t="s">
        <v>8347</v>
      </c>
      <c r="H511" s="39">
        <v>115.95829999999999</v>
      </c>
      <c r="I511" s="39">
        <v>380</v>
      </c>
      <c r="J511" s="39">
        <v>950</v>
      </c>
      <c r="K511" s="39">
        <v>100.83329999999999</v>
      </c>
      <c r="L511" s="38">
        <v>1</v>
      </c>
    </row>
    <row r="512" spans="1:12" x14ac:dyDescent="0.25">
      <c r="A512" s="37" t="s">
        <v>7731</v>
      </c>
      <c r="B512" s="40" t="s">
        <v>7845</v>
      </c>
      <c r="C512" s="38" t="s">
        <v>9311</v>
      </c>
      <c r="D512" s="38" t="s">
        <v>7856</v>
      </c>
      <c r="E512" s="38" t="s">
        <v>7929</v>
      </c>
      <c r="F512" s="37" t="s">
        <v>7732</v>
      </c>
      <c r="G512" s="37" t="s">
        <v>8348</v>
      </c>
      <c r="H512" s="39">
        <v>109.63330000000001</v>
      </c>
      <c r="I512" s="39">
        <v>360</v>
      </c>
      <c r="J512" s="39">
        <v>899</v>
      </c>
      <c r="K512" s="39">
        <v>95.333299999999994</v>
      </c>
      <c r="L512" s="38">
        <v>1</v>
      </c>
    </row>
    <row r="513" spans="1:12" x14ac:dyDescent="0.25">
      <c r="A513" s="37" t="s">
        <v>7733</v>
      </c>
      <c r="B513" s="40" t="s">
        <v>7845</v>
      </c>
      <c r="C513" s="38" t="s">
        <v>9311</v>
      </c>
      <c r="D513" s="38" t="s">
        <v>7856</v>
      </c>
      <c r="E513" s="38" t="s">
        <v>7929</v>
      </c>
      <c r="F513" s="37" t="s">
        <v>7734</v>
      </c>
      <c r="G513" s="37" t="s">
        <v>8348</v>
      </c>
      <c r="H513" s="39">
        <v>109.63330000000001</v>
      </c>
      <c r="I513" s="39">
        <v>360</v>
      </c>
      <c r="J513" s="39">
        <v>899</v>
      </c>
      <c r="K513" s="39">
        <v>95.333299999999994</v>
      </c>
      <c r="L513" s="38">
        <v>1</v>
      </c>
    </row>
    <row r="514" spans="1:12" x14ac:dyDescent="0.25">
      <c r="A514" s="37" t="s">
        <v>7735</v>
      </c>
      <c r="B514" s="40" t="s">
        <v>7845</v>
      </c>
      <c r="C514" s="38" t="s">
        <v>9309</v>
      </c>
      <c r="D514" s="38" t="s">
        <v>8033</v>
      </c>
      <c r="E514" s="38" t="s">
        <v>7929</v>
      </c>
      <c r="F514" s="37" t="s">
        <v>7736</v>
      </c>
      <c r="G514" s="37" t="s">
        <v>8349</v>
      </c>
      <c r="H514" s="39">
        <v>32.583300000000001</v>
      </c>
      <c r="I514" s="39">
        <v>110</v>
      </c>
      <c r="J514" s="39">
        <v>275</v>
      </c>
      <c r="K514" s="39">
        <v>28.333300000000001</v>
      </c>
      <c r="L514" s="38">
        <v>1</v>
      </c>
    </row>
    <row r="515" spans="1:12" x14ac:dyDescent="0.25">
      <c r="A515" s="37" t="s">
        <v>7737</v>
      </c>
      <c r="B515" s="40" t="s">
        <v>7845</v>
      </c>
      <c r="C515" s="38" t="s">
        <v>9309</v>
      </c>
      <c r="D515" s="38" t="s">
        <v>8033</v>
      </c>
      <c r="E515" s="38" t="s">
        <v>7929</v>
      </c>
      <c r="F515" s="37" t="s">
        <v>7738</v>
      </c>
      <c r="G515" s="37" t="s">
        <v>8349</v>
      </c>
      <c r="H515" s="39">
        <v>32.583300000000001</v>
      </c>
      <c r="I515" s="39">
        <v>110</v>
      </c>
      <c r="J515" s="39">
        <v>275</v>
      </c>
      <c r="K515" s="39">
        <v>28.333300000000001</v>
      </c>
      <c r="L515" s="38">
        <v>1</v>
      </c>
    </row>
    <row r="516" spans="1:12" x14ac:dyDescent="0.25">
      <c r="A516" s="37" t="s">
        <v>7739</v>
      </c>
      <c r="B516" s="40" t="s">
        <v>7845</v>
      </c>
      <c r="C516" s="38" t="s">
        <v>9309</v>
      </c>
      <c r="D516" s="38" t="s">
        <v>8033</v>
      </c>
      <c r="E516" s="38" t="s">
        <v>7929</v>
      </c>
      <c r="F516" s="37" t="s">
        <v>7740</v>
      </c>
      <c r="G516" s="37" t="s">
        <v>8350</v>
      </c>
      <c r="H516" s="39">
        <v>32.583300000000001</v>
      </c>
      <c r="I516" s="39">
        <v>110</v>
      </c>
      <c r="J516" s="39">
        <v>275</v>
      </c>
      <c r="K516" s="39">
        <v>28.333300000000001</v>
      </c>
      <c r="L516" s="38">
        <v>1</v>
      </c>
    </row>
    <row r="517" spans="1:12" x14ac:dyDescent="0.25">
      <c r="A517" s="37" t="s">
        <v>7741</v>
      </c>
      <c r="B517" s="40" t="s">
        <v>7845</v>
      </c>
      <c r="C517" s="38" t="s">
        <v>9309</v>
      </c>
      <c r="D517" s="38" t="s">
        <v>8033</v>
      </c>
      <c r="E517" s="38" t="s">
        <v>7929</v>
      </c>
      <c r="F517" s="37" t="s">
        <v>7742</v>
      </c>
      <c r="G517" s="37" t="s">
        <v>8350</v>
      </c>
      <c r="H517" s="39">
        <v>32.583300000000001</v>
      </c>
      <c r="I517" s="39">
        <v>110</v>
      </c>
      <c r="J517" s="39">
        <v>275</v>
      </c>
      <c r="K517" s="39">
        <v>28.333300000000001</v>
      </c>
      <c r="L517" s="38">
        <v>1</v>
      </c>
    </row>
    <row r="518" spans="1:12" x14ac:dyDescent="0.25">
      <c r="A518" s="37" t="s">
        <v>7743</v>
      </c>
      <c r="B518" s="40" t="s">
        <v>7845</v>
      </c>
      <c r="C518" s="38" t="s">
        <v>9309</v>
      </c>
      <c r="D518" s="38" t="s">
        <v>8033</v>
      </c>
      <c r="E518" s="38" t="s">
        <v>7929</v>
      </c>
      <c r="F518" s="37" t="s">
        <v>7744</v>
      </c>
      <c r="G518" s="37" t="s">
        <v>8350</v>
      </c>
      <c r="H518" s="39">
        <v>32.583300000000001</v>
      </c>
      <c r="I518" s="39">
        <v>110</v>
      </c>
      <c r="J518" s="39">
        <v>275</v>
      </c>
      <c r="K518" s="39">
        <v>28.333300000000001</v>
      </c>
      <c r="L518" s="38">
        <v>1</v>
      </c>
    </row>
    <row r="519" spans="1:12" x14ac:dyDescent="0.25">
      <c r="A519" s="37" t="s">
        <v>7745</v>
      </c>
      <c r="B519" s="40" t="s">
        <v>7845</v>
      </c>
      <c r="C519" s="38" t="s">
        <v>9309</v>
      </c>
      <c r="D519" s="38" t="s">
        <v>7850</v>
      </c>
      <c r="E519" s="38" t="s">
        <v>7929</v>
      </c>
      <c r="F519" s="37" t="s">
        <v>7746</v>
      </c>
      <c r="G519" s="37" t="s">
        <v>8351</v>
      </c>
      <c r="H519" s="39">
        <v>43.386400000000002</v>
      </c>
      <c r="I519" s="39">
        <v>135</v>
      </c>
      <c r="J519" s="39">
        <v>335</v>
      </c>
      <c r="K519" s="39">
        <v>37.7273</v>
      </c>
      <c r="L519" s="38">
        <v>1</v>
      </c>
    </row>
    <row r="520" spans="1:12" x14ac:dyDescent="0.25">
      <c r="A520" s="37" t="s">
        <v>7747</v>
      </c>
      <c r="B520" s="40" t="s">
        <v>7845</v>
      </c>
      <c r="C520" s="38" t="s">
        <v>9309</v>
      </c>
      <c r="D520" s="38" t="s">
        <v>7850</v>
      </c>
      <c r="E520" s="38" t="s">
        <v>7929</v>
      </c>
      <c r="F520" s="37" t="s">
        <v>7746</v>
      </c>
      <c r="G520" s="37" t="s">
        <v>8352</v>
      </c>
      <c r="H520" s="39">
        <v>45.128799999999998</v>
      </c>
      <c r="I520" s="39">
        <v>145</v>
      </c>
      <c r="J520" s="39">
        <v>365</v>
      </c>
      <c r="K520" s="39">
        <v>39.242400000000004</v>
      </c>
      <c r="L520" s="38">
        <v>1</v>
      </c>
    </row>
    <row r="521" spans="1:12" x14ac:dyDescent="0.25">
      <c r="A521" s="37" t="s">
        <v>7748</v>
      </c>
      <c r="B521" s="40" t="s">
        <v>7845</v>
      </c>
      <c r="C521" s="38" t="s">
        <v>9309</v>
      </c>
      <c r="D521" s="38" t="s">
        <v>7850</v>
      </c>
      <c r="E521" s="38" t="s">
        <v>7929</v>
      </c>
      <c r="F521" s="37" t="s">
        <v>7746</v>
      </c>
      <c r="G521" s="37" t="s">
        <v>8353</v>
      </c>
      <c r="H521" s="39">
        <v>53.666699999999999</v>
      </c>
      <c r="I521" s="39">
        <v>170</v>
      </c>
      <c r="J521" s="39">
        <v>425</v>
      </c>
      <c r="K521" s="39">
        <v>46.666699999999999</v>
      </c>
      <c r="L521" s="38">
        <v>1</v>
      </c>
    </row>
    <row r="522" spans="1:12" x14ac:dyDescent="0.25">
      <c r="A522" s="37" t="s">
        <v>7749</v>
      </c>
      <c r="B522" s="40" t="s">
        <v>7845</v>
      </c>
      <c r="C522" s="38" t="s">
        <v>9309</v>
      </c>
      <c r="D522" s="38" t="s">
        <v>7850</v>
      </c>
      <c r="E522" s="38" t="s">
        <v>7929</v>
      </c>
      <c r="F522" s="37" t="s">
        <v>7750</v>
      </c>
      <c r="G522" s="37" t="s">
        <v>8353</v>
      </c>
      <c r="H522" s="39">
        <v>53.666699999999999</v>
      </c>
      <c r="I522" s="39">
        <v>170</v>
      </c>
      <c r="J522" s="39">
        <v>425</v>
      </c>
      <c r="K522" s="39">
        <v>46.666699999999999</v>
      </c>
      <c r="L522" s="38">
        <v>1</v>
      </c>
    </row>
    <row r="523" spans="1:12" x14ac:dyDescent="0.25">
      <c r="A523" s="37" t="s">
        <v>7751</v>
      </c>
      <c r="B523" s="40" t="s">
        <v>7845</v>
      </c>
      <c r="C523" s="38" t="s">
        <v>9311</v>
      </c>
      <c r="D523" s="38" t="s">
        <v>7861</v>
      </c>
      <c r="E523" s="38" t="s">
        <v>7929</v>
      </c>
      <c r="F523" s="37" t="s">
        <v>7752</v>
      </c>
      <c r="G523" s="37" t="s">
        <v>8342</v>
      </c>
      <c r="H523" s="39">
        <v>111.30029999999999</v>
      </c>
      <c r="I523" s="39">
        <v>335</v>
      </c>
      <c r="J523" s="39">
        <v>730</v>
      </c>
      <c r="K523" s="39">
        <v>88.709699999999998</v>
      </c>
      <c r="L523" s="38">
        <v>1</v>
      </c>
    </row>
    <row r="524" spans="1:12" x14ac:dyDescent="0.25">
      <c r="A524" s="37" t="s">
        <v>7753</v>
      </c>
      <c r="B524" s="40" t="s">
        <v>7845</v>
      </c>
      <c r="C524" s="38" t="s">
        <v>9311</v>
      </c>
      <c r="D524" s="38" t="s">
        <v>7861</v>
      </c>
      <c r="E524" s="38" t="s">
        <v>7929</v>
      </c>
      <c r="F524" s="37" t="s">
        <v>7754</v>
      </c>
      <c r="G524" s="37" t="s">
        <v>8342</v>
      </c>
      <c r="H524" s="39">
        <v>111.30029999999999</v>
      </c>
      <c r="I524" s="39">
        <v>335</v>
      </c>
      <c r="J524" s="39">
        <v>730</v>
      </c>
      <c r="K524" s="39">
        <v>88.709699999999998</v>
      </c>
      <c r="L524" s="38">
        <v>1</v>
      </c>
    </row>
    <row r="525" spans="1:12" x14ac:dyDescent="0.25">
      <c r="A525" s="37" t="s">
        <v>7755</v>
      </c>
      <c r="B525" s="40" t="s">
        <v>7845</v>
      </c>
      <c r="C525" s="38" t="s">
        <v>9311</v>
      </c>
      <c r="D525" s="38" t="s">
        <v>7856</v>
      </c>
      <c r="E525" s="38" t="s">
        <v>7929</v>
      </c>
      <c r="F525" s="37" t="s">
        <v>7756</v>
      </c>
      <c r="G525" s="37" t="s">
        <v>8354</v>
      </c>
      <c r="H525" s="39">
        <v>105.2294</v>
      </c>
      <c r="I525" s="39">
        <v>365</v>
      </c>
      <c r="J525" s="39">
        <v>799</v>
      </c>
      <c r="K525" s="39">
        <v>83.870999999999995</v>
      </c>
      <c r="L525" s="38">
        <v>1</v>
      </c>
    </row>
    <row r="526" spans="1:12" x14ac:dyDescent="0.25">
      <c r="A526" s="37" t="s">
        <v>7757</v>
      </c>
      <c r="B526" s="40" t="s">
        <v>7845</v>
      </c>
      <c r="C526" s="38" t="s">
        <v>9311</v>
      </c>
      <c r="D526" s="38" t="s">
        <v>7856</v>
      </c>
      <c r="E526" s="38" t="s">
        <v>7929</v>
      </c>
      <c r="F526" s="37" t="s">
        <v>7758</v>
      </c>
      <c r="G526" s="37" t="s">
        <v>8354</v>
      </c>
      <c r="H526" s="39">
        <v>105.2294</v>
      </c>
      <c r="I526" s="39">
        <v>365</v>
      </c>
      <c r="J526" s="39">
        <v>799</v>
      </c>
      <c r="K526" s="39">
        <v>83.870999999999995</v>
      </c>
      <c r="L526" s="38">
        <v>1</v>
      </c>
    </row>
    <row r="527" spans="1:12" x14ac:dyDescent="0.25">
      <c r="A527" s="37" t="s">
        <v>7759</v>
      </c>
      <c r="B527" s="40" t="s">
        <v>7845</v>
      </c>
      <c r="C527" s="38" t="s">
        <v>9309</v>
      </c>
      <c r="D527" s="38" t="s">
        <v>7850</v>
      </c>
      <c r="E527" s="38" t="s">
        <v>7929</v>
      </c>
      <c r="F527" s="37" t="s">
        <v>7760</v>
      </c>
      <c r="G527" s="37" t="s">
        <v>8355</v>
      </c>
      <c r="H527" s="39">
        <v>11.635899999999999</v>
      </c>
      <c r="I527" s="39">
        <v>39</v>
      </c>
      <c r="J527" s="39">
        <v>85</v>
      </c>
      <c r="K527" s="39">
        <v>9.2742000000000004</v>
      </c>
      <c r="L527" s="38">
        <v>1</v>
      </c>
    </row>
    <row r="528" spans="1:12" x14ac:dyDescent="0.25">
      <c r="A528" s="37" t="s">
        <v>7761</v>
      </c>
      <c r="B528" s="40" t="s">
        <v>7845</v>
      </c>
      <c r="C528" s="38" t="s">
        <v>9309</v>
      </c>
      <c r="D528" s="38" t="s">
        <v>8033</v>
      </c>
      <c r="E528" s="38" t="s">
        <v>7929</v>
      </c>
      <c r="F528" s="37" t="s">
        <v>7762</v>
      </c>
      <c r="G528" s="37" t="s">
        <v>8356</v>
      </c>
      <c r="H528" s="39">
        <v>32.378300000000003</v>
      </c>
      <c r="I528" s="39">
        <v>99</v>
      </c>
      <c r="J528" s="39">
        <v>220</v>
      </c>
      <c r="K528" s="39">
        <v>25.8065</v>
      </c>
      <c r="L528" s="38">
        <v>1</v>
      </c>
    </row>
    <row r="529" spans="1:12" x14ac:dyDescent="0.25">
      <c r="A529" s="37" t="s">
        <v>7763</v>
      </c>
      <c r="B529" s="40" t="s">
        <v>7845</v>
      </c>
      <c r="C529" s="38" t="s">
        <v>9309</v>
      </c>
      <c r="D529" s="38" t="s">
        <v>8033</v>
      </c>
      <c r="E529" s="38" t="s">
        <v>7929</v>
      </c>
      <c r="F529" s="37" t="s">
        <v>7764</v>
      </c>
      <c r="G529" s="37" t="s">
        <v>8357</v>
      </c>
      <c r="H529" s="39">
        <v>32.378300000000003</v>
      </c>
      <c r="I529" s="39">
        <v>100</v>
      </c>
      <c r="J529" s="39">
        <v>220</v>
      </c>
      <c r="K529" s="39">
        <v>25.8065</v>
      </c>
      <c r="L529" s="38">
        <v>1</v>
      </c>
    </row>
    <row r="530" spans="1:12" x14ac:dyDescent="0.25">
      <c r="A530" s="37" t="s">
        <v>7765</v>
      </c>
      <c r="B530" s="40" t="s">
        <v>7845</v>
      </c>
      <c r="C530" s="38" t="s">
        <v>9309</v>
      </c>
      <c r="D530" s="38" t="s">
        <v>7850</v>
      </c>
      <c r="E530" s="38" t="s">
        <v>7929</v>
      </c>
      <c r="F530" s="37" t="s">
        <v>7766</v>
      </c>
      <c r="G530" s="37" t="s">
        <v>8358</v>
      </c>
      <c r="H530" s="39">
        <v>13.153700000000001</v>
      </c>
      <c r="I530" s="39">
        <v>39</v>
      </c>
      <c r="J530" s="39">
        <v>85</v>
      </c>
      <c r="K530" s="39">
        <v>10.4839</v>
      </c>
      <c r="L530" s="38">
        <v>1</v>
      </c>
    </row>
    <row r="531" spans="1:12" x14ac:dyDescent="0.25">
      <c r="A531" s="37" t="s">
        <v>7767</v>
      </c>
      <c r="B531" s="40" t="s">
        <v>7845</v>
      </c>
      <c r="C531" s="38" t="s">
        <v>9309</v>
      </c>
      <c r="D531" s="38" t="s">
        <v>7850</v>
      </c>
      <c r="E531" s="38" t="s">
        <v>7929</v>
      </c>
      <c r="F531" s="37" t="s">
        <v>7768</v>
      </c>
      <c r="G531" s="37" t="s">
        <v>8359</v>
      </c>
      <c r="H531" s="39">
        <v>80.945700000000002</v>
      </c>
      <c r="I531" s="39">
        <v>249</v>
      </c>
      <c r="J531" s="39">
        <v>545</v>
      </c>
      <c r="K531" s="39">
        <v>64.516099999999994</v>
      </c>
      <c r="L531" s="38">
        <v>1</v>
      </c>
    </row>
    <row r="532" spans="1:12" x14ac:dyDescent="0.25">
      <c r="A532" s="37" t="s">
        <v>7769</v>
      </c>
      <c r="B532" s="40" t="s">
        <v>7845</v>
      </c>
      <c r="C532" s="38" t="s">
        <v>9309</v>
      </c>
      <c r="D532" s="38" t="s">
        <v>7850</v>
      </c>
      <c r="E532" s="38" t="s">
        <v>7929</v>
      </c>
      <c r="F532" s="37" t="s">
        <v>7770</v>
      </c>
      <c r="G532" s="37" t="s">
        <v>8360</v>
      </c>
      <c r="H532" s="39">
        <v>28.128599999999999</v>
      </c>
      <c r="I532" s="39">
        <v>84</v>
      </c>
      <c r="J532" s="39">
        <v>185</v>
      </c>
      <c r="K532" s="39">
        <v>22.4194</v>
      </c>
      <c r="L532" s="38">
        <v>1</v>
      </c>
    </row>
    <row r="533" spans="1:12" x14ac:dyDescent="0.25">
      <c r="A533" s="37" t="s">
        <v>7771</v>
      </c>
      <c r="B533" s="40" t="s">
        <v>7845</v>
      </c>
      <c r="C533" s="38" t="s">
        <v>9308</v>
      </c>
      <c r="D533" s="38" t="s">
        <v>7964</v>
      </c>
      <c r="E533" s="38" t="s">
        <v>7929</v>
      </c>
      <c r="F533" s="37" t="s">
        <v>7772</v>
      </c>
      <c r="G533" s="37" t="s">
        <v>8361</v>
      </c>
      <c r="H533" s="39">
        <v>6.6779999999999999</v>
      </c>
      <c r="I533" s="39">
        <v>23</v>
      </c>
      <c r="J533" s="39">
        <v>49</v>
      </c>
      <c r="K533" s="39">
        <v>5.3226000000000004</v>
      </c>
      <c r="L533" s="38">
        <v>1</v>
      </c>
    </row>
    <row r="534" spans="1:12" x14ac:dyDescent="0.25">
      <c r="A534" s="37" t="s">
        <v>7773</v>
      </c>
      <c r="B534" s="40" t="s">
        <v>7845</v>
      </c>
      <c r="C534" s="38" t="s">
        <v>9309</v>
      </c>
      <c r="D534" s="38" t="s">
        <v>7850</v>
      </c>
      <c r="E534" s="38" t="s">
        <v>7929</v>
      </c>
      <c r="F534" s="37" t="s">
        <v>7774</v>
      </c>
      <c r="G534" s="37" t="s">
        <v>8362</v>
      </c>
      <c r="H534" s="39">
        <v>60.709299999999999</v>
      </c>
      <c r="I534" s="39">
        <v>215</v>
      </c>
      <c r="J534" s="39">
        <v>470</v>
      </c>
      <c r="K534" s="39">
        <v>48.387099999999997</v>
      </c>
      <c r="L534" s="38">
        <v>1</v>
      </c>
    </row>
    <row r="535" spans="1:12" x14ac:dyDescent="0.25">
      <c r="A535" s="37" t="s">
        <v>7775</v>
      </c>
      <c r="B535" s="40" t="s">
        <v>7845</v>
      </c>
      <c r="C535" s="38" t="s">
        <v>9311</v>
      </c>
      <c r="D535" s="38" t="s">
        <v>7905</v>
      </c>
      <c r="E535" s="38" t="s">
        <v>7929</v>
      </c>
      <c r="F535" s="37" t="s">
        <v>7776</v>
      </c>
      <c r="G535" s="37" t="s">
        <v>8363</v>
      </c>
      <c r="H535" s="39">
        <v>76.898399999999995</v>
      </c>
      <c r="I535" s="39">
        <v>235</v>
      </c>
      <c r="J535" s="39">
        <v>515</v>
      </c>
      <c r="K535" s="39">
        <v>61.290300000000002</v>
      </c>
      <c r="L535" s="38">
        <v>1</v>
      </c>
    </row>
    <row r="536" spans="1:12" x14ac:dyDescent="0.25">
      <c r="A536" s="37" t="s">
        <v>7777</v>
      </c>
      <c r="B536" s="40" t="s">
        <v>7845</v>
      </c>
      <c r="C536" s="38" t="s">
        <v>9311</v>
      </c>
      <c r="D536" s="38" t="s">
        <v>7905</v>
      </c>
      <c r="E536" s="38" t="s">
        <v>7929</v>
      </c>
      <c r="F536" s="37" t="s">
        <v>7778</v>
      </c>
      <c r="G536" s="37" t="s">
        <v>8364</v>
      </c>
      <c r="H536" s="39">
        <v>105.2294</v>
      </c>
      <c r="I536" s="39">
        <v>315</v>
      </c>
      <c r="J536" s="39">
        <v>690</v>
      </c>
      <c r="K536" s="39">
        <v>83.870999999999995</v>
      </c>
      <c r="L536" s="38">
        <v>1</v>
      </c>
    </row>
    <row r="537" spans="1:12" x14ac:dyDescent="0.25">
      <c r="A537" s="37" t="s">
        <v>7779</v>
      </c>
      <c r="B537" s="40" t="s">
        <v>7845</v>
      </c>
      <c r="C537" s="38" t="s">
        <v>9311</v>
      </c>
      <c r="D537" s="38" t="s">
        <v>7905</v>
      </c>
      <c r="E537" s="38" t="s">
        <v>7929</v>
      </c>
      <c r="F537" s="37" t="s">
        <v>7780</v>
      </c>
      <c r="G537" s="37" t="s">
        <v>8365</v>
      </c>
      <c r="H537" s="39">
        <v>119.39490000000001</v>
      </c>
      <c r="I537" s="39">
        <v>350</v>
      </c>
      <c r="J537" s="39">
        <v>750</v>
      </c>
      <c r="K537" s="39">
        <v>95.161299999999997</v>
      </c>
      <c r="L537" s="38">
        <v>1</v>
      </c>
    </row>
    <row r="538" spans="1:12" x14ac:dyDescent="0.25">
      <c r="A538" s="37" t="s">
        <v>7781</v>
      </c>
      <c r="B538" s="40" t="s">
        <v>7845</v>
      </c>
      <c r="C538" s="38" t="s">
        <v>9311</v>
      </c>
      <c r="D538" s="38" t="s">
        <v>7905</v>
      </c>
      <c r="E538" s="38" t="s">
        <v>7929</v>
      </c>
      <c r="F538" s="37" t="s">
        <v>7782</v>
      </c>
      <c r="G538" s="37" t="s">
        <v>8366</v>
      </c>
      <c r="H538" s="39">
        <v>139.63130000000001</v>
      </c>
      <c r="I538" s="39">
        <v>399</v>
      </c>
      <c r="J538" s="39">
        <v>850</v>
      </c>
      <c r="K538" s="39">
        <v>111.2903</v>
      </c>
      <c r="L538" s="38">
        <v>1</v>
      </c>
    </row>
    <row r="539" spans="1:12" x14ac:dyDescent="0.25">
      <c r="A539" s="37" t="s">
        <v>7783</v>
      </c>
      <c r="B539" s="40" t="s">
        <v>7845</v>
      </c>
      <c r="C539" s="38" t="s">
        <v>9311</v>
      </c>
      <c r="D539" s="38" t="s">
        <v>7905</v>
      </c>
      <c r="E539" s="38" t="s">
        <v>7929</v>
      </c>
      <c r="F539" s="37" t="s">
        <v>7784</v>
      </c>
      <c r="G539" s="37" t="s">
        <v>8367</v>
      </c>
      <c r="H539" s="39">
        <v>81.458299999999994</v>
      </c>
      <c r="I539" s="39">
        <v>260</v>
      </c>
      <c r="J539" s="39">
        <v>650</v>
      </c>
      <c r="K539" s="39">
        <v>70.833299999999994</v>
      </c>
      <c r="L539" s="38">
        <v>1</v>
      </c>
    </row>
    <row r="540" spans="1:12" x14ac:dyDescent="0.25">
      <c r="A540" s="37" t="s">
        <v>7785</v>
      </c>
      <c r="B540" s="40" t="s">
        <v>7845</v>
      </c>
      <c r="C540" s="38" t="s">
        <v>9309</v>
      </c>
      <c r="D540" s="38" t="s">
        <v>7850</v>
      </c>
      <c r="E540" s="38" t="s">
        <v>7929</v>
      </c>
      <c r="F540" s="37" t="s">
        <v>7786</v>
      </c>
      <c r="G540" s="37" t="s">
        <v>8368</v>
      </c>
      <c r="H540" s="39">
        <v>84.333299999999994</v>
      </c>
      <c r="I540" s="39">
        <v>250</v>
      </c>
      <c r="J540" s="39">
        <v>625</v>
      </c>
      <c r="K540" s="39">
        <v>73.333299999999994</v>
      </c>
      <c r="L540" s="38">
        <v>1</v>
      </c>
    </row>
    <row r="541" spans="1:12" x14ac:dyDescent="0.25">
      <c r="A541" s="37" t="s">
        <v>7787</v>
      </c>
      <c r="B541" s="40" t="s">
        <v>7845</v>
      </c>
      <c r="C541" s="38" t="s">
        <v>9309</v>
      </c>
      <c r="D541" s="38" t="s">
        <v>7850</v>
      </c>
      <c r="E541" s="38" t="s">
        <v>7929</v>
      </c>
      <c r="F541" s="37" t="s">
        <v>7788</v>
      </c>
      <c r="G541" s="37" t="s">
        <v>8368</v>
      </c>
      <c r="H541" s="39">
        <v>84.333299999999994</v>
      </c>
      <c r="I541" s="39">
        <v>250</v>
      </c>
      <c r="J541" s="39">
        <v>625</v>
      </c>
      <c r="K541" s="39">
        <v>73.333299999999994</v>
      </c>
      <c r="L541" s="38">
        <v>1</v>
      </c>
    </row>
    <row r="542" spans="1:12" x14ac:dyDescent="0.25">
      <c r="A542" s="37" t="s">
        <v>7789</v>
      </c>
      <c r="B542" s="40" t="s">
        <v>7845</v>
      </c>
      <c r="C542" s="38" t="s">
        <v>9309</v>
      </c>
      <c r="D542" s="38" t="s">
        <v>7850</v>
      </c>
      <c r="E542" s="38" t="s">
        <v>7929</v>
      </c>
      <c r="F542" s="37" t="s">
        <v>7790</v>
      </c>
      <c r="G542" s="37" t="s">
        <v>8360</v>
      </c>
      <c r="H542" s="39">
        <v>29.2727</v>
      </c>
      <c r="I542" s="39">
        <v>89</v>
      </c>
      <c r="J542" s="39">
        <v>220</v>
      </c>
      <c r="K542" s="39">
        <v>25.454499999999999</v>
      </c>
      <c r="L542" s="38">
        <v>1</v>
      </c>
    </row>
    <row r="543" spans="1:12" x14ac:dyDescent="0.25">
      <c r="A543" s="37" t="s">
        <v>7791</v>
      </c>
      <c r="B543" s="40" t="s">
        <v>7845</v>
      </c>
      <c r="C543" s="38" t="s">
        <v>9309</v>
      </c>
      <c r="D543" s="38" t="s">
        <v>7850</v>
      </c>
      <c r="E543" s="38" t="s">
        <v>7929</v>
      </c>
      <c r="F543" s="37" t="s">
        <v>7792</v>
      </c>
      <c r="G543" s="37" t="s">
        <v>8369</v>
      </c>
      <c r="H543" s="39">
        <v>134.86359999999999</v>
      </c>
      <c r="I543" s="39">
        <v>435</v>
      </c>
      <c r="J543" s="39">
        <v>1080</v>
      </c>
      <c r="K543" s="39">
        <v>117.2727</v>
      </c>
      <c r="L543" s="38">
        <v>1</v>
      </c>
    </row>
    <row r="544" spans="1:12" x14ac:dyDescent="0.25">
      <c r="A544" s="37" t="s">
        <v>7793</v>
      </c>
      <c r="B544" s="40" t="s">
        <v>7845</v>
      </c>
      <c r="C544" s="38" t="s">
        <v>9309</v>
      </c>
      <c r="D544" s="38" t="s">
        <v>7850</v>
      </c>
      <c r="E544" s="38" t="s">
        <v>7929</v>
      </c>
      <c r="F544" s="37" t="s">
        <v>7794</v>
      </c>
      <c r="G544" s="37" t="s">
        <v>8369</v>
      </c>
      <c r="H544" s="39">
        <v>134.86359999999999</v>
      </c>
      <c r="I544" s="39">
        <v>435</v>
      </c>
      <c r="J544" s="39">
        <v>1080</v>
      </c>
      <c r="K544" s="39">
        <v>117.2727</v>
      </c>
      <c r="L544" s="38">
        <v>1</v>
      </c>
    </row>
    <row r="545" spans="1:12" x14ac:dyDescent="0.25">
      <c r="A545" s="37" t="s">
        <v>7795</v>
      </c>
      <c r="B545" s="40" t="s">
        <v>7845</v>
      </c>
      <c r="C545" s="38" t="s">
        <v>9309</v>
      </c>
      <c r="D545" s="38" t="s">
        <v>7850</v>
      </c>
      <c r="E545" s="38" t="s">
        <v>7929</v>
      </c>
      <c r="F545" s="37" t="s">
        <v>7796</v>
      </c>
      <c r="G545" s="37" t="s">
        <v>8360</v>
      </c>
      <c r="H545" s="39">
        <v>29.2727</v>
      </c>
      <c r="I545" s="39">
        <v>89</v>
      </c>
      <c r="J545" s="39">
        <v>220</v>
      </c>
      <c r="K545" s="39">
        <v>25.454499999999999</v>
      </c>
      <c r="L545" s="38">
        <v>1</v>
      </c>
    </row>
    <row r="546" spans="1:12" x14ac:dyDescent="0.25">
      <c r="A546" s="37" t="s">
        <v>7797</v>
      </c>
      <c r="B546" s="40" t="s">
        <v>7845</v>
      </c>
      <c r="C546" s="38" t="s">
        <v>9308</v>
      </c>
      <c r="D546" s="38" t="s">
        <v>7964</v>
      </c>
      <c r="E546" s="38" t="s">
        <v>7929</v>
      </c>
      <c r="F546" s="37" t="s">
        <v>7798</v>
      </c>
      <c r="G546" s="37" t="s">
        <v>8370</v>
      </c>
      <c r="H546" s="39">
        <v>5.3666999999999998</v>
      </c>
      <c r="I546" s="39">
        <v>19</v>
      </c>
      <c r="J546" s="39">
        <v>45</v>
      </c>
      <c r="K546" s="39">
        <v>4.6666999999999996</v>
      </c>
      <c r="L546" s="38">
        <v>1</v>
      </c>
    </row>
    <row r="547" spans="1:12" x14ac:dyDescent="0.25">
      <c r="A547" s="37" t="s">
        <v>7799</v>
      </c>
      <c r="B547" s="40" t="s">
        <v>7845</v>
      </c>
      <c r="C547" s="38" t="s">
        <v>9308</v>
      </c>
      <c r="D547" s="38" t="s">
        <v>7964</v>
      </c>
      <c r="E547" s="38" t="s">
        <v>7929</v>
      </c>
      <c r="F547" s="37" t="s">
        <v>7800</v>
      </c>
      <c r="G547" s="37" t="s">
        <v>8371</v>
      </c>
      <c r="H547" s="39">
        <v>3.8332999999999999</v>
      </c>
      <c r="I547" s="39">
        <v>14</v>
      </c>
      <c r="J547" s="39">
        <v>25</v>
      </c>
      <c r="K547" s="39">
        <v>3.3332999999999999</v>
      </c>
      <c r="L547" s="38">
        <v>1</v>
      </c>
    </row>
    <row r="548" spans="1:12" x14ac:dyDescent="0.25">
      <c r="A548" s="37" t="s">
        <v>7801</v>
      </c>
      <c r="B548" s="40" t="s">
        <v>7845</v>
      </c>
      <c r="C548" s="38" t="s">
        <v>9309</v>
      </c>
      <c r="D548" s="38" t="s">
        <v>7850</v>
      </c>
      <c r="E548" s="38" t="s">
        <v>7929</v>
      </c>
      <c r="F548" s="37" t="s">
        <v>7802</v>
      </c>
      <c r="G548" s="37" t="s">
        <v>8355</v>
      </c>
      <c r="H548" s="39">
        <v>6.9696999999999996</v>
      </c>
      <c r="I548" s="39">
        <v>25</v>
      </c>
      <c r="J548" s="39">
        <v>65</v>
      </c>
      <c r="K548" s="39">
        <v>6.0606</v>
      </c>
      <c r="L548" s="38">
        <v>1</v>
      </c>
    </row>
    <row r="549" spans="1:12" x14ac:dyDescent="0.25">
      <c r="A549" s="37" t="s">
        <v>7803</v>
      </c>
      <c r="B549" s="40" t="s">
        <v>7845</v>
      </c>
      <c r="C549" s="38" t="s">
        <v>9311</v>
      </c>
      <c r="D549" s="38" t="s">
        <v>7905</v>
      </c>
      <c r="E549" s="38" t="s">
        <v>7929</v>
      </c>
      <c r="F549" s="37" t="s">
        <v>7804</v>
      </c>
      <c r="G549" s="37" t="s">
        <v>8358</v>
      </c>
      <c r="H549" s="39">
        <v>10.454499999999999</v>
      </c>
      <c r="I549" s="39">
        <v>25</v>
      </c>
      <c r="J549" s="39">
        <v>65</v>
      </c>
      <c r="K549" s="39">
        <v>9.0908999999999995</v>
      </c>
      <c r="L549" s="38">
        <v>1</v>
      </c>
    </row>
    <row r="550" spans="1:12" x14ac:dyDescent="0.25">
      <c r="A550" s="37" t="s">
        <v>7805</v>
      </c>
      <c r="B550" s="40" t="s">
        <v>7845</v>
      </c>
      <c r="C550" s="38" t="s">
        <v>9308</v>
      </c>
      <c r="D550" s="38" t="s">
        <v>7964</v>
      </c>
      <c r="E550" s="38" t="s">
        <v>7929</v>
      </c>
      <c r="F550" s="37" t="s">
        <v>7806</v>
      </c>
      <c r="G550" s="37" t="s">
        <v>8361</v>
      </c>
      <c r="H550" s="39">
        <v>6.3250000000000002</v>
      </c>
      <c r="I550" s="39">
        <v>23</v>
      </c>
      <c r="J550" s="39">
        <v>55</v>
      </c>
      <c r="K550" s="39">
        <v>5.5</v>
      </c>
      <c r="L550" s="38">
        <v>1</v>
      </c>
    </row>
    <row r="551" spans="1:12" x14ac:dyDescent="0.25">
      <c r="A551" s="37" t="s">
        <v>7807</v>
      </c>
      <c r="B551" s="40" t="s">
        <v>7845</v>
      </c>
      <c r="C551" s="38" t="s">
        <v>9309</v>
      </c>
      <c r="D551" s="38" t="s">
        <v>7908</v>
      </c>
      <c r="E551" s="38" t="s">
        <v>7929</v>
      </c>
      <c r="F551" s="37" t="s">
        <v>7808</v>
      </c>
      <c r="G551" s="37" t="s">
        <v>8372</v>
      </c>
      <c r="H551" s="39">
        <v>23</v>
      </c>
      <c r="I551" s="39">
        <v>80</v>
      </c>
      <c r="J551" s="39">
        <v>199</v>
      </c>
      <c r="K551" s="39">
        <v>20</v>
      </c>
      <c r="L551" s="38">
        <v>1</v>
      </c>
    </row>
    <row r="552" spans="1:12" x14ac:dyDescent="0.25">
      <c r="A552" s="37" t="s">
        <v>7809</v>
      </c>
      <c r="B552" s="40" t="s">
        <v>7845</v>
      </c>
      <c r="C552" s="38" t="s">
        <v>9309</v>
      </c>
      <c r="D552" s="38" t="s">
        <v>7908</v>
      </c>
      <c r="E552" s="38" t="s">
        <v>7929</v>
      </c>
      <c r="F552" s="37" t="s">
        <v>7810</v>
      </c>
      <c r="G552" s="37" t="s">
        <v>8372</v>
      </c>
      <c r="H552" s="39">
        <v>23</v>
      </c>
      <c r="I552" s="39">
        <v>80</v>
      </c>
      <c r="J552" s="39">
        <v>199</v>
      </c>
      <c r="K552" s="39">
        <v>20</v>
      </c>
      <c r="L552" s="38">
        <v>1</v>
      </c>
    </row>
    <row r="553" spans="1:12" x14ac:dyDescent="0.25">
      <c r="A553" s="37" t="s">
        <v>7811</v>
      </c>
      <c r="B553" s="40" t="s">
        <v>7845</v>
      </c>
      <c r="C553" s="38" t="s">
        <v>9311</v>
      </c>
      <c r="D553" s="38" t="s">
        <v>7861</v>
      </c>
      <c r="E553" s="38" t="s">
        <v>7929</v>
      </c>
      <c r="F553" s="37" t="s">
        <v>7812</v>
      </c>
      <c r="G553" s="37" t="s">
        <v>8373</v>
      </c>
      <c r="H553" s="39">
        <v>147.58330000000001</v>
      </c>
      <c r="I553" s="39">
        <v>450</v>
      </c>
      <c r="J553" s="39">
        <v>1125</v>
      </c>
      <c r="K553" s="39">
        <v>128.33330000000001</v>
      </c>
      <c r="L553" s="38">
        <v>1</v>
      </c>
    </row>
    <row r="554" spans="1:12" x14ac:dyDescent="0.25">
      <c r="A554" s="37" t="s">
        <v>7813</v>
      </c>
      <c r="B554" s="40" t="s">
        <v>7845</v>
      </c>
      <c r="C554" s="38" t="s">
        <v>9311</v>
      </c>
      <c r="D554" s="38" t="s">
        <v>7861</v>
      </c>
      <c r="E554" s="38" t="s">
        <v>7929</v>
      </c>
      <c r="F554" s="37" t="s">
        <v>7814</v>
      </c>
      <c r="G554" s="37" t="s">
        <v>8373</v>
      </c>
      <c r="H554" s="39">
        <v>147.58330000000001</v>
      </c>
      <c r="I554" s="39">
        <v>450</v>
      </c>
      <c r="J554" s="39">
        <v>1125</v>
      </c>
      <c r="K554" s="39">
        <v>128.33330000000001</v>
      </c>
      <c r="L554" s="38">
        <v>1</v>
      </c>
    </row>
    <row r="555" spans="1:12" x14ac:dyDescent="0.25">
      <c r="A555" s="37" t="s">
        <v>7815</v>
      </c>
      <c r="B555" s="40" t="s">
        <v>7845</v>
      </c>
      <c r="C555" s="38" t="s">
        <v>9309</v>
      </c>
      <c r="D555" s="38" t="s">
        <v>7850</v>
      </c>
      <c r="E555" s="38" t="s">
        <v>7929</v>
      </c>
      <c r="F555" s="37" t="s">
        <v>7816</v>
      </c>
      <c r="G555" s="37" t="s">
        <v>8362</v>
      </c>
      <c r="H555" s="39">
        <v>63.25</v>
      </c>
      <c r="I555" s="39">
        <v>199</v>
      </c>
      <c r="J555" s="39">
        <v>495</v>
      </c>
      <c r="K555" s="39">
        <v>55</v>
      </c>
      <c r="L555" s="38">
        <v>1</v>
      </c>
    </row>
    <row r="556" spans="1:12" x14ac:dyDescent="0.25">
      <c r="A556" s="37" t="s">
        <v>7817</v>
      </c>
      <c r="B556" s="40" t="s">
        <v>7845</v>
      </c>
      <c r="C556" s="38" t="s">
        <v>9309</v>
      </c>
      <c r="D556" s="38" t="s">
        <v>7850</v>
      </c>
      <c r="E556" s="38" t="s">
        <v>7929</v>
      </c>
      <c r="F556" s="37" t="s">
        <v>7818</v>
      </c>
      <c r="G556" s="37" t="s">
        <v>8374</v>
      </c>
      <c r="H556" s="39">
        <v>6.9696999999999996</v>
      </c>
      <c r="I556" s="39">
        <v>30</v>
      </c>
      <c r="J556" s="39">
        <v>75</v>
      </c>
      <c r="K556" s="39">
        <v>6.0606</v>
      </c>
      <c r="L556" s="38">
        <v>1</v>
      </c>
    </row>
    <row r="557" spans="1:12" x14ac:dyDescent="0.25">
      <c r="A557" s="37" t="s">
        <v>7819</v>
      </c>
      <c r="B557" s="40" t="s">
        <v>7845</v>
      </c>
      <c r="C557" s="38" t="s">
        <v>9309</v>
      </c>
      <c r="D557" s="38" t="s">
        <v>7850</v>
      </c>
      <c r="E557" s="38" t="s">
        <v>7929</v>
      </c>
      <c r="F557" s="37" t="s">
        <v>7820</v>
      </c>
      <c r="G557" s="37" t="s">
        <v>8374</v>
      </c>
      <c r="H557" s="39">
        <v>6.9696999999999996</v>
      </c>
      <c r="I557" s="39">
        <v>30</v>
      </c>
      <c r="J557" s="39">
        <v>75</v>
      </c>
      <c r="K557" s="39">
        <v>6.0606</v>
      </c>
      <c r="L557" s="38">
        <v>1</v>
      </c>
    </row>
    <row r="558" spans="1:12" x14ac:dyDescent="0.25">
      <c r="A558" s="37" t="s">
        <v>7821</v>
      </c>
      <c r="B558" s="40" t="s">
        <v>7845</v>
      </c>
      <c r="C558" s="38" t="s">
        <v>9311</v>
      </c>
      <c r="D558" s="38" t="s">
        <v>7905</v>
      </c>
      <c r="E558" s="38" t="s">
        <v>7929</v>
      </c>
      <c r="F558" s="37" t="s">
        <v>7822</v>
      </c>
      <c r="G558" s="37" t="s">
        <v>8375</v>
      </c>
      <c r="H558" s="39">
        <v>72.833299999999994</v>
      </c>
      <c r="I558" s="39">
        <v>235</v>
      </c>
      <c r="J558" s="39">
        <v>585</v>
      </c>
      <c r="K558" s="39">
        <v>63.333300000000001</v>
      </c>
      <c r="L558" s="38">
        <v>1</v>
      </c>
    </row>
    <row r="559" spans="1:12" x14ac:dyDescent="0.25">
      <c r="A559" s="37" t="s">
        <v>7823</v>
      </c>
      <c r="B559" s="40" t="s">
        <v>7845</v>
      </c>
      <c r="C559" s="38" t="s">
        <v>9311</v>
      </c>
      <c r="D559" s="38" t="s">
        <v>7905</v>
      </c>
      <c r="E559" s="38" t="s">
        <v>7929</v>
      </c>
      <c r="F559" s="37" t="s">
        <v>7824</v>
      </c>
      <c r="G559" s="37" t="s">
        <v>8375</v>
      </c>
      <c r="H559" s="39">
        <v>72.833299999999994</v>
      </c>
      <c r="I559" s="39">
        <v>235</v>
      </c>
      <c r="J559" s="39">
        <v>585</v>
      </c>
      <c r="K559" s="39">
        <v>63.333300000000001</v>
      </c>
      <c r="L559" s="38">
        <v>1</v>
      </c>
    </row>
    <row r="560" spans="1:12" x14ac:dyDescent="0.25">
      <c r="A560" s="37" t="s">
        <v>7825</v>
      </c>
      <c r="B560" s="40" t="s">
        <v>7845</v>
      </c>
      <c r="C560" s="38" t="s">
        <v>9311</v>
      </c>
      <c r="D560" s="38" t="s">
        <v>7905</v>
      </c>
      <c r="E560" s="38" t="s">
        <v>7929</v>
      </c>
      <c r="F560" s="37" t="s">
        <v>7826</v>
      </c>
      <c r="G560" s="37" t="s">
        <v>7910</v>
      </c>
      <c r="H560" s="39">
        <v>72.833299999999994</v>
      </c>
      <c r="I560" s="39">
        <v>235</v>
      </c>
      <c r="J560" s="39">
        <v>585</v>
      </c>
      <c r="K560" s="39">
        <v>63.333300000000001</v>
      </c>
      <c r="L560" s="38">
        <v>1</v>
      </c>
    </row>
    <row r="561" spans="1:12" x14ac:dyDescent="0.25">
      <c r="A561" s="37" t="s">
        <v>7827</v>
      </c>
      <c r="B561" s="40" t="s">
        <v>7845</v>
      </c>
      <c r="C561" s="38" t="s">
        <v>9311</v>
      </c>
      <c r="D561" s="38" t="s">
        <v>7905</v>
      </c>
      <c r="E561" s="38" t="s">
        <v>7929</v>
      </c>
      <c r="F561" s="37" t="s">
        <v>7828</v>
      </c>
      <c r="G561" s="37" t="s">
        <v>8376</v>
      </c>
      <c r="H561" s="39">
        <v>99.318200000000004</v>
      </c>
      <c r="I561" s="39">
        <v>315</v>
      </c>
      <c r="J561" s="39">
        <v>785</v>
      </c>
      <c r="K561" s="39">
        <v>86.363600000000005</v>
      </c>
      <c r="L561" s="38">
        <v>1</v>
      </c>
    </row>
    <row r="562" spans="1:12" x14ac:dyDescent="0.25">
      <c r="A562" s="37" t="s">
        <v>7829</v>
      </c>
      <c r="B562" s="40" t="s">
        <v>7845</v>
      </c>
      <c r="C562" s="38" t="s">
        <v>9311</v>
      </c>
      <c r="D562" s="38" t="s">
        <v>7905</v>
      </c>
      <c r="E562" s="38" t="s">
        <v>7929</v>
      </c>
      <c r="F562" s="37" t="s">
        <v>7830</v>
      </c>
      <c r="G562" s="37" t="s">
        <v>8376</v>
      </c>
      <c r="H562" s="39">
        <v>99.318200000000004</v>
      </c>
      <c r="I562" s="39">
        <v>315</v>
      </c>
      <c r="J562" s="39">
        <v>785</v>
      </c>
      <c r="K562" s="39">
        <v>86.363600000000005</v>
      </c>
      <c r="L562" s="38">
        <v>1</v>
      </c>
    </row>
    <row r="563" spans="1:12" x14ac:dyDescent="0.25">
      <c r="A563" s="37" t="s">
        <v>7831</v>
      </c>
      <c r="B563" s="40" t="s">
        <v>7845</v>
      </c>
      <c r="C563" s="38" t="s">
        <v>9311</v>
      </c>
      <c r="D563" s="38" t="s">
        <v>7905</v>
      </c>
      <c r="E563" s="38" t="s">
        <v>7929</v>
      </c>
      <c r="F563" s="37" t="s">
        <v>7828</v>
      </c>
      <c r="G563" s="37" t="s">
        <v>8377</v>
      </c>
      <c r="H563" s="39">
        <v>113.08329999999999</v>
      </c>
      <c r="I563" s="39">
        <v>360</v>
      </c>
      <c r="J563" s="39">
        <v>899</v>
      </c>
      <c r="K563" s="39">
        <v>98.333299999999994</v>
      </c>
      <c r="L563" s="38">
        <v>1</v>
      </c>
    </row>
    <row r="564" spans="1:12" x14ac:dyDescent="0.25">
      <c r="A564" s="37" t="s">
        <v>7832</v>
      </c>
      <c r="B564" s="40" t="s">
        <v>7845</v>
      </c>
      <c r="C564" s="38" t="s">
        <v>9311</v>
      </c>
      <c r="D564" s="38" t="s">
        <v>7905</v>
      </c>
      <c r="E564" s="38" t="s">
        <v>7929</v>
      </c>
      <c r="F564" s="37" t="s">
        <v>7830</v>
      </c>
      <c r="G564" s="37" t="s">
        <v>8377</v>
      </c>
      <c r="H564" s="39">
        <v>113.08329999999999</v>
      </c>
      <c r="I564" s="39">
        <v>360</v>
      </c>
      <c r="J564" s="39">
        <v>899</v>
      </c>
      <c r="K564" s="39">
        <v>98.333299999999994</v>
      </c>
      <c r="L564" s="38">
        <v>1</v>
      </c>
    </row>
    <row r="565" spans="1:12" x14ac:dyDescent="0.25">
      <c r="A565" s="37" t="s">
        <v>7833</v>
      </c>
      <c r="B565" s="40" t="s">
        <v>7845</v>
      </c>
      <c r="C565" s="38" t="s">
        <v>9311</v>
      </c>
      <c r="D565" s="38" t="s">
        <v>7905</v>
      </c>
      <c r="E565" s="38" t="s">
        <v>7929</v>
      </c>
      <c r="F565" s="37" t="s">
        <v>7828</v>
      </c>
      <c r="G565" s="37" t="s">
        <v>8378</v>
      </c>
      <c r="H565" s="39">
        <v>145.66669999999999</v>
      </c>
      <c r="I565" s="39">
        <v>430</v>
      </c>
      <c r="J565" s="39">
        <v>1075</v>
      </c>
      <c r="K565" s="39">
        <v>126.66670000000001</v>
      </c>
      <c r="L565" s="38">
        <v>1</v>
      </c>
    </row>
    <row r="566" spans="1:12" x14ac:dyDescent="0.25">
      <c r="A566" s="37" t="s">
        <v>7834</v>
      </c>
      <c r="B566" s="40" t="s">
        <v>7845</v>
      </c>
      <c r="C566" s="38" t="s">
        <v>9311</v>
      </c>
      <c r="D566" s="38" t="s">
        <v>7905</v>
      </c>
      <c r="E566" s="38" t="s">
        <v>7929</v>
      </c>
      <c r="F566" s="37" t="s">
        <v>7830</v>
      </c>
      <c r="G566" s="37" t="s">
        <v>8378</v>
      </c>
      <c r="H566" s="39">
        <v>145.66669999999999</v>
      </c>
      <c r="I566" s="39">
        <v>430</v>
      </c>
      <c r="J566" s="39">
        <v>1075</v>
      </c>
      <c r="K566" s="39">
        <v>126.66670000000001</v>
      </c>
      <c r="L566" s="38">
        <v>1</v>
      </c>
    </row>
    <row r="567" spans="1:12" x14ac:dyDescent="0.25">
      <c r="A567" s="37" t="s">
        <v>7835</v>
      </c>
      <c r="B567" s="40" t="s">
        <v>7845</v>
      </c>
      <c r="C567" s="38" t="s">
        <v>9311</v>
      </c>
      <c r="D567" s="38" t="s">
        <v>7911</v>
      </c>
      <c r="E567" s="38" t="s">
        <v>7929</v>
      </c>
      <c r="F567" s="37" t="s">
        <v>7836</v>
      </c>
      <c r="G567" s="37" t="s">
        <v>8379</v>
      </c>
      <c r="H567" s="39">
        <v>126.5</v>
      </c>
      <c r="I567" s="39">
        <v>390</v>
      </c>
      <c r="J567" s="39">
        <v>975</v>
      </c>
      <c r="K567" s="39">
        <v>110</v>
      </c>
      <c r="L567" s="38">
        <v>1</v>
      </c>
    </row>
    <row r="568" spans="1:12" x14ac:dyDescent="0.25">
      <c r="A568" s="37" t="s">
        <v>7837</v>
      </c>
      <c r="B568" s="40" t="s">
        <v>7845</v>
      </c>
      <c r="C568" s="38" t="s">
        <v>9311</v>
      </c>
      <c r="D568" s="38" t="s">
        <v>7911</v>
      </c>
      <c r="E568" s="38" t="s">
        <v>7929</v>
      </c>
      <c r="F568" s="37" t="s">
        <v>7838</v>
      </c>
      <c r="G568" s="37" t="s">
        <v>8379</v>
      </c>
      <c r="H568" s="39">
        <v>126.5</v>
      </c>
      <c r="I568" s="39">
        <v>390</v>
      </c>
      <c r="J568" s="39">
        <v>975</v>
      </c>
      <c r="K568" s="39">
        <v>110</v>
      </c>
      <c r="L568" s="38">
        <v>1</v>
      </c>
    </row>
    <row r="569" spans="1:12" x14ac:dyDescent="0.25">
      <c r="A569" s="37" t="s">
        <v>7839</v>
      </c>
      <c r="B569" s="40" t="s">
        <v>7845</v>
      </c>
      <c r="C569" s="38" t="s">
        <v>9311</v>
      </c>
      <c r="D569" s="38" t="s">
        <v>7856</v>
      </c>
      <c r="E569" s="38" t="s">
        <v>7929</v>
      </c>
      <c r="F569" s="37" t="s">
        <v>7840</v>
      </c>
      <c r="G569" s="37" t="s">
        <v>8380</v>
      </c>
      <c r="H569" s="39">
        <v>21.083300000000001</v>
      </c>
      <c r="I569" s="39">
        <v>75</v>
      </c>
      <c r="J569" s="39">
        <v>185</v>
      </c>
      <c r="K569" s="39">
        <v>18.333300000000001</v>
      </c>
      <c r="L569" s="38">
        <v>1</v>
      </c>
    </row>
    <row r="570" spans="1:12" x14ac:dyDescent="0.25">
      <c r="A570" s="37" t="s">
        <v>7841</v>
      </c>
      <c r="B570" s="40" t="s">
        <v>7845</v>
      </c>
      <c r="C570" s="38" t="s">
        <v>9308</v>
      </c>
      <c r="D570" s="38" t="s">
        <v>7931</v>
      </c>
      <c r="E570" s="38" t="s">
        <v>7929</v>
      </c>
      <c r="F570" s="37" t="s">
        <v>7842</v>
      </c>
      <c r="G570" s="37" t="s">
        <v>8381</v>
      </c>
      <c r="H570" s="39">
        <v>21.083300000000001</v>
      </c>
      <c r="I570" s="39">
        <v>75</v>
      </c>
      <c r="J570" s="39">
        <v>185</v>
      </c>
      <c r="K570" s="39">
        <v>18.333300000000001</v>
      </c>
      <c r="L570" s="38">
        <v>1</v>
      </c>
    </row>
  </sheetData>
  <autoFilter ref="A1:L570" xr:uid="{E044B974-FE11-46D9-86C0-7B5BD77C5402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DF33-79D1-493B-BB68-67318245F52D}">
  <sheetPr codeName="Feuil6"/>
  <dimension ref="A1:R239"/>
  <sheetViews>
    <sheetView topLeftCell="A208" workbookViewId="0">
      <selection activeCell="F232" sqref="F232"/>
    </sheetView>
  </sheetViews>
  <sheetFormatPr baseColWidth="10" defaultRowHeight="15" x14ac:dyDescent="0.25"/>
  <cols>
    <col min="3" max="3" width="22.85546875" customWidth="1"/>
    <col min="4" max="4" width="7.140625" bestFit="1" customWidth="1"/>
    <col min="5" max="5" width="9" bestFit="1" customWidth="1"/>
    <col min="6" max="6" width="22.28515625" customWidth="1"/>
    <col min="7" max="7" width="12" bestFit="1" customWidth="1"/>
    <col min="8" max="8" width="9.5703125" bestFit="1" customWidth="1"/>
    <col min="9" max="9" width="14.140625" bestFit="1" customWidth="1"/>
    <col min="10" max="10" width="8.7109375" bestFit="1" customWidth="1"/>
    <col min="11" max="11" width="22.28515625" bestFit="1" customWidth="1"/>
    <col min="12" max="12" width="5.7109375" bestFit="1" customWidth="1"/>
    <col min="13" max="13" width="12" bestFit="1" customWidth="1"/>
    <col min="14" max="14" width="13.85546875" bestFit="1" customWidth="1"/>
    <col min="15" max="15" width="17.42578125" customWidth="1"/>
    <col min="16" max="16" width="16.7109375" customWidth="1"/>
    <col min="17" max="17" width="12.140625" bestFit="1" customWidth="1"/>
    <col min="18" max="18" width="18" bestFit="1" customWidth="1"/>
  </cols>
  <sheetData>
    <row r="1" spans="1:18" x14ac:dyDescent="0.25">
      <c r="A1" s="1" t="s">
        <v>124</v>
      </c>
      <c r="B1" s="1" t="s">
        <v>125</v>
      </c>
      <c r="C1" s="17" t="s">
        <v>7137</v>
      </c>
      <c r="D1" s="1" t="s">
        <v>0</v>
      </c>
      <c r="E1" s="1" t="s">
        <v>1</v>
      </c>
      <c r="F1" s="17" t="s">
        <v>7138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6" t="s">
        <v>7139</v>
      </c>
      <c r="P1" s="16" t="s">
        <v>7140</v>
      </c>
      <c r="Q1" s="16" t="s">
        <v>7141</v>
      </c>
      <c r="R1" s="16" t="s">
        <v>7142</v>
      </c>
    </row>
    <row r="2" spans="1:18" x14ac:dyDescent="0.25">
      <c r="A2" s="26">
        <v>2383</v>
      </c>
      <c r="B2" s="2">
        <v>1745</v>
      </c>
      <c r="C2" s="3">
        <v>39836</v>
      </c>
      <c r="D2" s="28" t="s">
        <v>10</v>
      </c>
      <c r="E2" s="26">
        <v>0</v>
      </c>
      <c r="F2" s="27">
        <v>39872</v>
      </c>
      <c r="G2" s="26">
        <v>0</v>
      </c>
      <c r="H2" s="29">
        <v>0</v>
      </c>
      <c r="I2" s="26" t="b">
        <v>1</v>
      </c>
      <c r="J2" s="26">
        <v>1524</v>
      </c>
      <c r="K2" s="26" t="b">
        <v>0</v>
      </c>
      <c r="L2" s="26" t="b">
        <v>0</v>
      </c>
      <c r="M2" s="26">
        <v>0</v>
      </c>
      <c r="N2" s="30">
        <v>6</v>
      </c>
      <c r="O2">
        <f t="shared" ref="O2:O65" si="0">DATEDIF(C2,DateFin,"d")</f>
        <v>1026</v>
      </c>
      <c r="P2">
        <f t="shared" ref="P2:P65" si="1">DATEDIF(F2,DateFin,"d")</f>
        <v>990</v>
      </c>
      <c r="Q2" s="11">
        <f ca="1">TODAY()-O2</f>
        <v>45029</v>
      </c>
      <c r="R2" s="11">
        <f ca="1">TODAY()-P2</f>
        <v>45065</v>
      </c>
    </row>
    <row r="3" spans="1:18" x14ac:dyDescent="0.25">
      <c r="A3" s="2">
        <v>2384</v>
      </c>
      <c r="B3" s="2">
        <v>707</v>
      </c>
      <c r="C3" s="3">
        <v>39837</v>
      </c>
      <c r="D3" s="4" t="s">
        <v>10</v>
      </c>
      <c r="E3" s="2">
        <v>0</v>
      </c>
      <c r="F3" s="3">
        <f>C3+30</f>
        <v>39867</v>
      </c>
      <c r="G3" s="2">
        <v>0</v>
      </c>
      <c r="H3" s="5">
        <v>0</v>
      </c>
      <c r="I3" s="2" t="b">
        <v>1</v>
      </c>
      <c r="J3" s="2">
        <v>1524</v>
      </c>
      <c r="K3" s="2" t="b">
        <v>0</v>
      </c>
      <c r="L3" s="2" t="b">
        <v>0</v>
      </c>
      <c r="M3" s="2">
        <v>0</v>
      </c>
      <c r="N3" s="6">
        <v>6</v>
      </c>
      <c r="O3">
        <f t="shared" si="0"/>
        <v>1025</v>
      </c>
      <c r="P3">
        <f t="shared" si="1"/>
        <v>995</v>
      </c>
      <c r="Q3" s="11">
        <f ca="1">TODAY()-O3</f>
        <v>45030</v>
      </c>
      <c r="R3" s="11">
        <f ca="1">TODAY()-P3</f>
        <v>45060</v>
      </c>
    </row>
    <row r="4" spans="1:18" x14ac:dyDescent="0.25">
      <c r="A4" s="26">
        <v>2385</v>
      </c>
      <c r="B4" s="2">
        <v>2937</v>
      </c>
      <c r="C4" s="3">
        <v>39842</v>
      </c>
      <c r="D4" s="4" t="s">
        <v>10</v>
      </c>
      <c r="E4" s="2">
        <v>0</v>
      </c>
      <c r="F4" s="3">
        <f t="shared" ref="F4:F21" si="2">C4+30</f>
        <v>39872</v>
      </c>
      <c r="G4" s="2">
        <v>0</v>
      </c>
      <c r="H4" s="5">
        <v>0</v>
      </c>
      <c r="I4" s="2" t="b">
        <v>1</v>
      </c>
      <c r="J4" s="2">
        <v>1524</v>
      </c>
      <c r="K4" s="2" t="b">
        <v>0</v>
      </c>
      <c r="L4" s="2" t="b">
        <v>0</v>
      </c>
      <c r="M4" s="2">
        <v>0</v>
      </c>
      <c r="N4" s="6">
        <v>6</v>
      </c>
      <c r="O4">
        <f t="shared" si="0"/>
        <v>1020</v>
      </c>
      <c r="P4">
        <f t="shared" si="1"/>
        <v>990</v>
      </c>
      <c r="Q4" s="11">
        <f t="shared" ref="Q4:R21" ca="1" si="3">TODAY()-O4</f>
        <v>45035</v>
      </c>
      <c r="R4" s="11">
        <f t="shared" ca="1" si="3"/>
        <v>45065</v>
      </c>
    </row>
    <row r="5" spans="1:18" x14ac:dyDescent="0.25">
      <c r="A5" s="2">
        <v>2386</v>
      </c>
      <c r="B5" s="2">
        <v>3647</v>
      </c>
      <c r="C5" s="3">
        <v>39844</v>
      </c>
      <c r="D5" s="4" t="s">
        <v>10</v>
      </c>
      <c r="E5" s="2">
        <v>0</v>
      </c>
      <c r="F5" s="3">
        <f t="shared" si="2"/>
        <v>39874</v>
      </c>
      <c r="G5" s="2">
        <v>0</v>
      </c>
      <c r="H5" s="5">
        <v>0</v>
      </c>
      <c r="I5" s="2" t="b">
        <v>1</v>
      </c>
      <c r="J5" s="2">
        <v>640</v>
      </c>
      <c r="K5" s="2" t="b">
        <v>1</v>
      </c>
      <c r="L5" s="2" t="b">
        <v>0</v>
      </c>
      <c r="M5" s="2">
        <v>0</v>
      </c>
      <c r="N5" s="6">
        <v>6</v>
      </c>
      <c r="O5">
        <f t="shared" si="0"/>
        <v>1018</v>
      </c>
      <c r="P5">
        <f t="shared" si="1"/>
        <v>988</v>
      </c>
      <c r="Q5" s="11">
        <f t="shared" ca="1" si="3"/>
        <v>45037</v>
      </c>
      <c r="R5" s="11">
        <f t="shared" ca="1" si="3"/>
        <v>45067</v>
      </c>
    </row>
    <row r="6" spans="1:18" x14ac:dyDescent="0.25">
      <c r="A6" s="26">
        <v>2387</v>
      </c>
      <c r="B6" s="2">
        <v>2952</v>
      </c>
      <c r="C6" s="3">
        <v>39844</v>
      </c>
      <c r="D6" s="4" t="s">
        <v>10</v>
      </c>
      <c r="E6" s="2">
        <v>0</v>
      </c>
      <c r="F6" s="3">
        <f t="shared" si="2"/>
        <v>39874</v>
      </c>
      <c r="G6" s="2">
        <v>30</v>
      </c>
      <c r="H6" s="5">
        <v>0.03</v>
      </c>
      <c r="I6" s="2" t="b">
        <v>1</v>
      </c>
      <c r="J6" s="2">
        <v>1524</v>
      </c>
      <c r="K6" s="2" t="b">
        <v>0</v>
      </c>
      <c r="L6" s="2" t="b">
        <v>0</v>
      </c>
      <c r="M6" s="2">
        <v>0</v>
      </c>
      <c r="N6" s="6">
        <v>6</v>
      </c>
      <c r="O6">
        <f t="shared" si="0"/>
        <v>1018</v>
      </c>
      <c r="P6">
        <f t="shared" si="1"/>
        <v>988</v>
      </c>
      <c r="Q6" s="11">
        <f t="shared" ca="1" si="3"/>
        <v>45037</v>
      </c>
      <c r="R6" s="11">
        <f t="shared" ca="1" si="3"/>
        <v>45067</v>
      </c>
    </row>
    <row r="7" spans="1:18" x14ac:dyDescent="0.25">
      <c r="A7" s="2">
        <v>2388</v>
      </c>
      <c r="B7" s="2">
        <v>933</v>
      </c>
      <c r="C7" s="3">
        <v>39848</v>
      </c>
      <c r="D7" s="4" t="s">
        <v>10</v>
      </c>
      <c r="E7" s="2">
        <v>0</v>
      </c>
      <c r="F7" s="3">
        <f t="shared" si="2"/>
        <v>39878</v>
      </c>
      <c r="G7" s="2">
        <v>0</v>
      </c>
      <c r="H7" s="5">
        <v>0</v>
      </c>
      <c r="I7" s="2" t="b">
        <v>1</v>
      </c>
      <c r="J7" s="2">
        <v>1524</v>
      </c>
      <c r="K7" s="2" t="b">
        <v>0</v>
      </c>
      <c r="L7" s="2" t="b">
        <v>0</v>
      </c>
      <c r="M7" s="2">
        <v>0</v>
      </c>
      <c r="N7" s="6">
        <v>6</v>
      </c>
      <c r="O7">
        <f t="shared" si="0"/>
        <v>1014</v>
      </c>
      <c r="P7">
        <f t="shared" si="1"/>
        <v>984</v>
      </c>
      <c r="Q7" s="11">
        <f t="shared" ca="1" si="3"/>
        <v>45041</v>
      </c>
      <c r="R7" s="11">
        <f t="shared" ca="1" si="3"/>
        <v>45071</v>
      </c>
    </row>
    <row r="8" spans="1:18" x14ac:dyDescent="0.25">
      <c r="A8" s="26">
        <v>2389</v>
      </c>
      <c r="B8" s="2">
        <v>3005</v>
      </c>
      <c r="C8" s="3">
        <v>39856</v>
      </c>
      <c r="D8" s="4" t="s">
        <v>10</v>
      </c>
      <c r="E8" s="2">
        <v>0</v>
      </c>
      <c r="F8" s="3">
        <f t="shared" si="2"/>
        <v>39886</v>
      </c>
      <c r="G8" s="2">
        <v>22</v>
      </c>
      <c r="H8" s="5">
        <v>0</v>
      </c>
      <c r="I8" s="2" t="b">
        <v>1</v>
      </c>
      <c r="J8" s="2">
        <v>1524</v>
      </c>
      <c r="K8" s="2" t="b">
        <v>0</v>
      </c>
      <c r="L8" s="2" t="b">
        <v>0</v>
      </c>
      <c r="M8" s="2">
        <v>0</v>
      </c>
      <c r="N8" s="6">
        <v>6</v>
      </c>
      <c r="O8">
        <f t="shared" si="0"/>
        <v>1006</v>
      </c>
      <c r="P8">
        <f t="shared" si="1"/>
        <v>976</v>
      </c>
      <c r="Q8" s="11">
        <f t="shared" ca="1" si="3"/>
        <v>45049</v>
      </c>
      <c r="R8" s="11">
        <f t="shared" ca="1" si="3"/>
        <v>45079</v>
      </c>
    </row>
    <row r="9" spans="1:18" x14ac:dyDescent="0.25">
      <c r="A9" s="2">
        <v>2390</v>
      </c>
      <c r="B9" s="2">
        <v>2937</v>
      </c>
      <c r="C9" s="3">
        <v>39864</v>
      </c>
      <c r="D9" s="4" t="s">
        <v>10</v>
      </c>
      <c r="E9" s="2">
        <v>0</v>
      </c>
      <c r="F9" s="3">
        <f t="shared" si="2"/>
        <v>39894</v>
      </c>
      <c r="G9" s="2">
        <v>19</v>
      </c>
      <c r="H9" s="5">
        <v>0</v>
      </c>
      <c r="I9" s="2" t="b">
        <v>1</v>
      </c>
      <c r="J9" s="2">
        <v>1524</v>
      </c>
      <c r="K9" s="2" t="b">
        <v>1</v>
      </c>
      <c r="L9" s="2" t="b">
        <v>0</v>
      </c>
      <c r="M9" s="2">
        <v>0</v>
      </c>
      <c r="N9" s="6">
        <v>6</v>
      </c>
      <c r="O9">
        <f t="shared" si="0"/>
        <v>998</v>
      </c>
      <c r="P9">
        <f t="shared" si="1"/>
        <v>968</v>
      </c>
      <c r="Q9" s="11">
        <f t="shared" ca="1" si="3"/>
        <v>45057</v>
      </c>
      <c r="R9" s="11">
        <f t="shared" ca="1" si="3"/>
        <v>45087</v>
      </c>
    </row>
    <row r="10" spans="1:18" x14ac:dyDescent="0.25">
      <c r="A10" s="26">
        <v>2391</v>
      </c>
      <c r="B10" s="2">
        <v>2971</v>
      </c>
      <c r="C10" s="3">
        <v>39872</v>
      </c>
      <c r="D10" s="4" t="s">
        <v>10</v>
      </c>
      <c r="E10" s="2">
        <v>0</v>
      </c>
      <c r="F10" s="3">
        <f t="shared" si="2"/>
        <v>39902</v>
      </c>
      <c r="G10" s="2">
        <v>0</v>
      </c>
      <c r="H10" s="5">
        <v>0</v>
      </c>
      <c r="I10" s="2" t="b">
        <v>1</v>
      </c>
      <c r="J10" s="2">
        <v>640</v>
      </c>
      <c r="K10" s="2" t="b">
        <v>1</v>
      </c>
      <c r="L10" s="2" t="b">
        <v>0</v>
      </c>
      <c r="M10" s="2">
        <v>0</v>
      </c>
      <c r="N10" s="6">
        <v>6</v>
      </c>
      <c r="O10">
        <f t="shared" si="0"/>
        <v>990</v>
      </c>
      <c r="P10">
        <f t="shared" si="1"/>
        <v>960</v>
      </c>
      <c r="Q10" s="11">
        <f t="shared" ca="1" si="3"/>
        <v>45065</v>
      </c>
      <c r="R10" s="11">
        <f t="shared" ca="1" si="3"/>
        <v>45095</v>
      </c>
    </row>
    <row r="11" spans="1:18" x14ac:dyDescent="0.25">
      <c r="A11" s="2">
        <v>2392</v>
      </c>
      <c r="B11" s="2">
        <v>3620</v>
      </c>
      <c r="C11" s="3">
        <v>39880</v>
      </c>
      <c r="D11" s="4" t="s">
        <v>10</v>
      </c>
      <c r="E11" s="2">
        <v>0</v>
      </c>
      <c r="F11" s="3">
        <f t="shared" si="2"/>
        <v>39910</v>
      </c>
      <c r="G11" s="2">
        <v>0</v>
      </c>
      <c r="H11" s="5">
        <v>0.03</v>
      </c>
      <c r="I11" s="2" t="b">
        <v>1</v>
      </c>
      <c r="J11" s="2">
        <v>1524</v>
      </c>
      <c r="K11" s="2" t="b">
        <v>0</v>
      </c>
      <c r="L11" s="2" t="b">
        <v>0</v>
      </c>
      <c r="M11" s="2">
        <v>0</v>
      </c>
      <c r="N11" s="6">
        <v>6</v>
      </c>
      <c r="O11">
        <f t="shared" si="0"/>
        <v>982</v>
      </c>
      <c r="P11">
        <f t="shared" si="1"/>
        <v>952</v>
      </c>
      <c r="Q11" s="11">
        <f t="shared" ca="1" si="3"/>
        <v>45073</v>
      </c>
      <c r="R11" s="11">
        <f t="shared" ca="1" si="3"/>
        <v>45103</v>
      </c>
    </row>
    <row r="12" spans="1:18" x14ac:dyDescent="0.25">
      <c r="A12" s="26">
        <v>2393</v>
      </c>
      <c r="B12" s="2">
        <v>2421</v>
      </c>
      <c r="C12" s="3">
        <v>39888</v>
      </c>
      <c r="D12" s="4" t="s">
        <v>10</v>
      </c>
      <c r="E12" s="2">
        <v>0</v>
      </c>
      <c r="F12" s="3">
        <f t="shared" si="2"/>
        <v>39918</v>
      </c>
      <c r="G12" s="2">
        <v>0</v>
      </c>
      <c r="H12" s="5">
        <v>0</v>
      </c>
      <c r="I12" s="2" t="b">
        <v>1</v>
      </c>
      <c r="J12" s="2">
        <v>1524</v>
      </c>
      <c r="K12" s="2" t="b">
        <v>0</v>
      </c>
      <c r="L12" s="2" t="b">
        <v>0</v>
      </c>
      <c r="M12" s="2">
        <v>0</v>
      </c>
      <c r="N12" s="6">
        <v>6</v>
      </c>
      <c r="O12">
        <f t="shared" si="0"/>
        <v>974</v>
      </c>
      <c r="P12">
        <f t="shared" si="1"/>
        <v>944</v>
      </c>
      <c r="Q12" s="11">
        <f t="shared" ca="1" si="3"/>
        <v>45081</v>
      </c>
      <c r="R12" s="11">
        <f t="shared" ca="1" si="3"/>
        <v>45111</v>
      </c>
    </row>
    <row r="13" spans="1:18" x14ac:dyDescent="0.25">
      <c r="A13" s="2">
        <v>2394</v>
      </c>
      <c r="B13" s="2">
        <v>3659</v>
      </c>
      <c r="C13" s="3">
        <v>39896</v>
      </c>
      <c r="D13" s="4" t="s">
        <v>10</v>
      </c>
      <c r="E13" s="2">
        <v>0</v>
      </c>
      <c r="F13" s="3">
        <f t="shared" si="2"/>
        <v>39926</v>
      </c>
      <c r="G13" s="2">
        <v>85</v>
      </c>
      <c r="H13" s="5">
        <v>0</v>
      </c>
      <c r="I13" s="2" t="b">
        <v>1</v>
      </c>
      <c r="J13" s="2">
        <v>1524</v>
      </c>
      <c r="K13" s="2" t="b">
        <v>0</v>
      </c>
      <c r="L13" s="2" t="b">
        <v>0</v>
      </c>
      <c r="M13" s="2">
        <v>0</v>
      </c>
      <c r="N13" s="6">
        <v>6</v>
      </c>
      <c r="O13">
        <f t="shared" si="0"/>
        <v>966</v>
      </c>
      <c r="P13">
        <f t="shared" si="1"/>
        <v>936</v>
      </c>
      <c r="Q13" s="11">
        <f t="shared" ca="1" si="3"/>
        <v>45089</v>
      </c>
      <c r="R13" s="11">
        <f t="shared" ca="1" si="3"/>
        <v>45119</v>
      </c>
    </row>
    <row r="14" spans="1:18" x14ac:dyDescent="0.25">
      <c r="A14" s="26">
        <v>2395</v>
      </c>
      <c r="B14" s="2">
        <v>1277</v>
      </c>
      <c r="C14" s="3">
        <v>39904</v>
      </c>
      <c r="D14" s="4" t="s">
        <v>10</v>
      </c>
      <c r="E14" s="2">
        <v>500</v>
      </c>
      <c r="F14" s="3">
        <f t="shared" si="2"/>
        <v>39934</v>
      </c>
      <c r="G14" s="2">
        <v>69</v>
      </c>
      <c r="H14" s="5">
        <v>0</v>
      </c>
      <c r="I14" s="2" t="b">
        <v>1</v>
      </c>
      <c r="J14" s="2">
        <v>1524</v>
      </c>
      <c r="K14" s="2" t="b">
        <v>0</v>
      </c>
      <c r="L14" s="2" t="b">
        <v>0</v>
      </c>
      <c r="M14" s="2">
        <v>0</v>
      </c>
      <c r="N14" s="6">
        <v>6</v>
      </c>
      <c r="O14">
        <f t="shared" si="0"/>
        <v>958</v>
      </c>
      <c r="P14">
        <f t="shared" si="1"/>
        <v>928</v>
      </c>
      <c r="Q14" s="11">
        <f t="shared" ca="1" si="3"/>
        <v>45097</v>
      </c>
      <c r="R14" s="11">
        <f t="shared" ca="1" si="3"/>
        <v>45127</v>
      </c>
    </row>
    <row r="15" spans="1:18" x14ac:dyDescent="0.25">
      <c r="A15" s="2">
        <v>2396</v>
      </c>
      <c r="B15" s="2">
        <v>3660</v>
      </c>
      <c r="C15" s="3">
        <v>39912</v>
      </c>
      <c r="D15" s="4" t="s">
        <v>10</v>
      </c>
      <c r="E15" s="2">
        <v>0</v>
      </c>
      <c r="F15" s="3">
        <f t="shared" si="2"/>
        <v>39942</v>
      </c>
      <c r="G15" s="2">
        <v>25</v>
      </c>
      <c r="H15" s="5">
        <v>0</v>
      </c>
      <c r="I15" s="2" t="b">
        <v>1</v>
      </c>
      <c r="J15" s="2">
        <v>640</v>
      </c>
      <c r="K15" s="2" t="b">
        <v>1</v>
      </c>
      <c r="L15" s="2" t="b">
        <v>0</v>
      </c>
      <c r="M15" s="2">
        <v>0</v>
      </c>
      <c r="N15" s="6">
        <v>6</v>
      </c>
      <c r="O15">
        <f t="shared" si="0"/>
        <v>950</v>
      </c>
      <c r="P15">
        <f t="shared" si="1"/>
        <v>920</v>
      </c>
      <c r="Q15" s="11">
        <f t="shared" ca="1" si="3"/>
        <v>45105</v>
      </c>
      <c r="R15" s="11">
        <f t="shared" ca="1" si="3"/>
        <v>45135</v>
      </c>
    </row>
    <row r="16" spans="1:18" x14ac:dyDescent="0.25">
      <c r="A16" s="26">
        <v>2397</v>
      </c>
      <c r="B16" s="2">
        <v>2478</v>
      </c>
      <c r="C16" s="3">
        <v>39920</v>
      </c>
      <c r="D16" s="4" t="s">
        <v>10</v>
      </c>
      <c r="E16" s="2">
        <v>0</v>
      </c>
      <c r="F16" s="3">
        <f t="shared" si="2"/>
        <v>39950</v>
      </c>
      <c r="G16" s="2">
        <v>14</v>
      </c>
      <c r="H16" s="5">
        <v>0</v>
      </c>
      <c r="I16" s="2" t="b">
        <v>1</v>
      </c>
      <c r="J16" s="2">
        <v>640</v>
      </c>
      <c r="K16" s="2" t="b">
        <v>1</v>
      </c>
      <c r="L16" s="2" t="b">
        <v>0</v>
      </c>
      <c r="M16" s="2">
        <v>0</v>
      </c>
      <c r="N16" s="6">
        <v>6</v>
      </c>
      <c r="O16">
        <f t="shared" si="0"/>
        <v>942</v>
      </c>
      <c r="P16">
        <f t="shared" si="1"/>
        <v>912</v>
      </c>
      <c r="Q16" s="11">
        <f t="shared" ca="1" si="3"/>
        <v>45113</v>
      </c>
      <c r="R16" s="11">
        <f t="shared" ca="1" si="3"/>
        <v>45143</v>
      </c>
    </row>
    <row r="17" spans="1:18" x14ac:dyDescent="0.25">
      <c r="A17" s="2">
        <v>2398</v>
      </c>
      <c r="B17" s="2">
        <v>1546</v>
      </c>
      <c r="C17" s="3">
        <v>39928</v>
      </c>
      <c r="D17" s="4" t="s">
        <v>10</v>
      </c>
      <c r="E17" s="2">
        <v>0</v>
      </c>
      <c r="F17" s="3">
        <f t="shared" si="2"/>
        <v>39958</v>
      </c>
      <c r="G17" s="2">
        <v>92</v>
      </c>
      <c r="H17" s="5">
        <v>0</v>
      </c>
      <c r="I17" s="2" t="b">
        <v>1</v>
      </c>
      <c r="J17" s="2">
        <v>1524</v>
      </c>
      <c r="K17" s="2" t="b">
        <v>0</v>
      </c>
      <c r="L17" s="2" t="b">
        <v>0</v>
      </c>
      <c r="M17" s="2">
        <v>0</v>
      </c>
      <c r="N17" s="6">
        <v>6</v>
      </c>
      <c r="O17">
        <f t="shared" si="0"/>
        <v>934</v>
      </c>
      <c r="P17">
        <f t="shared" si="1"/>
        <v>904</v>
      </c>
      <c r="Q17" s="11">
        <f t="shared" ca="1" si="3"/>
        <v>45121</v>
      </c>
      <c r="R17" s="11">
        <f t="shared" ca="1" si="3"/>
        <v>45151</v>
      </c>
    </row>
    <row r="18" spans="1:18" x14ac:dyDescent="0.25">
      <c r="A18" s="26">
        <v>2399</v>
      </c>
      <c r="B18" s="2">
        <v>720</v>
      </c>
      <c r="C18" s="3">
        <v>39936</v>
      </c>
      <c r="D18" s="4" t="s">
        <v>10</v>
      </c>
      <c r="E18" s="2">
        <v>0</v>
      </c>
      <c r="F18" s="3">
        <f t="shared" si="2"/>
        <v>39966</v>
      </c>
      <c r="G18" s="2">
        <v>32</v>
      </c>
      <c r="H18" s="5">
        <v>0</v>
      </c>
      <c r="I18" s="2" t="b">
        <v>1</v>
      </c>
      <c r="J18" s="2">
        <v>1524</v>
      </c>
      <c r="K18" s="2" t="b">
        <v>0</v>
      </c>
      <c r="L18" s="2" t="b">
        <v>0</v>
      </c>
      <c r="M18" s="2">
        <v>0</v>
      </c>
      <c r="N18" s="6">
        <v>6</v>
      </c>
      <c r="O18">
        <f t="shared" si="0"/>
        <v>926</v>
      </c>
      <c r="P18">
        <f t="shared" si="1"/>
        <v>896</v>
      </c>
      <c r="Q18" s="11">
        <f t="shared" ca="1" si="3"/>
        <v>45129</v>
      </c>
      <c r="R18" s="11">
        <f t="shared" ca="1" si="3"/>
        <v>45159</v>
      </c>
    </row>
    <row r="19" spans="1:18" x14ac:dyDescent="0.25">
      <c r="A19" s="2">
        <v>2400</v>
      </c>
      <c r="B19" s="2">
        <v>1559</v>
      </c>
      <c r="C19" s="3">
        <v>39947</v>
      </c>
      <c r="D19" s="4" t="s">
        <v>10</v>
      </c>
      <c r="E19" s="2">
        <v>0</v>
      </c>
      <c r="F19" s="3">
        <f t="shared" si="2"/>
        <v>39977</v>
      </c>
      <c r="G19" s="2">
        <v>59</v>
      </c>
      <c r="H19" s="5">
        <v>0</v>
      </c>
      <c r="I19" s="2" t="b">
        <v>1</v>
      </c>
      <c r="J19" s="2">
        <v>1524</v>
      </c>
      <c r="K19" s="2" t="b">
        <v>0</v>
      </c>
      <c r="L19" s="2" t="b">
        <v>0</v>
      </c>
      <c r="M19" s="2">
        <v>0</v>
      </c>
      <c r="N19" s="6">
        <v>6</v>
      </c>
      <c r="O19">
        <f t="shared" si="0"/>
        <v>915</v>
      </c>
      <c r="P19">
        <f t="shared" si="1"/>
        <v>885</v>
      </c>
      <c r="Q19" s="11">
        <f t="shared" ca="1" si="3"/>
        <v>45140</v>
      </c>
      <c r="R19" s="11">
        <f t="shared" ca="1" si="3"/>
        <v>45170</v>
      </c>
    </row>
    <row r="20" spans="1:18" x14ac:dyDescent="0.25">
      <c r="A20" s="26">
        <v>2401</v>
      </c>
      <c r="B20" s="2">
        <v>2359</v>
      </c>
      <c r="C20" s="3">
        <v>39955</v>
      </c>
      <c r="D20" s="4" t="s">
        <v>10</v>
      </c>
      <c r="E20" s="2">
        <v>0</v>
      </c>
      <c r="F20" s="3">
        <f t="shared" si="2"/>
        <v>39985</v>
      </c>
      <c r="G20" s="2">
        <v>59</v>
      </c>
      <c r="H20" s="5">
        <v>0.05</v>
      </c>
      <c r="I20" s="2" t="b">
        <v>1</v>
      </c>
      <c r="J20" s="2">
        <v>1524</v>
      </c>
      <c r="K20" s="2" t="b">
        <v>0</v>
      </c>
      <c r="L20" s="2" t="b">
        <v>0</v>
      </c>
      <c r="M20" s="2">
        <v>0</v>
      </c>
      <c r="N20" s="6">
        <v>6</v>
      </c>
      <c r="O20">
        <f t="shared" si="0"/>
        <v>907</v>
      </c>
      <c r="P20">
        <f t="shared" si="1"/>
        <v>877</v>
      </c>
      <c r="Q20" s="11">
        <f t="shared" ca="1" si="3"/>
        <v>45148</v>
      </c>
      <c r="R20" s="11">
        <f t="shared" ca="1" si="3"/>
        <v>45178</v>
      </c>
    </row>
    <row r="21" spans="1:18" x14ac:dyDescent="0.25">
      <c r="A21" s="2">
        <v>2402</v>
      </c>
      <c r="B21" s="2">
        <v>2937</v>
      </c>
      <c r="C21" s="3">
        <v>39982</v>
      </c>
      <c r="D21" s="4" t="s">
        <v>10</v>
      </c>
      <c r="E21" s="2">
        <v>0</v>
      </c>
      <c r="F21" s="3">
        <f t="shared" si="2"/>
        <v>40012</v>
      </c>
      <c r="G21" s="2">
        <v>0</v>
      </c>
      <c r="H21" s="5">
        <v>0</v>
      </c>
      <c r="I21" s="2" t="b">
        <v>1</v>
      </c>
      <c r="J21" s="2">
        <v>1524</v>
      </c>
      <c r="K21" s="2" t="b">
        <v>0</v>
      </c>
      <c r="L21" s="2" t="b">
        <v>0</v>
      </c>
      <c r="M21" s="2">
        <v>0</v>
      </c>
      <c r="N21" s="6">
        <v>6</v>
      </c>
      <c r="O21">
        <f t="shared" si="0"/>
        <v>880</v>
      </c>
      <c r="P21">
        <f t="shared" si="1"/>
        <v>850</v>
      </c>
      <c r="Q21" s="11">
        <f t="shared" ca="1" si="3"/>
        <v>45175</v>
      </c>
      <c r="R21" s="11">
        <f t="shared" ca="1" si="3"/>
        <v>45205</v>
      </c>
    </row>
    <row r="22" spans="1:18" x14ac:dyDescent="0.25">
      <c r="A22" s="31">
        <v>2403</v>
      </c>
      <c r="B22" s="2">
        <v>1095</v>
      </c>
      <c r="C22" s="27">
        <v>39984</v>
      </c>
      <c r="D22" s="28" t="s">
        <v>10</v>
      </c>
      <c r="E22" s="26">
        <v>0</v>
      </c>
      <c r="F22" s="27">
        <v>40025</v>
      </c>
      <c r="G22" s="26">
        <v>0</v>
      </c>
      <c r="H22" s="29">
        <v>0</v>
      </c>
      <c r="I22" s="26" t="b">
        <v>1</v>
      </c>
      <c r="J22" s="26">
        <v>1524</v>
      </c>
      <c r="K22" s="26" t="b">
        <v>0</v>
      </c>
      <c r="L22" s="26" t="b">
        <v>0</v>
      </c>
      <c r="M22" s="26">
        <v>0</v>
      </c>
      <c r="N22" s="30">
        <v>6</v>
      </c>
      <c r="O22">
        <f t="shared" si="0"/>
        <v>878</v>
      </c>
      <c r="P22">
        <f t="shared" si="1"/>
        <v>837</v>
      </c>
      <c r="Q22" s="11">
        <f ca="1">TODAY()-O22</f>
        <v>45177</v>
      </c>
      <c r="R22" s="11">
        <f ca="1">TODAY()-P22</f>
        <v>45218</v>
      </c>
    </row>
    <row r="23" spans="1:18" x14ac:dyDescent="0.25">
      <c r="A23" s="2">
        <v>2404</v>
      </c>
      <c r="B23" s="2">
        <v>2937</v>
      </c>
      <c r="C23" s="3">
        <v>40002</v>
      </c>
      <c r="D23" s="4" t="s">
        <v>10</v>
      </c>
      <c r="E23" s="2">
        <v>0</v>
      </c>
      <c r="F23" s="3">
        <f>C23+30</f>
        <v>40032</v>
      </c>
      <c r="G23" s="2">
        <v>0</v>
      </c>
      <c r="H23" s="5">
        <v>0</v>
      </c>
      <c r="I23" s="2" t="b">
        <v>1</v>
      </c>
      <c r="J23" s="2">
        <v>1524</v>
      </c>
      <c r="K23" s="2" t="b">
        <v>0</v>
      </c>
      <c r="L23" s="2" t="b">
        <v>0</v>
      </c>
      <c r="M23" s="2">
        <v>0</v>
      </c>
      <c r="N23" s="6">
        <v>6</v>
      </c>
      <c r="O23">
        <f t="shared" si="0"/>
        <v>860</v>
      </c>
      <c r="P23">
        <f t="shared" si="1"/>
        <v>830</v>
      </c>
      <c r="Q23" s="11">
        <f ca="1">TODAY()-O23</f>
        <v>45195</v>
      </c>
      <c r="R23" s="11">
        <f ca="1">TODAY()-P23</f>
        <v>45225</v>
      </c>
    </row>
    <row r="24" spans="1:18" x14ac:dyDescent="0.25">
      <c r="A24" s="2">
        <v>2405</v>
      </c>
      <c r="B24" s="2">
        <v>798</v>
      </c>
      <c r="C24" s="3">
        <v>40002</v>
      </c>
      <c r="D24" s="4" t="s">
        <v>10</v>
      </c>
      <c r="E24" s="2">
        <v>0</v>
      </c>
      <c r="F24" s="3">
        <f t="shared" ref="F24:F87" si="4">C24+30</f>
        <v>40032</v>
      </c>
      <c r="G24" s="2">
        <v>0</v>
      </c>
      <c r="H24" s="5">
        <v>0</v>
      </c>
      <c r="I24" s="2" t="b">
        <v>1</v>
      </c>
      <c r="J24" s="2">
        <v>1524</v>
      </c>
      <c r="K24" s="2" t="b">
        <v>0</v>
      </c>
      <c r="L24" s="2" t="b">
        <v>0</v>
      </c>
      <c r="M24" s="2">
        <v>0</v>
      </c>
      <c r="N24" s="6">
        <v>6</v>
      </c>
      <c r="O24">
        <f t="shared" si="0"/>
        <v>860</v>
      </c>
      <c r="P24">
        <f t="shared" si="1"/>
        <v>830</v>
      </c>
      <c r="Q24" s="11">
        <f t="shared" ref="Q24:R87" ca="1" si="5">TODAY()-O24</f>
        <v>45195</v>
      </c>
      <c r="R24" s="11">
        <f t="shared" ca="1" si="5"/>
        <v>45225</v>
      </c>
    </row>
    <row r="25" spans="1:18" x14ac:dyDescent="0.25">
      <c r="A25" s="2">
        <v>2406</v>
      </c>
      <c r="B25" s="2">
        <v>1472</v>
      </c>
      <c r="C25" s="3">
        <v>40011</v>
      </c>
      <c r="D25" s="4" t="s">
        <v>10</v>
      </c>
      <c r="E25" s="2">
        <v>0</v>
      </c>
      <c r="F25" s="3">
        <f t="shared" si="4"/>
        <v>40041</v>
      </c>
      <c r="G25" s="2">
        <v>0</v>
      </c>
      <c r="H25" s="5">
        <v>0</v>
      </c>
      <c r="I25" s="2" t="b">
        <v>1</v>
      </c>
      <c r="J25" s="2">
        <v>640</v>
      </c>
      <c r="K25" s="2" t="b">
        <v>1</v>
      </c>
      <c r="L25" s="2" t="b">
        <v>0</v>
      </c>
      <c r="M25" s="2">
        <v>0</v>
      </c>
      <c r="N25" s="6">
        <v>6</v>
      </c>
      <c r="O25">
        <f t="shared" si="0"/>
        <v>851</v>
      </c>
      <c r="P25">
        <f t="shared" si="1"/>
        <v>821</v>
      </c>
      <c r="Q25" s="11">
        <f t="shared" ca="1" si="5"/>
        <v>45204</v>
      </c>
      <c r="R25" s="11">
        <f t="shared" ca="1" si="5"/>
        <v>45234</v>
      </c>
    </row>
    <row r="26" spans="1:18" x14ac:dyDescent="0.25">
      <c r="A26" s="2">
        <v>2407</v>
      </c>
      <c r="B26" s="2">
        <v>1277</v>
      </c>
      <c r="C26" s="3">
        <v>40015</v>
      </c>
      <c r="D26" s="4" t="s">
        <v>10</v>
      </c>
      <c r="E26" s="2">
        <v>0</v>
      </c>
      <c r="F26" s="3">
        <f t="shared" si="4"/>
        <v>40045</v>
      </c>
      <c r="G26" s="2">
        <v>30</v>
      </c>
      <c r="H26" s="5">
        <v>0.03</v>
      </c>
      <c r="I26" s="2" t="b">
        <v>1</v>
      </c>
      <c r="J26" s="2">
        <v>1524</v>
      </c>
      <c r="K26" s="2" t="b">
        <v>0</v>
      </c>
      <c r="L26" s="2" t="b">
        <v>0</v>
      </c>
      <c r="M26" s="2">
        <v>0</v>
      </c>
      <c r="N26" s="6">
        <v>6</v>
      </c>
      <c r="O26">
        <f t="shared" si="0"/>
        <v>847</v>
      </c>
      <c r="P26">
        <f t="shared" si="1"/>
        <v>817</v>
      </c>
      <c r="Q26" s="11">
        <f t="shared" ca="1" si="5"/>
        <v>45208</v>
      </c>
      <c r="R26" s="11">
        <f t="shared" ca="1" si="5"/>
        <v>45238</v>
      </c>
    </row>
    <row r="27" spans="1:18" x14ac:dyDescent="0.25">
      <c r="A27" s="2">
        <v>2408</v>
      </c>
      <c r="B27" s="2">
        <v>3624</v>
      </c>
      <c r="C27" s="3">
        <v>40016</v>
      </c>
      <c r="D27" s="4" t="s">
        <v>10</v>
      </c>
      <c r="E27" s="2">
        <v>0</v>
      </c>
      <c r="F27" s="3">
        <f t="shared" si="4"/>
        <v>40046</v>
      </c>
      <c r="G27" s="2">
        <v>0</v>
      </c>
      <c r="H27" s="5">
        <v>0</v>
      </c>
      <c r="I27" s="2" t="b">
        <v>1</v>
      </c>
      <c r="J27" s="2">
        <v>1524</v>
      </c>
      <c r="K27" s="2" t="b">
        <v>0</v>
      </c>
      <c r="L27" s="2" t="b">
        <v>0</v>
      </c>
      <c r="M27" s="2">
        <v>0</v>
      </c>
      <c r="N27" s="6">
        <v>6</v>
      </c>
      <c r="O27">
        <f t="shared" si="0"/>
        <v>846</v>
      </c>
      <c r="P27">
        <f t="shared" si="1"/>
        <v>816</v>
      </c>
      <c r="Q27" s="11">
        <f t="shared" ca="1" si="5"/>
        <v>45209</v>
      </c>
      <c r="R27" s="11">
        <f t="shared" ca="1" si="5"/>
        <v>45239</v>
      </c>
    </row>
    <row r="28" spans="1:18" x14ac:dyDescent="0.25">
      <c r="A28" s="2">
        <v>2409</v>
      </c>
      <c r="B28" s="2">
        <v>3638</v>
      </c>
      <c r="C28" s="3">
        <v>40022</v>
      </c>
      <c r="D28" s="4" t="s">
        <v>10</v>
      </c>
      <c r="E28" s="2">
        <v>0</v>
      </c>
      <c r="F28" s="3">
        <f t="shared" si="4"/>
        <v>40052</v>
      </c>
      <c r="G28" s="2">
        <v>22</v>
      </c>
      <c r="H28" s="5">
        <v>0</v>
      </c>
      <c r="I28" s="2" t="b">
        <v>1</v>
      </c>
      <c r="J28" s="2">
        <v>1524</v>
      </c>
      <c r="K28" s="2" t="b">
        <v>0</v>
      </c>
      <c r="L28" s="2" t="b">
        <v>0</v>
      </c>
      <c r="M28" s="2">
        <v>0</v>
      </c>
      <c r="N28" s="6">
        <v>6</v>
      </c>
      <c r="O28">
        <f t="shared" si="0"/>
        <v>840</v>
      </c>
      <c r="P28">
        <f t="shared" si="1"/>
        <v>810</v>
      </c>
      <c r="Q28" s="11">
        <f t="shared" ca="1" si="5"/>
        <v>45215</v>
      </c>
      <c r="R28" s="11">
        <f t="shared" ca="1" si="5"/>
        <v>45245</v>
      </c>
    </row>
    <row r="29" spans="1:18" x14ac:dyDescent="0.25">
      <c r="A29" s="2">
        <v>2410</v>
      </c>
      <c r="B29" s="2">
        <v>1559</v>
      </c>
      <c r="C29" s="3">
        <v>40022</v>
      </c>
      <c r="D29" s="4" t="s">
        <v>10</v>
      </c>
      <c r="E29" s="2">
        <v>0</v>
      </c>
      <c r="F29" s="3">
        <f t="shared" si="4"/>
        <v>40052</v>
      </c>
      <c r="G29" s="2">
        <v>19</v>
      </c>
      <c r="H29" s="5">
        <v>0</v>
      </c>
      <c r="I29" s="2" t="b">
        <v>1</v>
      </c>
      <c r="J29" s="2">
        <v>1524</v>
      </c>
      <c r="K29" s="2" t="b">
        <v>1</v>
      </c>
      <c r="L29" s="2" t="b">
        <v>0</v>
      </c>
      <c r="M29" s="2">
        <v>0</v>
      </c>
      <c r="N29" s="6">
        <v>6</v>
      </c>
      <c r="O29">
        <f t="shared" si="0"/>
        <v>840</v>
      </c>
      <c r="P29">
        <f t="shared" si="1"/>
        <v>810</v>
      </c>
      <c r="Q29" s="11">
        <f t="shared" ca="1" si="5"/>
        <v>45215</v>
      </c>
      <c r="R29" s="11">
        <f t="shared" ca="1" si="5"/>
        <v>45245</v>
      </c>
    </row>
    <row r="30" spans="1:18" x14ac:dyDescent="0.25">
      <c r="A30" s="2">
        <v>2411</v>
      </c>
      <c r="B30" s="2">
        <v>2971</v>
      </c>
      <c r="C30" s="3">
        <v>40025</v>
      </c>
      <c r="D30" s="4" t="s">
        <v>10</v>
      </c>
      <c r="E30" s="2">
        <v>0</v>
      </c>
      <c r="F30" s="3">
        <f t="shared" si="4"/>
        <v>40055</v>
      </c>
      <c r="G30" s="2">
        <v>0</v>
      </c>
      <c r="H30" s="5">
        <v>0</v>
      </c>
      <c r="I30" s="2" t="b">
        <v>1</v>
      </c>
      <c r="J30" s="2">
        <v>640</v>
      </c>
      <c r="K30" s="2" t="b">
        <v>1</v>
      </c>
      <c r="L30" s="2" t="b">
        <v>0</v>
      </c>
      <c r="M30" s="2">
        <v>0</v>
      </c>
      <c r="N30" s="6">
        <v>6</v>
      </c>
      <c r="O30">
        <f t="shared" si="0"/>
        <v>837</v>
      </c>
      <c r="P30">
        <f t="shared" si="1"/>
        <v>807</v>
      </c>
      <c r="Q30" s="11">
        <f t="shared" ca="1" si="5"/>
        <v>45218</v>
      </c>
      <c r="R30" s="11">
        <f t="shared" ca="1" si="5"/>
        <v>45248</v>
      </c>
    </row>
    <row r="31" spans="1:18" x14ac:dyDescent="0.25">
      <c r="A31" s="2">
        <v>2412</v>
      </c>
      <c r="B31" s="2">
        <v>3620</v>
      </c>
      <c r="C31" s="3">
        <v>40060</v>
      </c>
      <c r="D31" s="4" t="s">
        <v>10</v>
      </c>
      <c r="E31" s="2">
        <v>0</v>
      </c>
      <c r="F31" s="3">
        <f t="shared" si="4"/>
        <v>40090</v>
      </c>
      <c r="G31" s="2">
        <v>0</v>
      </c>
      <c r="H31" s="5">
        <v>0.03</v>
      </c>
      <c r="I31" s="2" t="b">
        <v>1</v>
      </c>
      <c r="J31" s="2">
        <v>1524</v>
      </c>
      <c r="K31" s="2" t="b">
        <v>0</v>
      </c>
      <c r="L31" s="2" t="b">
        <v>0</v>
      </c>
      <c r="M31" s="2">
        <v>0</v>
      </c>
      <c r="N31" s="6">
        <v>6</v>
      </c>
      <c r="O31">
        <f t="shared" si="0"/>
        <v>802</v>
      </c>
      <c r="P31">
        <f t="shared" si="1"/>
        <v>772</v>
      </c>
      <c r="Q31" s="11">
        <f t="shared" ca="1" si="5"/>
        <v>45253</v>
      </c>
      <c r="R31" s="11">
        <f t="shared" ca="1" si="5"/>
        <v>45283</v>
      </c>
    </row>
    <row r="32" spans="1:18" x14ac:dyDescent="0.25">
      <c r="A32" s="2">
        <v>2413</v>
      </c>
      <c r="B32" s="2">
        <v>2421</v>
      </c>
      <c r="C32" s="3">
        <v>40078</v>
      </c>
      <c r="D32" s="4" t="s">
        <v>10</v>
      </c>
      <c r="E32" s="2">
        <v>0</v>
      </c>
      <c r="F32" s="3">
        <f t="shared" si="4"/>
        <v>40108</v>
      </c>
      <c r="G32" s="2">
        <v>0</v>
      </c>
      <c r="H32" s="5">
        <v>0</v>
      </c>
      <c r="I32" s="2" t="b">
        <v>1</v>
      </c>
      <c r="J32" s="2">
        <v>1524</v>
      </c>
      <c r="K32" s="2" t="b">
        <v>0</v>
      </c>
      <c r="L32" s="2" t="b">
        <v>0</v>
      </c>
      <c r="M32" s="2">
        <v>0</v>
      </c>
      <c r="N32" s="6">
        <v>6</v>
      </c>
      <c r="O32">
        <f t="shared" si="0"/>
        <v>784</v>
      </c>
      <c r="P32">
        <f t="shared" si="1"/>
        <v>754</v>
      </c>
      <c r="Q32" s="11">
        <f t="shared" ca="1" si="5"/>
        <v>45271</v>
      </c>
      <c r="R32" s="11">
        <f t="shared" ca="1" si="5"/>
        <v>45301</v>
      </c>
    </row>
    <row r="33" spans="1:18" x14ac:dyDescent="0.25">
      <c r="A33" s="2">
        <v>2414</v>
      </c>
      <c r="B33" s="2">
        <v>3659</v>
      </c>
      <c r="C33" s="3">
        <v>40074</v>
      </c>
      <c r="D33" s="4" t="s">
        <v>10</v>
      </c>
      <c r="E33" s="2">
        <v>0</v>
      </c>
      <c r="F33" s="3">
        <f t="shared" si="4"/>
        <v>40104</v>
      </c>
      <c r="G33" s="2">
        <v>85</v>
      </c>
      <c r="H33" s="5">
        <v>0</v>
      </c>
      <c r="I33" s="2" t="b">
        <v>1</v>
      </c>
      <c r="J33" s="2">
        <v>1524</v>
      </c>
      <c r="K33" s="2" t="b">
        <v>0</v>
      </c>
      <c r="L33" s="2" t="b">
        <v>0</v>
      </c>
      <c r="M33" s="2">
        <v>0</v>
      </c>
      <c r="N33" s="6">
        <v>6</v>
      </c>
      <c r="O33">
        <f t="shared" si="0"/>
        <v>788</v>
      </c>
      <c r="P33">
        <f t="shared" si="1"/>
        <v>758</v>
      </c>
      <c r="Q33" s="11">
        <f t="shared" ca="1" si="5"/>
        <v>45267</v>
      </c>
      <c r="R33" s="11">
        <f t="shared" ca="1" si="5"/>
        <v>45297</v>
      </c>
    </row>
    <row r="34" spans="1:18" x14ac:dyDescent="0.25">
      <c r="A34" s="2">
        <v>2415</v>
      </c>
      <c r="B34" s="2">
        <v>2829</v>
      </c>
      <c r="C34" s="3">
        <v>40088</v>
      </c>
      <c r="D34" s="4" t="s">
        <v>10</v>
      </c>
      <c r="E34" s="2">
        <v>500</v>
      </c>
      <c r="F34" s="3">
        <f t="shared" si="4"/>
        <v>40118</v>
      </c>
      <c r="G34" s="2">
        <v>69</v>
      </c>
      <c r="H34" s="5">
        <v>0</v>
      </c>
      <c r="I34" s="2" t="b">
        <v>1</v>
      </c>
      <c r="J34" s="2">
        <v>1524</v>
      </c>
      <c r="K34" s="2" t="b">
        <v>0</v>
      </c>
      <c r="L34" s="2" t="b">
        <v>0</v>
      </c>
      <c r="M34" s="2">
        <v>0</v>
      </c>
      <c r="N34" s="6">
        <v>6</v>
      </c>
      <c r="O34">
        <f t="shared" si="0"/>
        <v>774</v>
      </c>
      <c r="P34">
        <f t="shared" si="1"/>
        <v>744</v>
      </c>
      <c r="Q34" s="11">
        <f t="shared" ca="1" si="5"/>
        <v>45281</v>
      </c>
      <c r="R34" s="11">
        <f t="shared" ca="1" si="5"/>
        <v>45311</v>
      </c>
    </row>
    <row r="35" spans="1:18" x14ac:dyDescent="0.25">
      <c r="A35" s="2">
        <v>2416</v>
      </c>
      <c r="B35" s="2">
        <v>3660</v>
      </c>
      <c r="C35" s="3">
        <v>40074</v>
      </c>
      <c r="D35" s="4" t="s">
        <v>10</v>
      </c>
      <c r="E35" s="2">
        <v>0</v>
      </c>
      <c r="F35" s="3">
        <f t="shared" si="4"/>
        <v>40104</v>
      </c>
      <c r="G35" s="2">
        <v>25</v>
      </c>
      <c r="H35" s="5">
        <v>0</v>
      </c>
      <c r="I35" s="2" t="b">
        <v>1</v>
      </c>
      <c r="J35" s="2">
        <v>640</v>
      </c>
      <c r="K35" s="2" t="b">
        <v>1</v>
      </c>
      <c r="L35" s="2" t="b">
        <v>0</v>
      </c>
      <c r="M35" s="2">
        <v>0</v>
      </c>
      <c r="N35" s="6">
        <v>6</v>
      </c>
      <c r="O35">
        <f t="shared" si="0"/>
        <v>788</v>
      </c>
      <c r="P35">
        <f t="shared" si="1"/>
        <v>758</v>
      </c>
      <c r="Q35" s="11">
        <f t="shared" ca="1" si="5"/>
        <v>45267</v>
      </c>
      <c r="R35" s="11">
        <f t="shared" ca="1" si="5"/>
        <v>45297</v>
      </c>
    </row>
    <row r="36" spans="1:18" x14ac:dyDescent="0.25">
      <c r="A36" s="2">
        <v>2417</v>
      </c>
      <c r="B36" s="2">
        <v>2478</v>
      </c>
      <c r="C36" s="3">
        <v>40081</v>
      </c>
      <c r="D36" s="4" t="s">
        <v>10</v>
      </c>
      <c r="E36" s="2">
        <v>0</v>
      </c>
      <c r="F36" s="3">
        <f t="shared" si="4"/>
        <v>40111</v>
      </c>
      <c r="G36" s="2">
        <v>14</v>
      </c>
      <c r="H36" s="5">
        <v>0</v>
      </c>
      <c r="I36" s="2" t="b">
        <v>1</v>
      </c>
      <c r="J36" s="2">
        <v>640</v>
      </c>
      <c r="K36" s="2" t="b">
        <v>1</v>
      </c>
      <c r="L36" s="2" t="b">
        <v>0</v>
      </c>
      <c r="M36" s="2">
        <v>0</v>
      </c>
      <c r="N36" s="6">
        <v>6</v>
      </c>
      <c r="O36">
        <f t="shared" si="0"/>
        <v>781</v>
      </c>
      <c r="P36">
        <f t="shared" si="1"/>
        <v>751</v>
      </c>
      <c r="Q36" s="11">
        <f t="shared" ca="1" si="5"/>
        <v>45274</v>
      </c>
      <c r="R36" s="11">
        <f t="shared" ca="1" si="5"/>
        <v>45304</v>
      </c>
    </row>
    <row r="37" spans="1:18" x14ac:dyDescent="0.25">
      <c r="A37" s="2">
        <v>2418</v>
      </c>
      <c r="B37" s="2">
        <v>1546</v>
      </c>
      <c r="C37" s="3">
        <v>40065</v>
      </c>
      <c r="D37" s="4" t="s">
        <v>10</v>
      </c>
      <c r="E37" s="2">
        <v>0</v>
      </c>
      <c r="F37" s="3">
        <f t="shared" si="4"/>
        <v>40095</v>
      </c>
      <c r="G37" s="2">
        <v>92</v>
      </c>
      <c r="H37" s="5">
        <v>0</v>
      </c>
      <c r="I37" s="2" t="b">
        <v>1</v>
      </c>
      <c r="J37" s="2">
        <v>1524</v>
      </c>
      <c r="K37" s="2" t="b">
        <v>0</v>
      </c>
      <c r="L37" s="2" t="b">
        <v>0</v>
      </c>
      <c r="M37" s="2">
        <v>0</v>
      </c>
      <c r="N37" s="6">
        <v>6</v>
      </c>
      <c r="O37">
        <f t="shared" si="0"/>
        <v>797</v>
      </c>
      <c r="P37">
        <f t="shared" si="1"/>
        <v>767</v>
      </c>
      <c r="Q37" s="11">
        <f t="shared" ca="1" si="5"/>
        <v>45258</v>
      </c>
      <c r="R37" s="11">
        <f t="shared" ca="1" si="5"/>
        <v>45288</v>
      </c>
    </row>
    <row r="38" spans="1:18" x14ac:dyDescent="0.25">
      <c r="A38" s="2">
        <v>2419</v>
      </c>
      <c r="B38" s="2">
        <v>720</v>
      </c>
      <c r="C38" s="3">
        <v>40080</v>
      </c>
      <c r="D38" s="4" t="s">
        <v>10</v>
      </c>
      <c r="E38" s="2">
        <v>0</v>
      </c>
      <c r="F38" s="3">
        <f t="shared" si="4"/>
        <v>40110</v>
      </c>
      <c r="G38" s="2">
        <v>32</v>
      </c>
      <c r="H38" s="5">
        <v>0</v>
      </c>
      <c r="I38" s="2" t="b">
        <v>1</v>
      </c>
      <c r="J38" s="2">
        <v>1524</v>
      </c>
      <c r="K38" s="2" t="b">
        <v>0</v>
      </c>
      <c r="L38" s="2" t="b">
        <v>0</v>
      </c>
      <c r="M38" s="2">
        <v>0</v>
      </c>
      <c r="N38" s="6">
        <v>6</v>
      </c>
      <c r="O38">
        <f t="shared" si="0"/>
        <v>782</v>
      </c>
      <c r="P38">
        <f t="shared" si="1"/>
        <v>752</v>
      </c>
      <c r="Q38" s="11">
        <f t="shared" ca="1" si="5"/>
        <v>45273</v>
      </c>
      <c r="R38" s="11">
        <f t="shared" ca="1" si="5"/>
        <v>45303</v>
      </c>
    </row>
    <row r="39" spans="1:18" x14ac:dyDescent="0.25">
      <c r="A39" s="2">
        <v>2420</v>
      </c>
      <c r="B39" s="2">
        <v>1559</v>
      </c>
      <c r="C39" s="3">
        <v>40080</v>
      </c>
      <c r="D39" s="4" t="s">
        <v>10</v>
      </c>
      <c r="E39" s="2">
        <v>0</v>
      </c>
      <c r="F39" s="3">
        <f t="shared" si="4"/>
        <v>40110</v>
      </c>
      <c r="G39" s="2">
        <v>59</v>
      </c>
      <c r="H39" s="5">
        <v>0</v>
      </c>
      <c r="I39" s="2" t="b">
        <v>1</v>
      </c>
      <c r="J39" s="2">
        <v>1524</v>
      </c>
      <c r="K39" s="2" t="b">
        <v>0</v>
      </c>
      <c r="L39" s="2" t="b">
        <v>0</v>
      </c>
      <c r="M39" s="2">
        <v>0</v>
      </c>
      <c r="N39" s="6">
        <v>6</v>
      </c>
      <c r="O39">
        <f t="shared" si="0"/>
        <v>782</v>
      </c>
      <c r="P39">
        <f t="shared" si="1"/>
        <v>752</v>
      </c>
      <c r="Q39" s="11">
        <f t="shared" ca="1" si="5"/>
        <v>45273</v>
      </c>
      <c r="R39" s="11">
        <f t="shared" ca="1" si="5"/>
        <v>45303</v>
      </c>
    </row>
    <row r="40" spans="1:18" x14ac:dyDescent="0.25">
      <c r="A40" s="2">
        <v>2421</v>
      </c>
      <c r="B40" s="2">
        <v>2359</v>
      </c>
      <c r="C40" s="3">
        <v>40078</v>
      </c>
      <c r="D40" s="4" t="s">
        <v>10</v>
      </c>
      <c r="E40" s="2">
        <v>0</v>
      </c>
      <c r="F40" s="3">
        <f t="shared" si="4"/>
        <v>40108</v>
      </c>
      <c r="G40" s="2">
        <v>59</v>
      </c>
      <c r="H40" s="5">
        <v>0.05</v>
      </c>
      <c r="I40" s="2" t="b">
        <v>1</v>
      </c>
      <c r="J40" s="2">
        <v>1524</v>
      </c>
      <c r="K40" s="2" t="b">
        <v>0</v>
      </c>
      <c r="L40" s="2" t="b">
        <v>0</v>
      </c>
      <c r="M40" s="2">
        <v>0</v>
      </c>
      <c r="N40" s="6">
        <v>6</v>
      </c>
      <c r="O40">
        <f t="shared" si="0"/>
        <v>784</v>
      </c>
      <c r="P40">
        <f t="shared" si="1"/>
        <v>754</v>
      </c>
      <c r="Q40" s="11">
        <f t="shared" ca="1" si="5"/>
        <v>45271</v>
      </c>
      <c r="R40" s="11">
        <f t="shared" ca="1" si="5"/>
        <v>45301</v>
      </c>
    </row>
    <row r="41" spans="1:18" x14ac:dyDescent="0.25">
      <c r="A41" s="2">
        <v>2422</v>
      </c>
      <c r="B41" s="2">
        <v>2937</v>
      </c>
      <c r="C41" s="3">
        <v>40074</v>
      </c>
      <c r="D41" s="4" t="s">
        <v>10</v>
      </c>
      <c r="E41" s="2">
        <v>0</v>
      </c>
      <c r="F41" s="3">
        <f t="shared" si="4"/>
        <v>40104</v>
      </c>
      <c r="G41" s="2">
        <v>0</v>
      </c>
      <c r="H41" s="5">
        <v>0</v>
      </c>
      <c r="I41" s="2" t="b">
        <v>1</v>
      </c>
      <c r="J41" s="2">
        <v>1524</v>
      </c>
      <c r="K41" s="2" t="b">
        <v>0</v>
      </c>
      <c r="L41" s="2" t="b">
        <v>0</v>
      </c>
      <c r="M41" s="2">
        <v>0</v>
      </c>
      <c r="N41" s="6">
        <v>6</v>
      </c>
      <c r="O41">
        <f t="shared" si="0"/>
        <v>788</v>
      </c>
      <c r="P41">
        <f t="shared" si="1"/>
        <v>758</v>
      </c>
      <c r="Q41" s="11">
        <f t="shared" ca="1" si="5"/>
        <v>45267</v>
      </c>
      <c r="R41" s="11">
        <f t="shared" ca="1" si="5"/>
        <v>45297</v>
      </c>
    </row>
    <row r="42" spans="1:18" x14ac:dyDescent="0.25">
      <c r="A42" s="2">
        <v>2423</v>
      </c>
      <c r="B42" s="2">
        <v>3661</v>
      </c>
      <c r="C42" s="3">
        <v>40065</v>
      </c>
      <c r="D42" s="4" t="s">
        <v>10</v>
      </c>
      <c r="E42" s="2">
        <v>0</v>
      </c>
      <c r="F42" s="3">
        <f t="shared" si="4"/>
        <v>40095</v>
      </c>
      <c r="G42" s="2">
        <v>95</v>
      </c>
      <c r="H42" s="5">
        <v>0</v>
      </c>
      <c r="I42" s="2" t="b">
        <v>1</v>
      </c>
      <c r="J42" s="2">
        <v>1524</v>
      </c>
      <c r="K42" s="2" t="b">
        <v>0</v>
      </c>
      <c r="L42" s="2" t="b">
        <v>0</v>
      </c>
      <c r="M42" s="2">
        <v>0</v>
      </c>
      <c r="N42" s="6">
        <v>6</v>
      </c>
      <c r="O42">
        <f t="shared" si="0"/>
        <v>797</v>
      </c>
      <c r="P42">
        <f t="shared" si="1"/>
        <v>767</v>
      </c>
      <c r="Q42" s="11">
        <f t="shared" ca="1" si="5"/>
        <v>45258</v>
      </c>
      <c r="R42" s="11">
        <f t="shared" ca="1" si="5"/>
        <v>45288</v>
      </c>
    </row>
    <row r="43" spans="1:18" x14ac:dyDescent="0.25">
      <c r="A43" s="2">
        <v>2424</v>
      </c>
      <c r="B43" s="2">
        <v>3085</v>
      </c>
      <c r="C43" s="3">
        <v>40078</v>
      </c>
      <c r="D43" s="4" t="s">
        <v>10</v>
      </c>
      <c r="E43" s="2">
        <v>393.74</v>
      </c>
      <c r="F43" s="3">
        <f t="shared" si="4"/>
        <v>40108</v>
      </c>
      <c r="G43" s="2">
        <v>35</v>
      </c>
      <c r="H43" s="5">
        <v>0</v>
      </c>
      <c r="I43" s="2" t="b">
        <v>1</v>
      </c>
      <c r="J43" s="2">
        <v>640</v>
      </c>
      <c r="K43" s="2" t="b">
        <v>1</v>
      </c>
      <c r="L43" s="2" t="b">
        <v>0</v>
      </c>
      <c r="M43" s="2">
        <v>0</v>
      </c>
      <c r="N43" s="6">
        <v>6</v>
      </c>
      <c r="O43">
        <f t="shared" si="0"/>
        <v>784</v>
      </c>
      <c r="P43">
        <f t="shared" si="1"/>
        <v>754</v>
      </c>
      <c r="Q43" s="11">
        <f t="shared" ca="1" si="5"/>
        <v>45271</v>
      </c>
      <c r="R43" s="11">
        <f t="shared" ca="1" si="5"/>
        <v>45301</v>
      </c>
    </row>
    <row r="44" spans="1:18" x14ac:dyDescent="0.25">
      <c r="A44" s="2">
        <v>2425</v>
      </c>
      <c r="B44" s="2">
        <v>2974</v>
      </c>
      <c r="C44" s="3">
        <v>40074</v>
      </c>
      <c r="D44" s="4" t="s">
        <v>10</v>
      </c>
      <c r="E44" s="2">
        <v>0</v>
      </c>
      <c r="F44" s="3">
        <f t="shared" si="4"/>
        <v>40104</v>
      </c>
      <c r="G44" s="2">
        <v>15</v>
      </c>
      <c r="H44" s="5">
        <v>0</v>
      </c>
      <c r="I44" s="2" t="b">
        <v>1</v>
      </c>
      <c r="J44" s="2">
        <v>640</v>
      </c>
      <c r="K44" s="2" t="b">
        <v>1</v>
      </c>
      <c r="L44" s="2" t="b">
        <v>0</v>
      </c>
      <c r="M44" s="2">
        <v>0</v>
      </c>
      <c r="N44" s="6">
        <v>6</v>
      </c>
      <c r="O44">
        <f t="shared" si="0"/>
        <v>788</v>
      </c>
      <c r="P44">
        <f t="shared" si="1"/>
        <v>758</v>
      </c>
      <c r="Q44" s="11">
        <f t="shared" ca="1" si="5"/>
        <v>45267</v>
      </c>
      <c r="R44" s="11">
        <f t="shared" ca="1" si="5"/>
        <v>45297</v>
      </c>
    </row>
    <row r="45" spans="1:18" x14ac:dyDescent="0.25">
      <c r="A45" s="2">
        <v>2426</v>
      </c>
      <c r="B45" s="2">
        <v>2997</v>
      </c>
      <c r="C45" s="3">
        <v>40080</v>
      </c>
      <c r="D45" s="4" t="s">
        <v>10</v>
      </c>
      <c r="E45" s="2">
        <v>0</v>
      </c>
      <c r="F45" s="3">
        <f t="shared" si="4"/>
        <v>40110</v>
      </c>
      <c r="G45" s="2">
        <v>49</v>
      </c>
      <c r="H45" s="5">
        <v>0</v>
      </c>
      <c r="I45" s="2" t="b">
        <v>1</v>
      </c>
      <c r="J45" s="2">
        <v>1524</v>
      </c>
      <c r="K45" s="2" t="b">
        <v>0</v>
      </c>
      <c r="L45" s="2" t="b">
        <v>0</v>
      </c>
      <c r="M45" s="2">
        <v>0</v>
      </c>
      <c r="N45" s="6">
        <v>6</v>
      </c>
      <c r="O45">
        <f t="shared" si="0"/>
        <v>782</v>
      </c>
      <c r="P45">
        <f t="shared" si="1"/>
        <v>752</v>
      </c>
      <c r="Q45" s="11">
        <f t="shared" ca="1" si="5"/>
        <v>45273</v>
      </c>
      <c r="R45" s="11">
        <f t="shared" ca="1" si="5"/>
        <v>45303</v>
      </c>
    </row>
    <row r="46" spans="1:18" x14ac:dyDescent="0.25">
      <c r="A46" s="2">
        <v>2427</v>
      </c>
      <c r="B46" s="2">
        <v>861</v>
      </c>
      <c r="C46" s="3">
        <v>40066</v>
      </c>
      <c r="D46" s="4" t="s">
        <v>10</v>
      </c>
      <c r="E46" s="2">
        <v>0</v>
      </c>
      <c r="F46" s="3">
        <f t="shared" si="4"/>
        <v>40096</v>
      </c>
      <c r="G46" s="2">
        <v>0</v>
      </c>
      <c r="H46" s="5">
        <v>0.20330000000000001</v>
      </c>
      <c r="I46" s="2" t="b">
        <v>1</v>
      </c>
      <c r="J46" s="2">
        <v>1524</v>
      </c>
      <c r="K46" s="2" t="b">
        <v>1</v>
      </c>
      <c r="L46" s="2" t="b">
        <v>0</v>
      </c>
      <c r="M46" s="2">
        <v>0</v>
      </c>
      <c r="N46" s="6">
        <v>6</v>
      </c>
      <c r="O46">
        <f t="shared" si="0"/>
        <v>796</v>
      </c>
      <c r="P46">
        <f t="shared" si="1"/>
        <v>766</v>
      </c>
      <c r="Q46" s="11">
        <f t="shared" ca="1" si="5"/>
        <v>45259</v>
      </c>
      <c r="R46" s="11">
        <f t="shared" ca="1" si="5"/>
        <v>45289</v>
      </c>
    </row>
    <row r="47" spans="1:18" x14ac:dyDescent="0.25">
      <c r="A47" s="2">
        <v>2428</v>
      </c>
      <c r="B47" s="2">
        <v>2836</v>
      </c>
      <c r="C47" s="3">
        <v>40066</v>
      </c>
      <c r="D47" s="4" t="s">
        <v>10</v>
      </c>
      <c r="E47" s="2">
        <v>0</v>
      </c>
      <c r="F47" s="3">
        <f t="shared" si="4"/>
        <v>40096</v>
      </c>
      <c r="G47" s="2">
        <v>0</v>
      </c>
      <c r="H47" s="5">
        <v>0</v>
      </c>
      <c r="I47" s="2" t="b">
        <v>1</v>
      </c>
      <c r="J47" s="2">
        <v>640</v>
      </c>
      <c r="K47" s="2" t="b">
        <v>1</v>
      </c>
      <c r="L47" s="2" t="b">
        <v>0</v>
      </c>
      <c r="M47" s="2">
        <v>0</v>
      </c>
      <c r="N47" s="6">
        <v>6</v>
      </c>
      <c r="O47">
        <f t="shared" si="0"/>
        <v>796</v>
      </c>
      <c r="P47">
        <f t="shared" si="1"/>
        <v>766</v>
      </c>
      <c r="Q47" s="11">
        <f t="shared" ca="1" si="5"/>
        <v>45259</v>
      </c>
      <c r="R47" s="11">
        <f t="shared" ca="1" si="5"/>
        <v>45289</v>
      </c>
    </row>
    <row r="48" spans="1:18" x14ac:dyDescent="0.25">
      <c r="A48" s="2">
        <v>2429</v>
      </c>
      <c r="B48" s="2">
        <v>1548</v>
      </c>
      <c r="C48" s="3">
        <v>40071</v>
      </c>
      <c r="D48" s="4" t="s">
        <v>10</v>
      </c>
      <c r="E48" s="2">
        <v>0</v>
      </c>
      <c r="F48" s="3">
        <f t="shared" si="4"/>
        <v>40101</v>
      </c>
      <c r="G48" s="2">
        <v>0</v>
      </c>
      <c r="H48" s="5">
        <v>0.05</v>
      </c>
      <c r="I48" s="2" t="b">
        <v>1</v>
      </c>
      <c r="J48" s="2">
        <v>1524</v>
      </c>
      <c r="K48" s="2" t="b">
        <v>0</v>
      </c>
      <c r="L48" s="2" t="b">
        <v>0</v>
      </c>
      <c r="M48" s="2">
        <v>0</v>
      </c>
      <c r="N48" s="6">
        <v>6</v>
      </c>
      <c r="O48">
        <f t="shared" si="0"/>
        <v>791</v>
      </c>
      <c r="P48">
        <f t="shared" si="1"/>
        <v>761</v>
      </c>
      <c r="Q48" s="11">
        <f t="shared" ca="1" si="5"/>
        <v>45264</v>
      </c>
      <c r="R48" s="11">
        <f t="shared" ca="1" si="5"/>
        <v>45294</v>
      </c>
    </row>
    <row r="49" spans="1:18" x14ac:dyDescent="0.25">
      <c r="A49" s="2">
        <v>2430</v>
      </c>
      <c r="B49" s="2">
        <v>2913</v>
      </c>
      <c r="C49" s="3">
        <v>40071</v>
      </c>
      <c r="D49" s="4" t="s">
        <v>10</v>
      </c>
      <c r="E49" s="2">
        <v>0</v>
      </c>
      <c r="F49" s="3">
        <f t="shared" si="4"/>
        <v>40101</v>
      </c>
      <c r="G49" s="2">
        <v>0</v>
      </c>
      <c r="H49" s="5">
        <v>0.05</v>
      </c>
      <c r="I49" s="2" t="b">
        <v>1</v>
      </c>
      <c r="J49" s="2">
        <v>1524</v>
      </c>
      <c r="K49" s="2" t="b">
        <v>0</v>
      </c>
      <c r="L49" s="2" t="b">
        <v>0</v>
      </c>
      <c r="M49" s="2">
        <v>0</v>
      </c>
      <c r="N49" s="6">
        <v>6</v>
      </c>
      <c r="O49">
        <f t="shared" si="0"/>
        <v>791</v>
      </c>
      <c r="P49">
        <f t="shared" si="1"/>
        <v>761</v>
      </c>
      <c r="Q49" s="11">
        <f t="shared" ca="1" si="5"/>
        <v>45264</v>
      </c>
      <c r="R49" s="11">
        <f t="shared" ca="1" si="5"/>
        <v>45294</v>
      </c>
    </row>
    <row r="50" spans="1:18" x14ac:dyDescent="0.25">
      <c r="A50" s="2">
        <v>2431</v>
      </c>
      <c r="B50" s="2">
        <v>2869</v>
      </c>
      <c r="C50" s="3">
        <v>40071</v>
      </c>
      <c r="D50" s="4" t="s">
        <v>10</v>
      </c>
      <c r="E50" s="2">
        <v>0</v>
      </c>
      <c r="F50" s="3">
        <f t="shared" si="4"/>
        <v>40101</v>
      </c>
      <c r="G50" s="2">
        <v>39</v>
      </c>
      <c r="H50" s="5">
        <v>0.1</v>
      </c>
      <c r="I50" s="2" t="b">
        <v>1</v>
      </c>
      <c r="J50" s="2">
        <v>1524</v>
      </c>
      <c r="K50" s="2" t="b">
        <v>0</v>
      </c>
      <c r="L50" s="2" t="b">
        <v>0</v>
      </c>
      <c r="M50" s="2">
        <v>0</v>
      </c>
      <c r="N50" s="6">
        <v>6</v>
      </c>
      <c r="O50">
        <f t="shared" si="0"/>
        <v>791</v>
      </c>
      <c r="P50">
        <f t="shared" si="1"/>
        <v>761</v>
      </c>
      <c r="Q50" s="11">
        <f t="shared" ca="1" si="5"/>
        <v>45264</v>
      </c>
      <c r="R50" s="11">
        <f t="shared" ca="1" si="5"/>
        <v>45294</v>
      </c>
    </row>
    <row r="51" spans="1:18" x14ac:dyDescent="0.25">
      <c r="A51" s="2">
        <v>2432</v>
      </c>
      <c r="B51" s="2">
        <v>1486</v>
      </c>
      <c r="C51" s="3">
        <v>40071</v>
      </c>
      <c r="D51" s="4" t="s">
        <v>10</v>
      </c>
      <c r="E51" s="2">
        <v>0</v>
      </c>
      <c r="F51" s="3">
        <f t="shared" si="4"/>
        <v>40101</v>
      </c>
      <c r="G51" s="2">
        <v>14</v>
      </c>
      <c r="H51" s="5">
        <v>0</v>
      </c>
      <c r="I51" s="2" t="b">
        <v>1</v>
      </c>
      <c r="J51" s="2">
        <v>640</v>
      </c>
      <c r="K51" s="2" t="b">
        <v>1</v>
      </c>
      <c r="L51" s="2" t="b">
        <v>0</v>
      </c>
      <c r="M51" s="2">
        <v>0</v>
      </c>
      <c r="N51" s="6">
        <v>6</v>
      </c>
      <c r="O51">
        <f t="shared" si="0"/>
        <v>791</v>
      </c>
      <c r="P51">
        <f t="shared" si="1"/>
        <v>761</v>
      </c>
      <c r="Q51" s="11">
        <f t="shared" ca="1" si="5"/>
        <v>45264</v>
      </c>
      <c r="R51" s="11">
        <f t="shared" ca="1" si="5"/>
        <v>45294</v>
      </c>
    </row>
    <row r="52" spans="1:18" x14ac:dyDescent="0.25">
      <c r="A52" s="2">
        <v>2433</v>
      </c>
      <c r="B52" s="2">
        <v>1095</v>
      </c>
      <c r="C52" s="3">
        <v>40080</v>
      </c>
      <c r="D52" s="4" t="s">
        <v>10</v>
      </c>
      <c r="E52" s="2">
        <v>0</v>
      </c>
      <c r="F52" s="3">
        <f t="shared" si="4"/>
        <v>40110</v>
      </c>
      <c r="G52" s="2">
        <v>420</v>
      </c>
      <c r="H52" s="5">
        <v>0</v>
      </c>
      <c r="I52" s="2" t="b">
        <v>1</v>
      </c>
      <c r="J52" s="2">
        <v>1524</v>
      </c>
      <c r="K52" s="2" t="b">
        <v>0</v>
      </c>
      <c r="L52" s="2" t="b">
        <v>0</v>
      </c>
      <c r="M52" s="2">
        <v>0</v>
      </c>
      <c r="N52" s="6">
        <v>6</v>
      </c>
      <c r="O52">
        <f t="shared" si="0"/>
        <v>782</v>
      </c>
      <c r="P52">
        <f t="shared" si="1"/>
        <v>752</v>
      </c>
      <c r="Q52" s="11">
        <f t="shared" ca="1" si="5"/>
        <v>45273</v>
      </c>
      <c r="R52" s="11">
        <f t="shared" ca="1" si="5"/>
        <v>45303</v>
      </c>
    </row>
    <row r="53" spans="1:18" x14ac:dyDescent="0.25">
      <c r="A53" s="2">
        <v>2434</v>
      </c>
      <c r="B53" s="2">
        <v>720</v>
      </c>
      <c r="C53" s="3">
        <v>40074</v>
      </c>
      <c r="D53" s="4" t="s">
        <v>10</v>
      </c>
      <c r="E53" s="2">
        <v>0</v>
      </c>
      <c r="F53" s="3">
        <f t="shared" si="4"/>
        <v>40104</v>
      </c>
      <c r="G53" s="2">
        <v>0</v>
      </c>
      <c r="H53" s="5">
        <v>0</v>
      </c>
      <c r="I53" s="2" t="b">
        <v>1</v>
      </c>
      <c r="J53" s="2">
        <v>640</v>
      </c>
      <c r="K53" s="2" t="b">
        <v>1</v>
      </c>
      <c r="L53" s="2" t="b">
        <v>0</v>
      </c>
      <c r="M53" s="2">
        <v>0</v>
      </c>
      <c r="N53" s="6">
        <v>6</v>
      </c>
      <c r="O53">
        <f t="shared" si="0"/>
        <v>788</v>
      </c>
      <c r="P53">
        <f t="shared" si="1"/>
        <v>758</v>
      </c>
      <c r="Q53" s="11">
        <f t="shared" ca="1" si="5"/>
        <v>45267</v>
      </c>
      <c r="R53" s="11">
        <f t="shared" ca="1" si="5"/>
        <v>45297</v>
      </c>
    </row>
    <row r="54" spans="1:18" x14ac:dyDescent="0.25">
      <c r="A54" s="2">
        <v>2435</v>
      </c>
      <c r="B54" s="2">
        <v>707</v>
      </c>
      <c r="C54" s="3">
        <v>40081</v>
      </c>
      <c r="D54" s="4" t="s">
        <v>10</v>
      </c>
      <c r="E54" s="2">
        <v>0</v>
      </c>
      <c r="F54" s="3">
        <f t="shared" si="4"/>
        <v>40111</v>
      </c>
      <c r="G54" s="2">
        <v>0</v>
      </c>
      <c r="H54" s="5">
        <v>0.05</v>
      </c>
      <c r="I54" s="2" t="b">
        <v>1</v>
      </c>
      <c r="J54" s="2">
        <v>1524</v>
      </c>
      <c r="K54" s="2" t="b">
        <v>0</v>
      </c>
      <c r="L54" s="2" t="b">
        <v>0</v>
      </c>
      <c r="M54" s="2">
        <v>0</v>
      </c>
      <c r="N54" s="6">
        <v>6</v>
      </c>
      <c r="O54">
        <f t="shared" si="0"/>
        <v>781</v>
      </c>
      <c r="P54">
        <f t="shared" si="1"/>
        <v>751</v>
      </c>
      <c r="Q54" s="11">
        <f t="shared" ca="1" si="5"/>
        <v>45274</v>
      </c>
      <c r="R54" s="11">
        <f t="shared" ca="1" si="5"/>
        <v>45304</v>
      </c>
    </row>
    <row r="55" spans="1:18" x14ac:dyDescent="0.25">
      <c r="A55" s="2">
        <v>2436</v>
      </c>
      <c r="B55" s="2">
        <v>1548</v>
      </c>
      <c r="C55" s="3">
        <v>40127</v>
      </c>
      <c r="D55" s="4" t="s">
        <v>10</v>
      </c>
      <c r="E55" s="2">
        <v>0</v>
      </c>
      <c r="F55" s="3">
        <f t="shared" si="4"/>
        <v>40157</v>
      </c>
      <c r="G55" s="2">
        <v>29</v>
      </c>
      <c r="H55" s="5">
        <v>0.03</v>
      </c>
      <c r="I55" s="2" t="b">
        <v>1</v>
      </c>
      <c r="J55" s="2">
        <v>1524</v>
      </c>
      <c r="K55" s="2" t="b">
        <v>0</v>
      </c>
      <c r="L55" s="2" t="b">
        <v>0</v>
      </c>
      <c r="M55" s="2">
        <v>0</v>
      </c>
      <c r="N55" s="6">
        <v>6</v>
      </c>
      <c r="O55">
        <f t="shared" si="0"/>
        <v>735</v>
      </c>
      <c r="P55">
        <f t="shared" si="1"/>
        <v>705</v>
      </c>
      <c r="Q55" s="11">
        <f t="shared" ca="1" si="5"/>
        <v>45320</v>
      </c>
      <c r="R55" s="11">
        <f t="shared" ca="1" si="5"/>
        <v>45350</v>
      </c>
    </row>
    <row r="56" spans="1:18" x14ac:dyDescent="0.25">
      <c r="A56" s="2">
        <v>2437</v>
      </c>
      <c r="B56" s="2">
        <v>1095</v>
      </c>
      <c r="C56" s="3">
        <v>40094</v>
      </c>
      <c r="D56" s="4" t="s">
        <v>10</v>
      </c>
      <c r="E56" s="2">
        <v>0</v>
      </c>
      <c r="F56" s="3">
        <f t="shared" si="4"/>
        <v>40124</v>
      </c>
      <c r="G56" s="2">
        <v>0</v>
      </c>
      <c r="H56" s="5">
        <v>0</v>
      </c>
      <c r="I56" s="2" t="b">
        <v>1</v>
      </c>
      <c r="J56" s="2">
        <v>1524</v>
      </c>
      <c r="K56" s="2" t="b">
        <v>0</v>
      </c>
      <c r="L56" s="2" t="b">
        <v>1</v>
      </c>
      <c r="M56" s="2">
        <v>0</v>
      </c>
      <c r="N56" s="6">
        <v>6</v>
      </c>
      <c r="O56">
        <f t="shared" si="0"/>
        <v>768</v>
      </c>
      <c r="P56">
        <f t="shared" si="1"/>
        <v>738</v>
      </c>
      <c r="Q56" s="11">
        <f t="shared" ca="1" si="5"/>
        <v>45287</v>
      </c>
      <c r="R56" s="11">
        <f t="shared" ca="1" si="5"/>
        <v>45317</v>
      </c>
    </row>
    <row r="57" spans="1:18" x14ac:dyDescent="0.25">
      <c r="A57" s="2">
        <v>2438</v>
      </c>
      <c r="B57" s="2">
        <v>2841</v>
      </c>
      <c r="C57" s="3">
        <v>40107</v>
      </c>
      <c r="D57" s="4" t="s">
        <v>10</v>
      </c>
      <c r="E57" s="2">
        <v>0</v>
      </c>
      <c r="F57" s="3">
        <f t="shared" si="4"/>
        <v>40137</v>
      </c>
      <c r="G57" s="2">
        <v>19</v>
      </c>
      <c r="H57" s="5">
        <v>0</v>
      </c>
      <c r="I57" s="2" t="b">
        <v>1</v>
      </c>
      <c r="J57" s="2">
        <v>640</v>
      </c>
      <c r="K57" s="2" t="b">
        <v>1</v>
      </c>
      <c r="L57" s="2" t="b">
        <v>0</v>
      </c>
      <c r="M57" s="2">
        <v>0</v>
      </c>
      <c r="N57" s="6">
        <v>6</v>
      </c>
      <c r="O57">
        <f t="shared" si="0"/>
        <v>755</v>
      </c>
      <c r="P57">
        <f t="shared" si="1"/>
        <v>725</v>
      </c>
      <c r="Q57" s="11">
        <f t="shared" ca="1" si="5"/>
        <v>45300</v>
      </c>
      <c r="R57" s="11">
        <f t="shared" ca="1" si="5"/>
        <v>45330</v>
      </c>
    </row>
    <row r="58" spans="1:18" x14ac:dyDescent="0.25">
      <c r="A58" s="2">
        <v>2439</v>
      </c>
      <c r="B58" s="2">
        <v>3651</v>
      </c>
      <c r="C58" s="3">
        <v>40106</v>
      </c>
      <c r="D58" s="4" t="s">
        <v>10</v>
      </c>
      <c r="E58" s="2">
        <v>0</v>
      </c>
      <c r="F58" s="3">
        <f t="shared" si="4"/>
        <v>40136</v>
      </c>
      <c r="G58" s="2">
        <v>14</v>
      </c>
      <c r="H58" s="5">
        <v>0</v>
      </c>
      <c r="I58" s="2" t="b">
        <v>1</v>
      </c>
      <c r="J58" s="2">
        <v>640</v>
      </c>
      <c r="K58" s="2" t="b">
        <v>1</v>
      </c>
      <c r="L58" s="2" t="b">
        <v>0</v>
      </c>
      <c r="M58" s="2">
        <v>0</v>
      </c>
      <c r="N58" s="6">
        <v>6</v>
      </c>
      <c r="O58">
        <f t="shared" si="0"/>
        <v>756</v>
      </c>
      <c r="P58">
        <f t="shared" si="1"/>
        <v>726</v>
      </c>
      <c r="Q58" s="11">
        <f t="shared" ca="1" si="5"/>
        <v>45299</v>
      </c>
      <c r="R58" s="11">
        <f t="shared" ca="1" si="5"/>
        <v>45329</v>
      </c>
    </row>
    <row r="59" spans="1:18" x14ac:dyDescent="0.25">
      <c r="A59" s="2">
        <v>2440</v>
      </c>
      <c r="B59" s="2">
        <v>978</v>
      </c>
      <c r="C59" s="3">
        <v>40134</v>
      </c>
      <c r="D59" s="4" t="s">
        <v>10</v>
      </c>
      <c r="E59" s="2">
        <v>0</v>
      </c>
      <c r="F59" s="3">
        <f t="shared" si="4"/>
        <v>40164</v>
      </c>
      <c r="G59" s="2">
        <v>14</v>
      </c>
      <c r="H59" s="5">
        <v>0</v>
      </c>
      <c r="I59" s="2" t="b">
        <v>1</v>
      </c>
      <c r="J59" s="2">
        <v>640</v>
      </c>
      <c r="K59" s="2" t="b">
        <v>1</v>
      </c>
      <c r="L59" s="2" t="b">
        <v>0</v>
      </c>
      <c r="M59" s="2">
        <v>0</v>
      </c>
      <c r="N59" s="6">
        <v>6</v>
      </c>
      <c r="O59">
        <f t="shared" si="0"/>
        <v>728</v>
      </c>
      <c r="P59">
        <f t="shared" si="1"/>
        <v>698</v>
      </c>
      <c r="Q59" s="11">
        <f t="shared" ca="1" si="5"/>
        <v>45327</v>
      </c>
      <c r="R59" s="11">
        <f t="shared" ca="1" si="5"/>
        <v>45357</v>
      </c>
    </row>
    <row r="60" spans="1:18" x14ac:dyDescent="0.25">
      <c r="A60" s="2">
        <v>2441</v>
      </c>
      <c r="B60" s="2">
        <v>3664</v>
      </c>
      <c r="C60" s="3">
        <v>40107</v>
      </c>
      <c r="D60" s="4" t="s">
        <v>10</v>
      </c>
      <c r="E60" s="2">
        <v>0</v>
      </c>
      <c r="F60" s="3">
        <f t="shared" si="4"/>
        <v>40137</v>
      </c>
      <c r="G60" s="2">
        <v>25</v>
      </c>
      <c r="H60" s="5">
        <v>0</v>
      </c>
      <c r="I60" s="2" t="b">
        <v>1</v>
      </c>
      <c r="J60" s="2">
        <v>640</v>
      </c>
      <c r="K60" s="2" t="b">
        <v>1</v>
      </c>
      <c r="L60" s="2" t="b">
        <v>0</v>
      </c>
      <c r="M60" s="2">
        <v>0</v>
      </c>
      <c r="N60" s="6">
        <v>6</v>
      </c>
      <c r="O60">
        <f t="shared" si="0"/>
        <v>755</v>
      </c>
      <c r="P60">
        <f t="shared" si="1"/>
        <v>725</v>
      </c>
      <c r="Q60" s="11">
        <f t="shared" ca="1" si="5"/>
        <v>45300</v>
      </c>
      <c r="R60" s="11">
        <f t="shared" ca="1" si="5"/>
        <v>45330</v>
      </c>
    </row>
    <row r="61" spans="1:18" x14ac:dyDescent="0.25">
      <c r="A61" s="2">
        <v>2442</v>
      </c>
      <c r="B61" s="2">
        <v>3665</v>
      </c>
      <c r="C61" s="3">
        <v>40127</v>
      </c>
      <c r="D61" s="4" t="s">
        <v>10</v>
      </c>
      <c r="E61" s="2">
        <v>0</v>
      </c>
      <c r="F61" s="3">
        <f t="shared" si="4"/>
        <v>40157</v>
      </c>
      <c r="G61" s="2">
        <v>60.25</v>
      </c>
      <c r="H61" s="5">
        <v>0</v>
      </c>
      <c r="I61" s="2" t="b">
        <v>1</v>
      </c>
      <c r="J61" s="2">
        <v>1524</v>
      </c>
      <c r="K61" s="2" t="b">
        <v>0</v>
      </c>
      <c r="L61" s="2" t="b">
        <v>0</v>
      </c>
      <c r="M61" s="2">
        <v>0</v>
      </c>
      <c r="N61" s="6">
        <v>6</v>
      </c>
      <c r="O61">
        <f t="shared" si="0"/>
        <v>735</v>
      </c>
      <c r="P61">
        <f t="shared" si="1"/>
        <v>705</v>
      </c>
      <c r="Q61" s="11">
        <f t="shared" ca="1" si="5"/>
        <v>45320</v>
      </c>
      <c r="R61" s="11">
        <f t="shared" ca="1" si="5"/>
        <v>45350</v>
      </c>
    </row>
    <row r="62" spans="1:18" x14ac:dyDescent="0.25">
      <c r="A62" s="2">
        <v>2443</v>
      </c>
      <c r="B62" s="2">
        <v>1559</v>
      </c>
      <c r="C62" s="3">
        <v>40102</v>
      </c>
      <c r="D62" s="4" t="s">
        <v>10</v>
      </c>
      <c r="E62" s="2">
        <v>0</v>
      </c>
      <c r="F62" s="3">
        <f t="shared" si="4"/>
        <v>40132</v>
      </c>
      <c r="G62" s="2">
        <v>0</v>
      </c>
      <c r="H62" s="5">
        <v>0</v>
      </c>
      <c r="I62" s="2" t="b">
        <v>1</v>
      </c>
      <c r="J62" s="2">
        <v>1524</v>
      </c>
      <c r="K62" s="2" t="b">
        <v>0</v>
      </c>
      <c r="L62" s="2" t="b">
        <v>1</v>
      </c>
      <c r="M62" s="2">
        <v>0</v>
      </c>
      <c r="N62" s="6">
        <v>6</v>
      </c>
      <c r="O62">
        <f t="shared" si="0"/>
        <v>760</v>
      </c>
      <c r="P62">
        <f t="shared" si="1"/>
        <v>730</v>
      </c>
      <c r="Q62" s="11">
        <f t="shared" ca="1" si="5"/>
        <v>45295</v>
      </c>
      <c r="R62" s="11">
        <f t="shared" ca="1" si="5"/>
        <v>45325</v>
      </c>
    </row>
    <row r="63" spans="1:18" x14ac:dyDescent="0.25">
      <c r="A63" s="2">
        <v>2444</v>
      </c>
      <c r="B63" s="2">
        <v>2765</v>
      </c>
      <c r="C63" s="3">
        <v>40107</v>
      </c>
      <c r="D63" s="4" t="s">
        <v>10</v>
      </c>
      <c r="E63" s="2">
        <v>0</v>
      </c>
      <c r="F63" s="3">
        <f t="shared" si="4"/>
        <v>40137</v>
      </c>
      <c r="G63" s="2">
        <v>19</v>
      </c>
      <c r="H63" s="5">
        <v>0</v>
      </c>
      <c r="I63" s="2" t="b">
        <v>1</v>
      </c>
      <c r="J63" s="2">
        <v>1524</v>
      </c>
      <c r="K63" s="2" t="b">
        <v>1</v>
      </c>
      <c r="L63" s="2" t="b">
        <v>0</v>
      </c>
      <c r="M63" s="2">
        <v>0</v>
      </c>
      <c r="N63" s="6">
        <v>6</v>
      </c>
      <c r="O63">
        <f t="shared" si="0"/>
        <v>755</v>
      </c>
      <c r="P63">
        <f t="shared" si="1"/>
        <v>725</v>
      </c>
      <c r="Q63" s="11">
        <f t="shared" ca="1" si="5"/>
        <v>45300</v>
      </c>
      <c r="R63" s="11">
        <f t="shared" ca="1" si="5"/>
        <v>45330</v>
      </c>
    </row>
    <row r="64" spans="1:18" x14ac:dyDescent="0.25">
      <c r="A64" s="2">
        <v>2445</v>
      </c>
      <c r="B64" s="2">
        <v>2857</v>
      </c>
      <c r="C64" s="3">
        <v>40132</v>
      </c>
      <c r="D64" s="4" t="s">
        <v>10</v>
      </c>
      <c r="E64" s="2">
        <v>0</v>
      </c>
      <c r="F64" s="3">
        <f t="shared" si="4"/>
        <v>40162</v>
      </c>
      <c r="G64" s="2">
        <v>14</v>
      </c>
      <c r="H64" s="5">
        <v>0</v>
      </c>
      <c r="I64" s="2" t="b">
        <v>1</v>
      </c>
      <c r="J64" s="2">
        <v>640</v>
      </c>
      <c r="K64" s="2" t="b">
        <v>1</v>
      </c>
      <c r="L64" s="2" t="b">
        <v>0</v>
      </c>
      <c r="M64" s="2">
        <v>0</v>
      </c>
      <c r="N64" s="6">
        <v>6</v>
      </c>
      <c r="O64">
        <f t="shared" si="0"/>
        <v>730</v>
      </c>
      <c r="P64">
        <f t="shared" si="1"/>
        <v>700</v>
      </c>
      <c r="Q64" s="11">
        <f t="shared" ca="1" si="5"/>
        <v>45325</v>
      </c>
      <c r="R64" s="11">
        <f t="shared" ca="1" si="5"/>
        <v>45355</v>
      </c>
    </row>
    <row r="65" spans="1:18" x14ac:dyDescent="0.25">
      <c r="A65" s="2">
        <v>2446</v>
      </c>
      <c r="B65" s="2">
        <v>2912</v>
      </c>
      <c r="C65" s="3">
        <v>40127</v>
      </c>
      <c r="D65" s="4" t="s">
        <v>10</v>
      </c>
      <c r="E65" s="2">
        <v>0</v>
      </c>
      <c r="F65" s="3">
        <f t="shared" si="4"/>
        <v>40157</v>
      </c>
      <c r="G65" s="2">
        <v>80</v>
      </c>
      <c r="H65" s="5">
        <v>0</v>
      </c>
      <c r="I65" s="2" t="b">
        <v>1</v>
      </c>
      <c r="J65" s="2">
        <v>1524</v>
      </c>
      <c r="K65" s="2" t="b">
        <v>0</v>
      </c>
      <c r="L65" s="2" t="b">
        <v>0</v>
      </c>
      <c r="M65" s="2">
        <v>0</v>
      </c>
      <c r="N65" s="6">
        <v>6</v>
      </c>
      <c r="O65">
        <f t="shared" si="0"/>
        <v>735</v>
      </c>
      <c r="P65">
        <f t="shared" si="1"/>
        <v>705</v>
      </c>
      <c r="Q65" s="11">
        <f t="shared" ca="1" si="5"/>
        <v>45320</v>
      </c>
      <c r="R65" s="11">
        <f t="shared" ca="1" si="5"/>
        <v>45350</v>
      </c>
    </row>
    <row r="66" spans="1:18" x14ac:dyDescent="0.25">
      <c r="A66" s="2">
        <v>2447</v>
      </c>
      <c r="B66" s="2">
        <v>2858</v>
      </c>
      <c r="C66" s="3">
        <v>40106</v>
      </c>
      <c r="D66" s="4" t="s">
        <v>10</v>
      </c>
      <c r="E66" s="2">
        <v>0</v>
      </c>
      <c r="F66" s="3">
        <f t="shared" si="4"/>
        <v>40136</v>
      </c>
      <c r="G66" s="2">
        <v>14</v>
      </c>
      <c r="H66" s="5">
        <v>0</v>
      </c>
      <c r="I66" s="2" t="b">
        <v>1</v>
      </c>
      <c r="J66" s="2">
        <v>640</v>
      </c>
      <c r="K66" s="2" t="b">
        <v>1</v>
      </c>
      <c r="L66" s="2" t="b">
        <v>0</v>
      </c>
      <c r="M66" s="2">
        <v>0</v>
      </c>
      <c r="N66" s="6">
        <v>6</v>
      </c>
      <c r="O66">
        <f t="shared" ref="O66:O129" si="6">DATEDIF(C66,DateFin,"d")</f>
        <v>756</v>
      </c>
      <c r="P66">
        <f t="shared" ref="P66:P129" si="7">DATEDIF(F66,DateFin,"d")</f>
        <v>726</v>
      </c>
      <c r="Q66" s="11">
        <f t="shared" ca="1" si="5"/>
        <v>45299</v>
      </c>
      <c r="R66" s="11">
        <f t="shared" ca="1" si="5"/>
        <v>45329</v>
      </c>
    </row>
    <row r="67" spans="1:18" x14ac:dyDescent="0.25">
      <c r="A67" s="2">
        <v>2448</v>
      </c>
      <c r="B67" s="2">
        <v>3608</v>
      </c>
      <c r="C67" s="3">
        <v>40107</v>
      </c>
      <c r="D67" s="4" t="s">
        <v>10</v>
      </c>
      <c r="E67" s="2">
        <v>0</v>
      </c>
      <c r="F67" s="3">
        <f t="shared" si="4"/>
        <v>40137</v>
      </c>
      <c r="G67" s="2">
        <v>24</v>
      </c>
      <c r="H67" s="5">
        <v>0</v>
      </c>
      <c r="I67" s="2" t="b">
        <v>1</v>
      </c>
      <c r="J67" s="2">
        <v>640</v>
      </c>
      <c r="K67" s="2" t="b">
        <v>1</v>
      </c>
      <c r="L67" s="2" t="b">
        <v>0</v>
      </c>
      <c r="M67" s="2">
        <v>0</v>
      </c>
      <c r="N67" s="6">
        <v>6</v>
      </c>
      <c r="O67">
        <f t="shared" si="6"/>
        <v>755</v>
      </c>
      <c r="P67">
        <f t="shared" si="7"/>
        <v>725</v>
      </c>
      <c r="Q67" s="11">
        <f t="shared" ca="1" si="5"/>
        <v>45300</v>
      </c>
      <c r="R67" s="11">
        <f t="shared" ca="1" si="5"/>
        <v>45330</v>
      </c>
    </row>
    <row r="68" spans="1:18" x14ac:dyDescent="0.25">
      <c r="A68" s="2">
        <v>2449</v>
      </c>
      <c r="B68" s="2">
        <v>2818</v>
      </c>
      <c r="C68" s="3">
        <v>40107</v>
      </c>
      <c r="D68" s="4" t="s">
        <v>10</v>
      </c>
      <c r="E68" s="2">
        <v>0</v>
      </c>
      <c r="F68" s="3">
        <f t="shared" si="4"/>
        <v>40137</v>
      </c>
      <c r="G68" s="2">
        <v>20</v>
      </c>
      <c r="H68" s="5">
        <v>0</v>
      </c>
      <c r="I68" s="2" t="b">
        <v>1</v>
      </c>
      <c r="J68" s="2">
        <v>640</v>
      </c>
      <c r="K68" s="2" t="b">
        <v>1</v>
      </c>
      <c r="L68" s="2" t="b">
        <v>0</v>
      </c>
      <c r="M68" s="2">
        <v>0</v>
      </c>
      <c r="N68" s="6">
        <v>6</v>
      </c>
      <c r="O68">
        <f t="shared" si="6"/>
        <v>755</v>
      </c>
      <c r="P68">
        <f t="shared" si="7"/>
        <v>725</v>
      </c>
      <c r="Q68" s="11">
        <f t="shared" ca="1" si="5"/>
        <v>45300</v>
      </c>
      <c r="R68" s="11">
        <f t="shared" ca="1" si="5"/>
        <v>45330</v>
      </c>
    </row>
    <row r="69" spans="1:18" x14ac:dyDescent="0.25">
      <c r="A69" s="2">
        <v>2450</v>
      </c>
      <c r="B69" s="2">
        <v>1271</v>
      </c>
      <c r="C69" s="3">
        <v>40107</v>
      </c>
      <c r="D69" s="4" t="s">
        <v>10</v>
      </c>
      <c r="E69" s="2">
        <v>0</v>
      </c>
      <c r="F69" s="3">
        <f t="shared" si="4"/>
        <v>40137</v>
      </c>
      <c r="G69" s="2">
        <v>0</v>
      </c>
      <c r="H69" s="5">
        <v>0</v>
      </c>
      <c r="I69" s="2" t="b">
        <v>1</v>
      </c>
      <c r="J69" s="2">
        <v>640</v>
      </c>
      <c r="K69" s="2" t="b">
        <v>1</v>
      </c>
      <c r="L69" s="2" t="b">
        <v>0</v>
      </c>
      <c r="M69" s="2">
        <v>0</v>
      </c>
      <c r="N69" s="6">
        <v>6</v>
      </c>
      <c r="O69">
        <f t="shared" si="6"/>
        <v>755</v>
      </c>
      <c r="P69">
        <f t="shared" si="7"/>
        <v>725</v>
      </c>
      <c r="Q69" s="11">
        <f t="shared" ca="1" si="5"/>
        <v>45300</v>
      </c>
      <c r="R69" s="11">
        <f t="shared" ca="1" si="5"/>
        <v>45330</v>
      </c>
    </row>
    <row r="70" spans="1:18" x14ac:dyDescent="0.25">
      <c r="A70" s="2">
        <v>2451</v>
      </c>
      <c r="B70" s="2">
        <v>3667</v>
      </c>
      <c r="C70" s="3">
        <v>40110</v>
      </c>
      <c r="D70" s="4" t="s">
        <v>10</v>
      </c>
      <c r="E70" s="2">
        <v>0</v>
      </c>
      <c r="F70" s="3">
        <f t="shared" si="4"/>
        <v>40140</v>
      </c>
      <c r="G70" s="2">
        <v>0</v>
      </c>
      <c r="H70" s="5">
        <v>0.2</v>
      </c>
      <c r="I70" s="2" t="b">
        <v>1</v>
      </c>
      <c r="J70" s="2">
        <v>1524</v>
      </c>
      <c r="K70" s="2" t="b">
        <v>0</v>
      </c>
      <c r="L70" s="2" t="b">
        <v>0</v>
      </c>
      <c r="M70" s="2">
        <v>0</v>
      </c>
      <c r="N70" s="6">
        <v>6</v>
      </c>
      <c r="O70">
        <f t="shared" si="6"/>
        <v>752</v>
      </c>
      <c r="P70">
        <f t="shared" si="7"/>
        <v>722</v>
      </c>
      <c r="Q70" s="11">
        <f t="shared" ca="1" si="5"/>
        <v>45303</v>
      </c>
      <c r="R70" s="11">
        <f t="shared" ca="1" si="5"/>
        <v>45333</v>
      </c>
    </row>
    <row r="71" spans="1:18" x14ac:dyDescent="0.25">
      <c r="A71" s="2">
        <v>2452</v>
      </c>
      <c r="B71" s="2">
        <v>3668</v>
      </c>
      <c r="C71" s="3">
        <v>40110</v>
      </c>
      <c r="D71" s="4" t="s">
        <v>10</v>
      </c>
      <c r="E71" s="2">
        <v>0</v>
      </c>
      <c r="F71" s="3">
        <f t="shared" si="4"/>
        <v>40140</v>
      </c>
      <c r="G71" s="2">
        <v>0</v>
      </c>
      <c r="H71" s="5">
        <v>0.2</v>
      </c>
      <c r="I71" s="2" t="b">
        <v>1</v>
      </c>
      <c r="J71" s="2">
        <v>1524</v>
      </c>
      <c r="K71" s="2" t="b">
        <v>0</v>
      </c>
      <c r="L71" s="2" t="b">
        <v>0</v>
      </c>
      <c r="M71" s="2">
        <v>0</v>
      </c>
      <c r="N71" s="6">
        <v>6</v>
      </c>
      <c r="O71">
        <f t="shared" si="6"/>
        <v>752</v>
      </c>
      <c r="P71">
        <f t="shared" si="7"/>
        <v>722</v>
      </c>
      <c r="Q71" s="11">
        <f t="shared" ca="1" si="5"/>
        <v>45303</v>
      </c>
      <c r="R71" s="11">
        <f t="shared" ca="1" si="5"/>
        <v>45333</v>
      </c>
    </row>
    <row r="72" spans="1:18" x14ac:dyDescent="0.25">
      <c r="A72" s="2">
        <v>2453</v>
      </c>
      <c r="B72" s="2">
        <v>3669</v>
      </c>
      <c r="C72" s="3">
        <v>40110</v>
      </c>
      <c r="D72" s="4" t="s">
        <v>10</v>
      </c>
      <c r="E72" s="2">
        <v>0</v>
      </c>
      <c r="F72" s="3">
        <f t="shared" si="4"/>
        <v>40140</v>
      </c>
      <c r="G72" s="2">
        <v>0</v>
      </c>
      <c r="H72" s="5">
        <v>0.1</v>
      </c>
      <c r="I72" s="2" t="b">
        <v>1</v>
      </c>
      <c r="J72" s="2">
        <v>1524</v>
      </c>
      <c r="K72" s="2" t="b">
        <v>0</v>
      </c>
      <c r="L72" s="2" t="b">
        <v>0</v>
      </c>
      <c r="M72" s="2">
        <v>0</v>
      </c>
      <c r="N72" s="6">
        <v>6</v>
      </c>
      <c r="O72">
        <f t="shared" si="6"/>
        <v>752</v>
      </c>
      <c r="P72">
        <f t="shared" si="7"/>
        <v>722</v>
      </c>
      <c r="Q72" s="11">
        <f t="shared" ca="1" si="5"/>
        <v>45303</v>
      </c>
      <c r="R72" s="11">
        <f t="shared" ca="1" si="5"/>
        <v>45333</v>
      </c>
    </row>
    <row r="73" spans="1:18" x14ac:dyDescent="0.25">
      <c r="A73" s="2">
        <v>2454</v>
      </c>
      <c r="B73" s="2">
        <v>1745</v>
      </c>
      <c r="C73" s="3">
        <v>40112</v>
      </c>
      <c r="D73" s="4" t="s">
        <v>10</v>
      </c>
      <c r="E73" s="2">
        <v>4000</v>
      </c>
      <c r="F73" s="3">
        <f t="shared" si="4"/>
        <v>40142</v>
      </c>
      <c r="G73" s="2">
        <v>0</v>
      </c>
      <c r="H73" s="5">
        <v>0.2</v>
      </c>
      <c r="I73" s="2" t="b">
        <v>1</v>
      </c>
      <c r="J73" s="2">
        <v>1524</v>
      </c>
      <c r="K73" s="2" t="b">
        <v>0</v>
      </c>
      <c r="L73" s="2" t="b">
        <v>0</v>
      </c>
      <c r="M73" s="2">
        <v>0</v>
      </c>
      <c r="N73" s="6">
        <v>6</v>
      </c>
      <c r="O73">
        <f t="shared" si="6"/>
        <v>750</v>
      </c>
      <c r="P73">
        <f t="shared" si="7"/>
        <v>720</v>
      </c>
      <c r="Q73" s="11">
        <f t="shared" ca="1" si="5"/>
        <v>45305</v>
      </c>
      <c r="R73" s="11">
        <f t="shared" ca="1" si="5"/>
        <v>45335</v>
      </c>
    </row>
    <row r="74" spans="1:18" x14ac:dyDescent="0.25">
      <c r="A74" s="2">
        <v>2455</v>
      </c>
      <c r="B74" s="2">
        <v>2833</v>
      </c>
      <c r="C74" s="3">
        <v>40127</v>
      </c>
      <c r="D74" s="4" t="s">
        <v>10</v>
      </c>
      <c r="E74" s="2">
        <v>0</v>
      </c>
      <c r="F74" s="3">
        <f t="shared" si="4"/>
        <v>40157</v>
      </c>
      <c r="G74" s="2">
        <v>14</v>
      </c>
      <c r="H74" s="5">
        <v>0</v>
      </c>
      <c r="I74" s="2" t="b">
        <v>1</v>
      </c>
      <c r="J74" s="2">
        <v>640</v>
      </c>
      <c r="K74" s="2" t="b">
        <v>1</v>
      </c>
      <c r="L74" s="2" t="b">
        <v>0</v>
      </c>
      <c r="M74" s="2">
        <v>0</v>
      </c>
      <c r="N74" s="6">
        <v>6</v>
      </c>
      <c r="O74">
        <f t="shared" si="6"/>
        <v>735</v>
      </c>
      <c r="P74">
        <f t="shared" si="7"/>
        <v>705</v>
      </c>
      <c r="Q74" s="11">
        <f t="shared" ca="1" si="5"/>
        <v>45320</v>
      </c>
      <c r="R74" s="11">
        <f t="shared" ca="1" si="5"/>
        <v>45350</v>
      </c>
    </row>
    <row r="75" spans="1:18" x14ac:dyDescent="0.25">
      <c r="A75" s="2">
        <v>2456</v>
      </c>
      <c r="B75" s="2">
        <v>2866</v>
      </c>
      <c r="C75" s="3">
        <v>40127</v>
      </c>
      <c r="D75" s="4" t="s">
        <v>10</v>
      </c>
      <c r="E75" s="2">
        <v>0</v>
      </c>
      <c r="F75" s="3">
        <f t="shared" si="4"/>
        <v>40157</v>
      </c>
      <c r="G75" s="2">
        <v>14</v>
      </c>
      <c r="H75" s="5">
        <v>0</v>
      </c>
      <c r="I75" s="2" t="b">
        <v>1</v>
      </c>
      <c r="J75" s="2">
        <v>640</v>
      </c>
      <c r="K75" s="2" t="b">
        <v>1</v>
      </c>
      <c r="L75" s="2" t="b">
        <v>0</v>
      </c>
      <c r="M75" s="2">
        <v>0</v>
      </c>
      <c r="N75" s="6">
        <v>6</v>
      </c>
      <c r="O75">
        <f t="shared" si="6"/>
        <v>735</v>
      </c>
      <c r="P75">
        <f t="shared" si="7"/>
        <v>705</v>
      </c>
      <c r="Q75" s="11">
        <f t="shared" ca="1" si="5"/>
        <v>45320</v>
      </c>
      <c r="R75" s="11">
        <f t="shared" ca="1" si="5"/>
        <v>45350</v>
      </c>
    </row>
    <row r="76" spans="1:18" x14ac:dyDescent="0.25">
      <c r="A76" s="2">
        <v>2457</v>
      </c>
      <c r="B76" s="2">
        <v>1493</v>
      </c>
      <c r="C76" s="3">
        <v>40127</v>
      </c>
      <c r="D76" s="4" t="s">
        <v>10</v>
      </c>
      <c r="E76" s="2">
        <v>0</v>
      </c>
      <c r="F76" s="3">
        <f t="shared" si="4"/>
        <v>40157</v>
      </c>
      <c r="G76" s="2">
        <v>8</v>
      </c>
      <c r="H76" s="5">
        <v>0</v>
      </c>
      <c r="I76" s="2" t="b">
        <v>1</v>
      </c>
      <c r="J76" s="2">
        <v>640</v>
      </c>
      <c r="K76" s="2" t="b">
        <v>1</v>
      </c>
      <c r="L76" s="2" t="b">
        <v>0</v>
      </c>
      <c r="M76" s="2">
        <v>0</v>
      </c>
      <c r="N76" s="6">
        <v>6</v>
      </c>
      <c r="O76">
        <f t="shared" si="6"/>
        <v>735</v>
      </c>
      <c r="P76">
        <f t="shared" si="7"/>
        <v>705</v>
      </c>
      <c r="Q76" s="11">
        <f t="shared" ca="1" si="5"/>
        <v>45320</v>
      </c>
      <c r="R76" s="11">
        <f t="shared" ca="1" si="5"/>
        <v>45350</v>
      </c>
    </row>
    <row r="77" spans="1:18" x14ac:dyDescent="0.25">
      <c r="A77" s="2">
        <v>2458</v>
      </c>
      <c r="B77" s="2">
        <v>1484</v>
      </c>
      <c r="C77" s="3">
        <v>40162</v>
      </c>
      <c r="D77" s="4" t="s">
        <v>10</v>
      </c>
      <c r="E77" s="2">
        <v>0</v>
      </c>
      <c r="F77" s="3">
        <f t="shared" si="4"/>
        <v>40192</v>
      </c>
      <c r="G77" s="2">
        <v>28</v>
      </c>
      <c r="H77" s="5">
        <v>0</v>
      </c>
      <c r="I77" s="2" t="b">
        <v>1</v>
      </c>
      <c r="J77" s="2">
        <v>640</v>
      </c>
      <c r="K77" s="2" t="b">
        <v>1</v>
      </c>
      <c r="L77" s="2" t="b">
        <v>0</v>
      </c>
      <c r="M77" s="2">
        <v>0</v>
      </c>
      <c r="N77" s="6">
        <v>6</v>
      </c>
      <c r="O77">
        <f t="shared" si="6"/>
        <v>700</v>
      </c>
      <c r="P77">
        <f t="shared" si="7"/>
        <v>670</v>
      </c>
      <c r="Q77" s="11">
        <f t="shared" ca="1" si="5"/>
        <v>45355</v>
      </c>
      <c r="R77" s="11">
        <f t="shared" ca="1" si="5"/>
        <v>45385</v>
      </c>
    </row>
    <row r="78" spans="1:18" x14ac:dyDescent="0.25">
      <c r="A78" s="2">
        <v>2459</v>
      </c>
      <c r="B78" s="2">
        <v>2503</v>
      </c>
      <c r="C78" s="3">
        <v>40162</v>
      </c>
      <c r="D78" s="4" t="s">
        <v>10</v>
      </c>
      <c r="E78" s="2">
        <v>0</v>
      </c>
      <c r="F78" s="3">
        <f t="shared" si="4"/>
        <v>40192</v>
      </c>
      <c r="G78" s="2">
        <v>20</v>
      </c>
      <c r="H78" s="5">
        <v>0</v>
      </c>
      <c r="I78" s="2" t="b">
        <v>1</v>
      </c>
      <c r="J78" s="2">
        <v>640</v>
      </c>
      <c r="K78" s="2" t="b">
        <v>1</v>
      </c>
      <c r="L78" s="2" t="b">
        <v>0</v>
      </c>
      <c r="M78" s="2">
        <v>0</v>
      </c>
      <c r="N78" s="6">
        <v>6</v>
      </c>
      <c r="O78">
        <f t="shared" si="6"/>
        <v>700</v>
      </c>
      <c r="P78">
        <f t="shared" si="7"/>
        <v>670</v>
      </c>
      <c r="Q78" s="11">
        <f t="shared" ca="1" si="5"/>
        <v>45355</v>
      </c>
      <c r="R78" s="11">
        <f t="shared" ca="1" si="5"/>
        <v>45385</v>
      </c>
    </row>
    <row r="79" spans="1:18" x14ac:dyDescent="0.25">
      <c r="A79" s="2">
        <v>2460</v>
      </c>
      <c r="B79" s="2">
        <v>2852</v>
      </c>
      <c r="C79" s="3">
        <v>40130</v>
      </c>
      <c r="D79" s="4" t="s">
        <v>10</v>
      </c>
      <c r="E79" s="2">
        <v>0</v>
      </c>
      <c r="F79" s="3">
        <f t="shared" si="4"/>
        <v>40160</v>
      </c>
      <c r="G79" s="2">
        <v>14</v>
      </c>
      <c r="H79" s="5">
        <v>0</v>
      </c>
      <c r="I79" s="2" t="b">
        <v>1</v>
      </c>
      <c r="J79" s="2">
        <v>640</v>
      </c>
      <c r="K79" s="2" t="b">
        <v>1</v>
      </c>
      <c r="L79" s="2" t="b">
        <v>0</v>
      </c>
      <c r="M79" s="2">
        <v>0</v>
      </c>
      <c r="N79" s="6">
        <v>6</v>
      </c>
      <c r="O79">
        <f t="shared" si="6"/>
        <v>732</v>
      </c>
      <c r="P79">
        <f t="shared" si="7"/>
        <v>702</v>
      </c>
      <c r="Q79" s="11">
        <f t="shared" ca="1" si="5"/>
        <v>45323</v>
      </c>
      <c r="R79" s="11">
        <f t="shared" ca="1" si="5"/>
        <v>45353</v>
      </c>
    </row>
    <row r="80" spans="1:18" x14ac:dyDescent="0.25">
      <c r="A80" s="2">
        <v>2461</v>
      </c>
      <c r="B80" s="2">
        <v>2407</v>
      </c>
      <c r="C80" s="3">
        <v>40130</v>
      </c>
      <c r="D80" s="4" t="s">
        <v>10</v>
      </c>
      <c r="E80" s="2">
        <v>0</v>
      </c>
      <c r="F80" s="3">
        <f t="shared" si="4"/>
        <v>40160</v>
      </c>
      <c r="G80" s="2">
        <v>12</v>
      </c>
      <c r="H80" s="5">
        <v>0</v>
      </c>
      <c r="I80" s="2" t="b">
        <v>1</v>
      </c>
      <c r="J80" s="2">
        <v>640</v>
      </c>
      <c r="K80" s="2" t="b">
        <v>1</v>
      </c>
      <c r="L80" s="2" t="b">
        <v>0</v>
      </c>
      <c r="M80" s="2">
        <v>0</v>
      </c>
      <c r="N80" s="6">
        <v>6</v>
      </c>
      <c r="O80">
        <f t="shared" si="6"/>
        <v>732</v>
      </c>
      <c r="P80">
        <f t="shared" si="7"/>
        <v>702</v>
      </c>
      <c r="Q80" s="11">
        <f t="shared" ca="1" si="5"/>
        <v>45323</v>
      </c>
      <c r="R80" s="11">
        <f t="shared" ca="1" si="5"/>
        <v>45353</v>
      </c>
    </row>
    <row r="81" spans="1:18" x14ac:dyDescent="0.25">
      <c r="A81" s="2">
        <v>2462</v>
      </c>
      <c r="B81" s="2">
        <v>2259</v>
      </c>
      <c r="C81" s="3">
        <v>40133</v>
      </c>
      <c r="D81" s="4" t="s">
        <v>10</v>
      </c>
      <c r="E81" s="2">
        <v>0</v>
      </c>
      <c r="F81" s="3">
        <f t="shared" si="4"/>
        <v>40163</v>
      </c>
      <c r="G81" s="2">
        <v>0</v>
      </c>
      <c r="H81" s="5">
        <v>0.03</v>
      </c>
      <c r="I81" s="2" t="b">
        <v>1</v>
      </c>
      <c r="J81" s="2">
        <v>1524</v>
      </c>
      <c r="K81" s="2" t="b">
        <v>0</v>
      </c>
      <c r="L81" s="2" t="b">
        <v>0</v>
      </c>
      <c r="M81" s="2">
        <v>0</v>
      </c>
      <c r="N81" s="6">
        <v>6</v>
      </c>
      <c r="O81">
        <f t="shared" si="6"/>
        <v>729</v>
      </c>
      <c r="P81">
        <f t="shared" si="7"/>
        <v>699</v>
      </c>
      <c r="Q81" s="11">
        <f t="shared" ca="1" si="5"/>
        <v>45326</v>
      </c>
      <c r="R81" s="11">
        <f t="shared" ca="1" si="5"/>
        <v>45356</v>
      </c>
    </row>
    <row r="82" spans="1:18" x14ac:dyDescent="0.25">
      <c r="A82" s="2">
        <v>2463</v>
      </c>
      <c r="B82" s="2">
        <v>1108</v>
      </c>
      <c r="C82" s="3">
        <v>40133</v>
      </c>
      <c r="D82" s="4" t="s">
        <v>10</v>
      </c>
      <c r="E82" s="2">
        <v>0</v>
      </c>
      <c r="F82" s="3">
        <f t="shared" si="4"/>
        <v>40163</v>
      </c>
      <c r="G82" s="2">
        <v>0</v>
      </c>
      <c r="H82" s="5">
        <v>0.1</v>
      </c>
      <c r="I82" s="2" t="b">
        <v>1</v>
      </c>
      <c r="J82" s="2">
        <v>1524</v>
      </c>
      <c r="K82" s="2" t="b">
        <v>0</v>
      </c>
      <c r="L82" s="2" t="b">
        <v>0</v>
      </c>
      <c r="M82" s="2">
        <v>0</v>
      </c>
      <c r="N82" s="6">
        <v>6</v>
      </c>
      <c r="O82">
        <f t="shared" si="6"/>
        <v>729</v>
      </c>
      <c r="P82">
        <f t="shared" si="7"/>
        <v>699</v>
      </c>
      <c r="Q82" s="11">
        <f t="shared" ca="1" si="5"/>
        <v>45326</v>
      </c>
      <c r="R82" s="11">
        <f t="shared" ca="1" si="5"/>
        <v>45356</v>
      </c>
    </row>
    <row r="83" spans="1:18" x14ac:dyDescent="0.25">
      <c r="A83" s="2">
        <v>2464</v>
      </c>
      <c r="B83" s="2">
        <v>3623</v>
      </c>
      <c r="C83" s="3">
        <v>40148</v>
      </c>
      <c r="D83" s="4" t="s">
        <v>10</v>
      </c>
      <c r="E83" s="2">
        <v>0</v>
      </c>
      <c r="F83" s="3">
        <f t="shared" si="4"/>
        <v>40178</v>
      </c>
      <c r="G83" s="2">
        <v>14</v>
      </c>
      <c r="H83" s="5">
        <v>0</v>
      </c>
      <c r="I83" s="2" t="b">
        <v>1</v>
      </c>
      <c r="J83" s="2">
        <v>640</v>
      </c>
      <c r="K83" s="2" t="b">
        <v>1</v>
      </c>
      <c r="L83" s="2" t="b">
        <v>0</v>
      </c>
      <c r="M83" s="2">
        <v>0</v>
      </c>
      <c r="N83" s="6">
        <v>6</v>
      </c>
      <c r="O83">
        <f t="shared" si="6"/>
        <v>714</v>
      </c>
      <c r="P83">
        <f t="shared" si="7"/>
        <v>684</v>
      </c>
      <c r="Q83" s="11">
        <f t="shared" ca="1" si="5"/>
        <v>45341</v>
      </c>
      <c r="R83" s="11">
        <f t="shared" ca="1" si="5"/>
        <v>45371</v>
      </c>
    </row>
    <row r="84" spans="1:18" x14ac:dyDescent="0.25">
      <c r="A84" s="2">
        <v>2465</v>
      </c>
      <c r="B84" s="2">
        <v>3638</v>
      </c>
      <c r="C84" s="3">
        <v>40135</v>
      </c>
      <c r="D84" s="4" t="s">
        <v>10</v>
      </c>
      <c r="E84" s="2">
        <v>0</v>
      </c>
      <c r="F84" s="3">
        <f t="shared" si="4"/>
        <v>40165</v>
      </c>
      <c r="G84" s="2">
        <v>40</v>
      </c>
      <c r="H84" s="5">
        <v>0</v>
      </c>
      <c r="I84" s="2" t="b">
        <v>1</v>
      </c>
      <c r="J84" s="2">
        <v>1524</v>
      </c>
      <c r="K84" s="2" t="b">
        <v>0</v>
      </c>
      <c r="L84" s="2" t="b">
        <v>0</v>
      </c>
      <c r="M84" s="2">
        <v>0</v>
      </c>
      <c r="N84" s="6">
        <v>6</v>
      </c>
      <c r="O84">
        <f t="shared" si="6"/>
        <v>727</v>
      </c>
      <c r="P84">
        <f t="shared" si="7"/>
        <v>697</v>
      </c>
      <c r="Q84" s="11">
        <f t="shared" ca="1" si="5"/>
        <v>45328</v>
      </c>
      <c r="R84" s="11">
        <f t="shared" ca="1" si="5"/>
        <v>45358</v>
      </c>
    </row>
    <row r="85" spans="1:18" x14ac:dyDescent="0.25">
      <c r="A85" s="2">
        <v>2466</v>
      </c>
      <c r="B85" s="2">
        <v>2822</v>
      </c>
      <c r="C85" s="3">
        <v>40142</v>
      </c>
      <c r="D85" s="4" t="s">
        <v>10</v>
      </c>
      <c r="E85" s="2">
        <v>0</v>
      </c>
      <c r="F85" s="3">
        <f t="shared" si="4"/>
        <v>40172</v>
      </c>
      <c r="G85" s="2">
        <v>20</v>
      </c>
      <c r="H85" s="5">
        <v>0</v>
      </c>
      <c r="I85" s="2" t="b">
        <v>1</v>
      </c>
      <c r="J85" s="2">
        <v>640</v>
      </c>
      <c r="K85" s="2" t="b">
        <v>1</v>
      </c>
      <c r="L85" s="2" t="b">
        <v>0</v>
      </c>
      <c r="M85" s="2">
        <v>0</v>
      </c>
      <c r="N85" s="6">
        <v>6</v>
      </c>
      <c r="O85">
        <f t="shared" si="6"/>
        <v>720</v>
      </c>
      <c r="P85">
        <f t="shared" si="7"/>
        <v>690</v>
      </c>
      <c r="Q85" s="11">
        <f t="shared" ca="1" si="5"/>
        <v>45335</v>
      </c>
      <c r="R85" s="11">
        <f t="shared" ca="1" si="5"/>
        <v>45365</v>
      </c>
    </row>
    <row r="86" spans="1:18" x14ac:dyDescent="0.25">
      <c r="A86" s="2">
        <v>2467</v>
      </c>
      <c r="B86" s="2">
        <v>3671</v>
      </c>
      <c r="C86" s="3">
        <v>40138</v>
      </c>
      <c r="D86" s="4" t="s">
        <v>10</v>
      </c>
      <c r="E86" s="2">
        <v>0</v>
      </c>
      <c r="F86" s="3">
        <f t="shared" si="4"/>
        <v>40168</v>
      </c>
      <c r="G86" s="2">
        <v>14</v>
      </c>
      <c r="H86" s="5">
        <v>0</v>
      </c>
      <c r="I86" s="2" t="b">
        <v>1</v>
      </c>
      <c r="J86" s="2">
        <v>640</v>
      </c>
      <c r="K86" s="2" t="b">
        <v>1</v>
      </c>
      <c r="L86" s="2" t="b">
        <v>0</v>
      </c>
      <c r="M86" s="2">
        <v>0</v>
      </c>
      <c r="N86" s="6">
        <v>6</v>
      </c>
      <c r="O86">
        <f t="shared" si="6"/>
        <v>724</v>
      </c>
      <c r="P86">
        <f t="shared" si="7"/>
        <v>694</v>
      </c>
      <c r="Q86" s="11">
        <f t="shared" ca="1" si="5"/>
        <v>45331</v>
      </c>
      <c r="R86" s="11">
        <f t="shared" ca="1" si="5"/>
        <v>45361</v>
      </c>
    </row>
    <row r="87" spans="1:18" x14ac:dyDescent="0.25">
      <c r="A87" s="2">
        <v>2468</v>
      </c>
      <c r="B87" s="2">
        <v>2962</v>
      </c>
      <c r="C87" s="3">
        <v>40140</v>
      </c>
      <c r="D87" s="4" t="s">
        <v>10</v>
      </c>
      <c r="E87" s="2">
        <v>0</v>
      </c>
      <c r="F87" s="3">
        <f t="shared" si="4"/>
        <v>40170</v>
      </c>
      <c r="G87" s="2">
        <v>60</v>
      </c>
      <c r="H87" s="5">
        <v>0</v>
      </c>
      <c r="I87" s="2" t="b">
        <v>1</v>
      </c>
      <c r="J87" s="2">
        <v>1524</v>
      </c>
      <c r="K87" s="2" t="b">
        <v>0</v>
      </c>
      <c r="L87" s="2" t="b">
        <v>0</v>
      </c>
      <c r="M87" s="2">
        <v>0</v>
      </c>
      <c r="N87" s="6">
        <v>6</v>
      </c>
      <c r="O87">
        <f t="shared" si="6"/>
        <v>722</v>
      </c>
      <c r="P87">
        <f t="shared" si="7"/>
        <v>692</v>
      </c>
      <c r="Q87" s="11">
        <f t="shared" ca="1" si="5"/>
        <v>45333</v>
      </c>
      <c r="R87" s="11">
        <f t="shared" ca="1" si="5"/>
        <v>45363</v>
      </c>
    </row>
    <row r="88" spans="1:18" x14ac:dyDescent="0.25">
      <c r="A88" s="2">
        <v>2469</v>
      </c>
      <c r="B88" s="2">
        <v>887</v>
      </c>
      <c r="C88" s="3">
        <v>40140</v>
      </c>
      <c r="D88" s="4" t="s">
        <v>10</v>
      </c>
      <c r="E88" s="2">
        <v>0</v>
      </c>
      <c r="F88" s="3">
        <f t="shared" ref="F88:F151" si="8">C88+30</f>
        <v>40170</v>
      </c>
      <c r="G88" s="2">
        <v>0</v>
      </c>
      <c r="H88" s="5">
        <v>0</v>
      </c>
      <c r="I88" s="2" t="b">
        <v>1</v>
      </c>
      <c r="J88" s="2">
        <v>1524</v>
      </c>
      <c r="K88" s="2" t="b">
        <v>0</v>
      </c>
      <c r="L88" s="2" t="b">
        <v>0</v>
      </c>
      <c r="M88" s="2">
        <v>0</v>
      </c>
      <c r="N88" s="6">
        <v>6</v>
      </c>
      <c r="O88">
        <f t="shared" si="6"/>
        <v>722</v>
      </c>
      <c r="P88">
        <f t="shared" si="7"/>
        <v>692</v>
      </c>
      <c r="Q88" s="11">
        <f t="shared" ref="Q88:R151" ca="1" si="9">TODAY()-O88</f>
        <v>45333</v>
      </c>
      <c r="R88" s="11">
        <f t="shared" ca="1" si="9"/>
        <v>45363</v>
      </c>
    </row>
    <row r="89" spans="1:18" x14ac:dyDescent="0.25">
      <c r="A89" s="2">
        <v>2470</v>
      </c>
      <c r="B89" s="2">
        <v>1548</v>
      </c>
      <c r="C89" s="3">
        <v>40141</v>
      </c>
      <c r="D89" s="4" t="s">
        <v>10</v>
      </c>
      <c r="E89" s="2">
        <v>0</v>
      </c>
      <c r="F89" s="3">
        <f t="shared" si="8"/>
        <v>40171</v>
      </c>
      <c r="G89" s="2">
        <v>0</v>
      </c>
      <c r="H89" s="5">
        <v>0.1</v>
      </c>
      <c r="I89" s="2" t="b">
        <v>1</v>
      </c>
      <c r="J89" s="2">
        <v>1524</v>
      </c>
      <c r="K89" s="2" t="b">
        <v>0</v>
      </c>
      <c r="L89" s="2" t="b">
        <v>0</v>
      </c>
      <c r="M89" s="2">
        <v>0</v>
      </c>
      <c r="N89" s="6">
        <v>6</v>
      </c>
      <c r="O89">
        <f t="shared" si="6"/>
        <v>721</v>
      </c>
      <c r="P89">
        <f t="shared" si="7"/>
        <v>691</v>
      </c>
      <c r="Q89" s="11">
        <f t="shared" ca="1" si="9"/>
        <v>45334</v>
      </c>
      <c r="R89" s="11">
        <f t="shared" ca="1" si="9"/>
        <v>45364</v>
      </c>
    </row>
    <row r="90" spans="1:18" x14ac:dyDescent="0.25">
      <c r="A90" s="2">
        <v>2471</v>
      </c>
      <c r="B90" s="2">
        <v>3620</v>
      </c>
      <c r="C90" s="3">
        <v>40141</v>
      </c>
      <c r="D90" s="4" t="s">
        <v>10</v>
      </c>
      <c r="E90" s="2">
        <v>0</v>
      </c>
      <c r="F90" s="3">
        <f t="shared" si="8"/>
        <v>40171</v>
      </c>
      <c r="G90" s="2">
        <v>0</v>
      </c>
      <c r="H90" s="5">
        <v>0.03</v>
      </c>
      <c r="I90" s="2" t="b">
        <v>1</v>
      </c>
      <c r="J90" s="2">
        <v>1524</v>
      </c>
      <c r="K90" s="2" t="b">
        <v>0</v>
      </c>
      <c r="L90" s="2" t="b">
        <v>0</v>
      </c>
      <c r="M90" s="2">
        <v>0</v>
      </c>
      <c r="N90" s="6">
        <v>6</v>
      </c>
      <c r="O90">
        <f t="shared" si="6"/>
        <v>721</v>
      </c>
      <c r="P90">
        <f t="shared" si="7"/>
        <v>691</v>
      </c>
      <c r="Q90" s="11">
        <f t="shared" ca="1" si="9"/>
        <v>45334</v>
      </c>
      <c r="R90" s="11">
        <f t="shared" ca="1" si="9"/>
        <v>45364</v>
      </c>
    </row>
    <row r="91" spans="1:18" x14ac:dyDescent="0.25">
      <c r="A91" s="2">
        <v>2472</v>
      </c>
      <c r="B91" s="2">
        <v>2399</v>
      </c>
      <c r="C91" s="3">
        <v>40144</v>
      </c>
      <c r="D91" s="4" t="s">
        <v>10</v>
      </c>
      <c r="E91" s="2">
        <v>0</v>
      </c>
      <c r="F91" s="3">
        <f t="shared" si="8"/>
        <v>40174</v>
      </c>
      <c r="G91" s="2">
        <v>0</v>
      </c>
      <c r="H91" s="5">
        <v>0</v>
      </c>
      <c r="I91" s="2" t="b">
        <v>1</v>
      </c>
      <c r="J91" s="2">
        <v>1524</v>
      </c>
      <c r="K91" s="2" t="b">
        <v>0</v>
      </c>
      <c r="L91" s="2" t="b">
        <v>0</v>
      </c>
      <c r="M91" s="2">
        <v>0</v>
      </c>
      <c r="N91" s="6">
        <v>6</v>
      </c>
      <c r="O91">
        <f t="shared" si="6"/>
        <v>718</v>
      </c>
      <c r="P91">
        <f t="shared" si="7"/>
        <v>688</v>
      </c>
      <c r="Q91" s="11">
        <f t="shared" ca="1" si="9"/>
        <v>45337</v>
      </c>
      <c r="R91" s="11">
        <f t="shared" ca="1" si="9"/>
        <v>45367</v>
      </c>
    </row>
    <row r="92" spans="1:18" x14ac:dyDescent="0.25">
      <c r="A92" s="2">
        <v>2473</v>
      </c>
      <c r="B92" s="2">
        <v>2913</v>
      </c>
      <c r="C92" s="3">
        <v>40147</v>
      </c>
      <c r="D92" s="4" t="s">
        <v>10</v>
      </c>
      <c r="E92" s="2">
        <v>1777.25</v>
      </c>
      <c r="F92" s="3">
        <f t="shared" si="8"/>
        <v>40177</v>
      </c>
      <c r="G92" s="2">
        <v>0</v>
      </c>
      <c r="H92" s="5">
        <v>0</v>
      </c>
      <c r="I92" s="2" t="b">
        <v>1</v>
      </c>
      <c r="J92" s="2">
        <v>1524</v>
      </c>
      <c r="K92" s="2" t="b">
        <v>0</v>
      </c>
      <c r="L92" s="2" t="b">
        <v>0</v>
      </c>
      <c r="M92" s="2">
        <v>0</v>
      </c>
      <c r="N92" s="6">
        <v>6</v>
      </c>
      <c r="O92">
        <f t="shared" si="6"/>
        <v>715</v>
      </c>
      <c r="P92">
        <f t="shared" si="7"/>
        <v>685</v>
      </c>
      <c r="Q92" s="11">
        <f t="shared" ca="1" si="9"/>
        <v>45340</v>
      </c>
      <c r="R92" s="11">
        <f t="shared" ca="1" si="9"/>
        <v>45370</v>
      </c>
    </row>
    <row r="93" spans="1:18" x14ac:dyDescent="0.25">
      <c r="A93" s="2">
        <v>2474</v>
      </c>
      <c r="B93" s="2">
        <v>1745</v>
      </c>
      <c r="C93" s="3">
        <v>40147</v>
      </c>
      <c r="D93" s="4" t="s">
        <v>10</v>
      </c>
      <c r="E93" s="2">
        <v>0</v>
      </c>
      <c r="F93" s="3">
        <f t="shared" si="8"/>
        <v>40177</v>
      </c>
      <c r="G93" s="2">
        <v>0</v>
      </c>
      <c r="H93" s="5">
        <v>0</v>
      </c>
      <c r="I93" s="2" t="b">
        <v>1</v>
      </c>
      <c r="J93" s="2">
        <v>1524</v>
      </c>
      <c r="K93" s="2" t="b">
        <v>0</v>
      </c>
      <c r="L93" s="2" t="b">
        <v>0</v>
      </c>
      <c r="M93" s="2">
        <v>0</v>
      </c>
      <c r="N93" s="6">
        <v>6</v>
      </c>
      <c r="O93">
        <f t="shared" si="6"/>
        <v>715</v>
      </c>
      <c r="P93">
        <f t="shared" si="7"/>
        <v>685</v>
      </c>
      <c r="Q93" s="11">
        <f t="shared" ca="1" si="9"/>
        <v>45340</v>
      </c>
      <c r="R93" s="11">
        <f t="shared" ca="1" si="9"/>
        <v>45370</v>
      </c>
    </row>
    <row r="94" spans="1:18" x14ac:dyDescent="0.25">
      <c r="A94" s="2">
        <v>2475</v>
      </c>
      <c r="B94" s="2">
        <v>2319</v>
      </c>
      <c r="C94" s="3">
        <v>40149</v>
      </c>
      <c r="D94" s="4" t="s">
        <v>10</v>
      </c>
      <c r="E94" s="2">
        <v>2000</v>
      </c>
      <c r="F94" s="3">
        <f t="shared" si="8"/>
        <v>40179</v>
      </c>
      <c r="G94" s="2">
        <v>0</v>
      </c>
      <c r="H94" s="5">
        <v>0.1</v>
      </c>
      <c r="I94" s="2" t="b">
        <v>1</v>
      </c>
      <c r="J94" s="2">
        <v>1524</v>
      </c>
      <c r="K94" s="2" t="b">
        <v>0</v>
      </c>
      <c r="L94" s="2" t="b">
        <v>0</v>
      </c>
      <c r="M94" s="2">
        <v>0</v>
      </c>
      <c r="N94" s="6">
        <v>6</v>
      </c>
      <c r="O94">
        <f t="shared" si="6"/>
        <v>713</v>
      </c>
      <c r="P94">
        <f t="shared" si="7"/>
        <v>683</v>
      </c>
      <c r="Q94" s="11">
        <f t="shared" ca="1" si="9"/>
        <v>45342</v>
      </c>
      <c r="R94" s="11">
        <f t="shared" ca="1" si="9"/>
        <v>45372</v>
      </c>
    </row>
    <row r="95" spans="1:18" x14ac:dyDescent="0.25">
      <c r="A95" s="2">
        <v>2476</v>
      </c>
      <c r="B95" s="2">
        <v>2765</v>
      </c>
      <c r="C95" s="3">
        <v>40149</v>
      </c>
      <c r="D95" s="4" t="s">
        <v>10</v>
      </c>
      <c r="E95" s="2">
        <v>0</v>
      </c>
      <c r="F95" s="3">
        <f t="shared" si="8"/>
        <v>40179</v>
      </c>
      <c r="G95" s="2">
        <v>0</v>
      </c>
      <c r="H95" s="5">
        <v>0</v>
      </c>
      <c r="I95" s="2" t="b">
        <v>1</v>
      </c>
      <c r="J95" s="2">
        <v>1524</v>
      </c>
      <c r="K95" s="2" t="b">
        <v>0</v>
      </c>
      <c r="L95" s="2" t="b">
        <v>0</v>
      </c>
      <c r="M95" s="2">
        <v>0</v>
      </c>
      <c r="N95" s="6">
        <v>6</v>
      </c>
      <c r="O95">
        <f t="shared" si="6"/>
        <v>713</v>
      </c>
      <c r="P95">
        <f t="shared" si="7"/>
        <v>683</v>
      </c>
      <c r="Q95" s="11">
        <f t="shared" ca="1" si="9"/>
        <v>45342</v>
      </c>
      <c r="R95" s="11">
        <f t="shared" ca="1" si="9"/>
        <v>45372</v>
      </c>
    </row>
    <row r="96" spans="1:18" x14ac:dyDescent="0.25">
      <c r="A96" s="2">
        <v>2477</v>
      </c>
      <c r="B96" s="2">
        <v>2928</v>
      </c>
      <c r="C96" s="3">
        <v>40153</v>
      </c>
      <c r="D96" s="4" t="s">
        <v>10</v>
      </c>
      <c r="E96" s="2">
        <v>0</v>
      </c>
      <c r="F96" s="3">
        <f t="shared" si="8"/>
        <v>40183</v>
      </c>
      <c r="G96" s="2">
        <v>0</v>
      </c>
      <c r="H96" s="5">
        <v>0.1</v>
      </c>
      <c r="I96" s="2" t="b">
        <v>1</v>
      </c>
      <c r="J96" s="2">
        <v>1524</v>
      </c>
      <c r="K96" s="2" t="b">
        <v>0</v>
      </c>
      <c r="L96" s="2" t="b">
        <v>0</v>
      </c>
      <c r="M96" s="2">
        <v>0</v>
      </c>
      <c r="N96" s="6">
        <v>6</v>
      </c>
      <c r="O96">
        <f t="shared" si="6"/>
        <v>709</v>
      </c>
      <c r="P96">
        <f t="shared" si="7"/>
        <v>679</v>
      </c>
      <c r="Q96" s="11">
        <f t="shared" ca="1" si="9"/>
        <v>45346</v>
      </c>
      <c r="R96" s="11">
        <f t="shared" ca="1" si="9"/>
        <v>45376</v>
      </c>
    </row>
    <row r="97" spans="1:18" x14ac:dyDescent="0.25">
      <c r="A97" s="2">
        <v>2478</v>
      </c>
      <c r="B97" s="2">
        <v>3677</v>
      </c>
      <c r="C97" s="3">
        <v>40155</v>
      </c>
      <c r="D97" s="4" t="s">
        <v>10</v>
      </c>
      <c r="E97" s="2">
        <v>0</v>
      </c>
      <c r="F97" s="3">
        <f t="shared" si="8"/>
        <v>40185</v>
      </c>
      <c r="G97" s="2">
        <v>45</v>
      </c>
      <c r="H97" s="5">
        <v>0</v>
      </c>
      <c r="I97" s="2" t="b">
        <v>1</v>
      </c>
      <c r="J97" s="2">
        <v>1524</v>
      </c>
      <c r="K97" s="2" t="b">
        <v>1</v>
      </c>
      <c r="L97" s="2" t="b">
        <v>0</v>
      </c>
      <c r="M97" s="2">
        <v>0</v>
      </c>
      <c r="N97" s="6">
        <v>6</v>
      </c>
      <c r="O97">
        <f t="shared" si="6"/>
        <v>707</v>
      </c>
      <c r="P97">
        <f t="shared" si="7"/>
        <v>677</v>
      </c>
      <c r="Q97" s="11">
        <f t="shared" ca="1" si="9"/>
        <v>45348</v>
      </c>
      <c r="R97" s="11">
        <f t="shared" ca="1" si="9"/>
        <v>45378</v>
      </c>
    </row>
    <row r="98" spans="1:18" x14ac:dyDescent="0.25">
      <c r="A98" s="2">
        <v>2479</v>
      </c>
      <c r="B98" s="2">
        <v>798</v>
      </c>
      <c r="C98" s="3">
        <v>40158</v>
      </c>
      <c r="D98" s="4" t="s">
        <v>10</v>
      </c>
      <c r="E98" s="2">
        <v>235</v>
      </c>
      <c r="F98" s="3">
        <f t="shared" si="8"/>
        <v>40188</v>
      </c>
      <c r="G98" s="2">
        <v>0</v>
      </c>
      <c r="H98" s="5">
        <v>0</v>
      </c>
      <c r="I98" s="2" t="b">
        <v>1</v>
      </c>
      <c r="J98" s="2">
        <v>1524</v>
      </c>
      <c r="K98" s="2" t="b">
        <v>0</v>
      </c>
      <c r="L98" s="2" t="b">
        <v>0</v>
      </c>
      <c r="M98" s="2">
        <v>0</v>
      </c>
      <c r="N98" s="6">
        <v>6</v>
      </c>
      <c r="O98">
        <f t="shared" si="6"/>
        <v>704</v>
      </c>
      <c r="P98">
        <f t="shared" si="7"/>
        <v>674</v>
      </c>
      <c r="Q98" s="11">
        <f t="shared" ca="1" si="9"/>
        <v>45351</v>
      </c>
      <c r="R98" s="11">
        <f t="shared" ca="1" si="9"/>
        <v>45381</v>
      </c>
    </row>
    <row r="99" spans="1:18" x14ac:dyDescent="0.25">
      <c r="A99" s="2">
        <v>2480</v>
      </c>
      <c r="B99" s="2">
        <v>593</v>
      </c>
      <c r="C99" s="3">
        <v>40162</v>
      </c>
      <c r="D99" s="4" t="s">
        <v>10</v>
      </c>
      <c r="E99" s="2">
        <v>0</v>
      </c>
      <c r="F99" s="3">
        <f t="shared" si="8"/>
        <v>40192</v>
      </c>
      <c r="G99" s="2">
        <v>0</v>
      </c>
      <c r="H99" s="5">
        <v>0</v>
      </c>
      <c r="I99" s="2" t="b">
        <v>1</v>
      </c>
      <c r="J99" s="2">
        <v>1524</v>
      </c>
      <c r="K99" s="2" t="b">
        <v>1</v>
      </c>
      <c r="L99" s="2" t="b">
        <v>0</v>
      </c>
      <c r="M99" s="2">
        <v>0</v>
      </c>
      <c r="N99" s="6">
        <v>6</v>
      </c>
      <c r="O99">
        <f t="shared" si="6"/>
        <v>700</v>
      </c>
      <c r="P99">
        <f t="shared" si="7"/>
        <v>670</v>
      </c>
      <c r="Q99" s="11">
        <f t="shared" ca="1" si="9"/>
        <v>45355</v>
      </c>
      <c r="R99" s="11">
        <f t="shared" ca="1" si="9"/>
        <v>45385</v>
      </c>
    </row>
    <row r="100" spans="1:18" x14ac:dyDescent="0.25">
      <c r="A100" s="2">
        <v>2481</v>
      </c>
      <c r="B100" s="2">
        <v>2974</v>
      </c>
      <c r="C100" s="3">
        <v>40164</v>
      </c>
      <c r="D100" s="4" t="s">
        <v>10</v>
      </c>
      <c r="E100" s="2">
        <v>0</v>
      </c>
      <c r="F100" s="3">
        <f t="shared" si="8"/>
        <v>40194</v>
      </c>
      <c r="G100" s="2">
        <v>14</v>
      </c>
      <c r="H100" s="5">
        <v>0</v>
      </c>
      <c r="I100" s="2" t="b">
        <v>1</v>
      </c>
      <c r="J100" s="2">
        <v>640</v>
      </c>
      <c r="K100" s="2" t="b">
        <v>1</v>
      </c>
      <c r="L100" s="2" t="b">
        <v>0</v>
      </c>
      <c r="M100" s="2">
        <v>0</v>
      </c>
      <c r="N100" s="6">
        <v>6</v>
      </c>
      <c r="O100">
        <f t="shared" si="6"/>
        <v>698</v>
      </c>
      <c r="P100">
        <f t="shared" si="7"/>
        <v>668</v>
      </c>
      <c r="Q100" s="11">
        <f t="shared" ca="1" si="9"/>
        <v>45357</v>
      </c>
      <c r="R100" s="11">
        <f t="shared" ca="1" si="9"/>
        <v>45387</v>
      </c>
    </row>
    <row r="101" spans="1:18" x14ac:dyDescent="0.25">
      <c r="A101" s="2">
        <v>2482</v>
      </c>
      <c r="B101" s="2">
        <v>2818</v>
      </c>
      <c r="C101" s="3">
        <v>40164</v>
      </c>
      <c r="D101" s="4" t="s">
        <v>10</v>
      </c>
      <c r="E101" s="2">
        <v>0</v>
      </c>
      <c r="F101" s="3">
        <f t="shared" si="8"/>
        <v>40194</v>
      </c>
      <c r="G101" s="2">
        <v>14</v>
      </c>
      <c r="H101" s="5">
        <v>0</v>
      </c>
      <c r="I101" s="2" t="b">
        <v>1</v>
      </c>
      <c r="J101" s="2">
        <v>640</v>
      </c>
      <c r="K101" s="2" t="b">
        <v>1</v>
      </c>
      <c r="L101" s="2" t="b">
        <v>0</v>
      </c>
      <c r="M101" s="2">
        <v>0</v>
      </c>
      <c r="N101" s="6">
        <v>6</v>
      </c>
      <c r="O101">
        <f t="shared" si="6"/>
        <v>698</v>
      </c>
      <c r="P101">
        <f t="shared" si="7"/>
        <v>668</v>
      </c>
      <c r="Q101" s="11">
        <f t="shared" ca="1" si="9"/>
        <v>45357</v>
      </c>
      <c r="R101" s="11">
        <f t="shared" ca="1" si="9"/>
        <v>45387</v>
      </c>
    </row>
    <row r="102" spans="1:18" x14ac:dyDescent="0.25">
      <c r="A102" s="2">
        <v>2483</v>
      </c>
      <c r="B102" s="2">
        <v>1745</v>
      </c>
      <c r="C102" s="3">
        <v>40186</v>
      </c>
      <c r="D102" s="4" t="s">
        <v>10</v>
      </c>
      <c r="E102" s="2">
        <v>0</v>
      </c>
      <c r="F102" s="3">
        <f t="shared" si="8"/>
        <v>40216</v>
      </c>
      <c r="G102" s="2">
        <v>0</v>
      </c>
      <c r="H102" s="5">
        <v>0</v>
      </c>
      <c r="I102" s="2" t="b">
        <v>1</v>
      </c>
      <c r="J102" s="2">
        <v>1524</v>
      </c>
      <c r="K102" s="2" t="b">
        <v>0</v>
      </c>
      <c r="L102" s="2" t="b">
        <v>0</v>
      </c>
      <c r="M102" s="2">
        <v>0</v>
      </c>
      <c r="N102" s="6">
        <v>6</v>
      </c>
      <c r="O102">
        <f t="shared" si="6"/>
        <v>676</v>
      </c>
      <c r="P102">
        <f t="shared" si="7"/>
        <v>646</v>
      </c>
      <c r="Q102" s="11">
        <f t="shared" ca="1" si="9"/>
        <v>45379</v>
      </c>
      <c r="R102" s="11">
        <f t="shared" ca="1" si="9"/>
        <v>45409</v>
      </c>
    </row>
    <row r="103" spans="1:18" x14ac:dyDescent="0.25">
      <c r="A103" s="2">
        <v>2484</v>
      </c>
      <c r="B103" s="2">
        <v>2496</v>
      </c>
      <c r="C103" s="3">
        <v>40186</v>
      </c>
      <c r="D103" s="4" t="s">
        <v>10</v>
      </c>
      <c r="E103" s="2">
        <v>0</v>
      </c>
      <c r="F103" s="3">
        <f t="shared" si="8"/>
        <v>40216</v>
      </c>
      <c r="G103" s="2">
        <v>0</v>
      </c>
      <c r="H103" s="5">
        <v>0</v>
      </c>
      <c r="I103" s="2" t="b">
        <v>1</v>
      </c>
      <c r="J103" s="2">
        <v>1524</v>
      </c>
      <c r="K103" s="2" t="b">
        <v>0</v>
      </c>
      <c r="L103" s="2" t="b">
        <v>0</v>
      </c>
      <c r="M103" s="2">
        <v>0</v>
      </c>
      <c r="N103" s="6">
        <v>6</v>
      </c>
      <c r="O103">
        <f t="shared" si="6"/>
        <v>676</v>
      </c>
      <c r="P103">
        <f t="shared" si="7"/>
        <v>646</v>
      </c>
      <c r="Q103" s="11">
        <f t="shared" ca="1" si="9"/>
        <v>45379</v>
      </c>
      <c r="R103" s="11">
        <f t="shared" ca="1" si="9"/>
        <v>45409</v>
      </c>
    </row>
    <row r="104" spans="1:18" x14ac:dyDescent="0.25">
      <c r="A104" s="2">
        <v>2485</v>
      </c>
      <c r="B104" s="2">
        <v>1493</v>
      </c>
      <c r="C104" s="3">
        <v>40192</v>
      </c>
      <c r="D104" s="4" t="s">
        <v>10</v>
      </c>
      <c r="E104" s="2">
        <v>0</v>
      </c>
      <c r="F104" s="3">
        <f t="shared" si="8"/>
        <v>40222</v>
      </c>
      <c r="G104" s="2">
        <v>14</v>
      </c>
      <c r="H104" s="5">
        <v>0</v>
      </c>
      <c r="I104" s="2" t="b">
        <v>1</v>
      </c>
      <c r="J104" s="2">
        <v>640</v>
      </c>
      <c r="K104" s="2" t="b">
        <v>1</v>
      </c>
      <c r="L104" s="2" t="b">
        <v>0</v>
      </c>
      <c r="M104" s="2">
        <v>0</v>
      </c>
      <c r="N104" s="6">
        <v>6</v>
      </c>
      <c r="O104">
        <f t="shared" si="6"/>
        <v>670</v>
      </c>
      <c r="P104">
        <f t="shared" si="7"/>
        <v>640</v>
      </c>
      <c r="Q104" s="11">
        <f t="shared" ca="1" si="9"/>
        <v>45385</v>
      </c>
      <c r="R104" s="11">
        <f t="shared" ca="1" si="9"/>
        <v>45415</v>
      </c>
    </row>
    <row r="105" spans="1:18" x14ac:dyDescent="0.25">
      <c r="A105" s="2">
        <v>2486</v>
      </c>
      <c r="B105" s="2">
        <v>1277</v>
      </c>
      <c r="C105" s="3">
        <v>40200</v>
      </c>
      <c r="D105" s="4" t="s">
        <v>10</v>
      </c>
      <c r="E105" s="2">
        <v>0</v>
      </c>
      <c r="F105" s="3">
        <f t="shared" si="8"/>
        <v>40230</v>
      </c>
      <c r="G105" s="2">
        <v>0</v>
      </c>
      <c r="H105" s="5">
        <v>0.2</v>
      </c>
      <c r="I105" s="2" t="b">
        <v>1</v>
      </c>
      <c r="J105" s="2">
        <v>1524</v>
      </c>
      <c r="K105" s="2" t="b">
        <v>0</v>
      </c>
      <c r="L105" s="2" t="b">
        <v>0</v>
      </c>
      <c r="M105" s="2">
        <v>0</v>
      </c>
      <c r="N105" s="6">
        <v>6</v>
      </c>
      <c r="O105">
        <f t="shared" si="6"/>
        <v>662</v>
      </c>
      <c r="P105">
        <f t="shared" si="7"/>
        <v>632</v>
      </c>
      <c r="Q105" s="11">
        <f t="shared" ca="1" si="9"/>
        <v>45393</v>
      </c>
      <c r="R105" s="11">
        <f t="shared" ca="1" si="9"/>
        <v>45423</v>
      </c>
    </row>
    <row r="106" spans="1:18" x14ac:dyDescent="0.25">
      <c r="A106" s="2">
        <v>2487</v>
      </c>
      <c r="B106" s="2">
        <v>3620</v>
      </c>
      <c r="C106" s="3">
        <v>40200</v>
      </c>
      <c r="D106" s="4" t="s">
        <v>10</v>
      </c>
      <c r="E106" s="2">
        <v>0</v>
      </c>
      <c r="F106" s="3">
        <f t="shared" si="8"/>
        <v>40230</v>
      </c>
      <c r="G106" s="2">
        <v>0</v>
      </c>
      <c r="H106" s="5">
        <v>0.2</v>
      </c>
      <c r="I106" s="2" t="b">
        <v>1</v>
      </c>
      <c r="J106" s="2">
        <v>1524</v>
      </c>
      <c r="K106" s="2" t="b">
        <v>0</v>
      </c>
      <c r="L106" s="2" t="b">
        <v>0</v>
      </c>
      <c r="M106" s="2">
        <v>0</v>
      </c>
      <c r="N106" s="6">
        <v>6</v>
      </c>
      <c r="O106">
        <f t="shared" si="6"/>
        <v>662</v>
      </c>
      <c r="P106">
        <f t="shared" si="7"/>
        <v>632</v>
      </c>
      <c r="Q106" s="11">
        <f t="shared" ca="1" si="9"/>
        <v>45393</v>
      </c>
      <c r="R106" s="11">
        <f t="shared" ca="1" si="9"/>
        <v>45423</v>
      </c>
    </row>
    <row r="107" spans="1:18" x14ac:dyDescent="0.25">
      <c r="A107" s="2">
        <v>2488</v>
      </c>
      <c r="B107" s="2">
        <v>2926</v>
      </c>
      <c r="C107" s="3">
        <v>40200</v>
      </c>
      <c r="D107" s="4" t="s">
        <v>10</v>
      </c>
      <c r="E107" s="2">
        <v>0</v>
      </c>
      <c r="F107" s="3">
        <f t="shared" si="8"/>
        <v>40230</v>
      </c>
      <c r="G107" s="2">
        <v>0</v>
      </c>
      <c r="H107" s="5">
        <v>0</v>
      </c>
      <c r="I107" s="2" t="b">
        <v>1</v>
      </c>
      <c r="J107" s="2">
        <v>640</v>
      </c>
      <c r="K107" s="2" t="b">
        <v>1</v>
      </c>
      <c r="L107" s="2" t="b">
        <v>0</v>
      </c>
      <c r="M107" s="2">
        <v>0</v>
      </c>
      <c r="N107" s="6">
        <v>6</v>
      </c>
      <c r="O107">
        <f t="shared" si="6"/>
        <v>662</v>
      </c>
      <c r="P107">
        <f t="shared" si="7"/>
        <v>632</v>
      </c>
      <c r="Q107" s="11">
        <f t="shared" ca="1" si="9"/>
        <v>45393</v>
      </c>
      <c r="R107" s="11">
        <f t="shared" ca="1" si="9"/>
        <v>45423</v>
      </c>
    </row>
    <row r="108" spans="1:18" x14ac:dyDescent="0.25">
      <c r="A108" s="2">
        <v>2489</v>
      </c>
      <c r="B108" s="2">
        <v>1559</v>
      </c>
      <c r="C108" s="3">
        <v>40201</v>
      </c>
      <c r="D108" s="4" t="s">
        <v>10</v>
      </c>
      <c r="E108" s="2">
        <v>0</v>
      </c>
      <c r="F108" s="3">
        <f t="shared" si="8"/>
        <v>40231</v>
      </c>
      <c r="G108" s="2">
        <v>39</v>
      </c>
      <c r="H108" s="5">
        <v>0.2</v>
      </c>
      <c r="I108" s="2" t="b">
        <v>1</v>
      </c>
      <c r="J108" s="2">
        <v>1524</v>
      </c>
      <c r="K108" s="2" t="b">
        <v>0</v>
      </c>
      <c r="L108" s="2" t="b">
        <v>0</v>
      </c>
      <c r="M108" s="2">
        <v>0</v>
      </c>
      <c r="N108" s="6">
        <v>6</v>
      </c>
      <c r="O108">
        <f t="shared" si="6"/>
        <v>661</v>
      </c>
      <c r="P108">
        <f t="shared" si="7"/>
        <v>631</v>
      </c>
      <c r="Q108" s="11">
        <f t="shared" ca="1" si="9"/>
        <v>45394</v>
      </c>
      <c r="R108" s="11">
        <f t="shared" ca="1" si="9"/>
        <v>45424</v>
      </c>
    </row>
    <row r="109" spans="1:18" x14ac:dyDescent="0.25">
      <c r="A109" s="2">
        <v>2490</v>
      </c>
      <c r="B109" s="2">
        <v>2962</v>
      </c>
      <c r="C109" s="3">
        <v>40204</v>
      </c>
      <c r="D109" s="4" t="s">
        <v>10</v>
      </c>
      <c r="E109" s="2">
        <v>0</v>
      </c>
      <c r="F109" s="3">
        <f t="shared" si="8"/>
        <v>40234</v>
      </c>
      <c r="G109" s="2">
        <v>465</v>
      </c>
      <c r="H109" s="5">
        <v>0</v>
      </c>
      <c r="I109" s="2" t="b">
        <v>1</v>
      </c>
      <c r="J109" s="2">
        <v>1524</v>
      </c>
      <c r="K109" s="2" t="b">
        <v>0</v>
      </c>
      <c r="L109" s="2" t="b">
        <v>0</v>
      </c>
      <c r="M109" s="2">
        <v>0</v>
      </c>
      <c r="N109" s="6">
        <v>6</v>
      </c>
      <c r="O109">
        <f t="shared" si="6"/>
        <v>658</v>
      </c>
      <c r="P109">
        <f t="shared" si="7"/>
        <v>628</v>
      </c>
      <c r="Q109" s="11">
        <f t="shared" ca="1" si="9"/>
        <v>45397</v>
      </c>
      <c r="R109" s="11">
        <f t="shared" ca="1" si="9"/>
        <v>45427</v>
      </c>
    </row>
    <row r="110" spans="1:18" x14ac:dyDescent="0.25">
      <c r="A110" s="2">
        <v>2491</v>
      </c>
      <c r="B110" s="2">
        <v>2913</v>
      </c>
      <c r="C110" s="3">
        <v>40204</v>
      </c>
      <c r="D110" s="4" t="s">
        <v>10</v>
      </c>
      <c r="E110" s="2">
        <v>0</v>
      </c>
      <c r="F110" s="3">
        <f t="shared" si="8"/>
        <v>40234</v>
      </c>
      <c r="G110" s="2">
        <v>0</v>
      </c>
      <c r="H110" s="5">
        <v>0.1</v>
      </c>
      <c r="I110" s="2" t="b">
        <v>1</v>
      </c>
      <c r="J110" s="2">
        <v>1524</v>
      </c>
      <c r="K110" s="2" t="b">
        <v>0</v>
      </c>
      <c r="L110" s="2" t="b">
        <v>0</v>
      </c>
      <c r="M110" s="2">
        <v>0</v>
      </c>
      <c r="N110" s="6">
        <v>6</v>
      </c>
      <c r="O110">
        <f t="shared" si="6"/>
        <v>658</v>
      </c>
      <c r="P110">
        <f t="shared" si="7"/>
        <v>628</v>
      </c>
      <c r="Q110" s="11">
        <f t="shared" ca="1" si="9"/>
        <v>45397</v>
      </c>
      <c r="R110" s="11">
        <f t="shared" ca="1" si="9"/>
        <v>45427</v>
      </c>
    </row>
    <row r="111" spans="1:18" x14ac:dyDescent="0.25">
      <c r="A111" s="2">
        <v>2492</v>
      </c>
      <c r="B111" s="2">
        <v>798</v>
      </c>
      <c r="C111" s="3">
        <v>40204</v>
      </c>
      <c r="D111" s="4" t="s">
        <v>10</v>
      </c>
      <c r="E111" s="2">
        <v>0</v>
      </c>
      <c r="F111" s="3">
        <f t="shared" si="8"/>
        <v>40234</v>
      </c>
      <c r="G111" s="2">
        <v>0</v>
      </c>
      <c r="H111" s="5">
        <v>0.2</v>
      </c>
      <c r="I111" s="2" t="b">
        <v>1</v>
      </c>
      <c r="J111" s="2">
        <v>1524</v>
      </c>
      <c r="K111" s="2" t="b">
        <v>0</v>
      </c>
      <c r="L111" s="2" t="b">
        <v>0</v>
      </c>
      <c r="M111" s="2">
        <v>0</v>
      </c>
      <c r="N111" s="6">
        <v>6</v>
      </c>
      <c r="O111">
        <f t="shared" si="6"/>
        <v>658</v>
      </c>
      <c r="P111">
        <f t="shared" si="7"/>
        <v>628</v>
      </c>
      <c r="Q111" s="11">
        <f t="shared" ca="1" si="9"/>
        <v>45397</v>
      </c>
      <c r="R111" s="11">
        <f t="shared" ca="1" si="9"/>
        <v>45427</v>
      </c>
    </row>
    <row r="112" spans="1:18" x14ac:dyDescent="0.25">
      <c r="A112" s="2">
        <v>2493</v>
      </c>
      <c r="B112" s="2">
        <v>2829</v>
      </c>
      <c r="C112" s="3">
        <v>40206</v>
      </c>
      <c r="D112" s="4" t="s">
        <v>10</v>
      </c>
      <c r="E112" s="2">
        <v>0</v>
      </c>
      <c r="F112" s="3">
        <f t="shared" si="8"/>
        <v>40236</v>
      </c>
      <c r="G112" s="2">
        <v>0</v>
      </c>
      <c r="H112" s="5">
        <v>0.2</v>
      </c>
      <c r="I112" s="2" t="b">
        <v>1</v>
      </c>
      <c r="J112" s="2">
        <v>1524</v>
      </c>
      <c r="K112" s="2" t="b">
        <v>1</v>
      </c>
      <c r="L112" s="2" t="b">
        <v>0</v>
      </c>
      <c r="M112" s="2">
        <v>0</v>
      </c>
      <c r="N112" s="6">
        <v>6</v>
      </c>
      <c r="O112">
        <f t="shared" si="6"/>
        <v>656</v>
      </c>
      <c r="P112">
        <f t="shared" si="7"/>
        <v>626</v>
      </c>
      <c r="Q112" s="11">
        <f t="shared" ca="1" si="9"/>
        <v>45399</v>
      </c>
      <c r="R112" s="11">
        <f t="shared" ca="1" si="9"/>
        <v>45429</v>
      </c>
    </row>
    <row r="113" spans="1:18" x14ac:dyDescent="0.25">
      <c r="A113" s="2">
        <v>2494</v>
      </c>
      <c r="B113" s="2">
        <v>1548</v>
      </c>
      <c r="C113" s="3">
        <v>40207</v>
      </c>
      <c r="D113" s="4" t="s">
        <v>10</v>
      </c>
      <c r="E113" s="2">
        <v>0</v>
      </c>
      <c r="F113" s="3">
        <f t="shared" si="8"/>
        <v>40237</v>
      </c>
      <c r="G113" s="2">
        <v>0</v>
      </c>
      <c r="H113" s="5">
        <v>0.2</v>
      </c>
      <c r="I113" s="2" t="b">
        <v>1</v>
      </c>
      <c r="J113" s="2">
        <v>1524</v>
      </c>
      <c r="K113" s="2" t="b">
        <v>0</v>
      </c>
      <c r="L113" s="2" t="b">
        <v>0</v>
      </c>
      <c r="M113" s="2">
        <v>0</v>
      </c>
      <c r="N113" s="6">
        <v>6</v>
      </c>
      <c r="O113">
        <f t="shared" si="6"/>
        <v>655</v>
      </c>
      <c r="P113">
        <f t="shared" si="7"/>
        <v>625</v>
      </c>
      <c r="Q113" s="11">
        <f t="shared" ca="1" si="9"/>
        <v>45400</v>
      </c>
      <c r="R113" s="11">
        <f t="shared" ca="1" si="9"/>
        <v>45430</v>
      </c>
    </row>
    <row r="114" spans="1:18" x14ac:dyDescent="0.25">
      <c r="A114" s="2">
        <v>2495</v>
      </c>
      <c r="B114" s="2">
        <v>3668</v>
      </c>
      <c r="C114" s="3">
        <v>40208</v>
      </c>
      <c r="D114" s="4" t="s">
        <v>10</v>
      </c>
      <c r="E114" s="2">
        <v>0</v>
      </c>
      <c r="F114" s="3">
        <f t="shared" si="8"/>
        <v>40238</v>
      </c>
      <c r="G114" s="2">
        <v>0</v>
      </c>
      <c r="H114" s="5">
        <v>0</v>
      </c>
      <c r="I114" s="2" t="b">
        <v>1</v>
      </c>
      <c r="J114" s="2">
        <v>1524</v>
      </c>
      <c r="K114" s="2" t="b">
        <v>0</v>
      </c>
      <c r="L114" s="2" t="b">
        <v>0</v>
      </c>
      <c r="M114" s="2">
        <v>0</v>
      </c>
      <c r="N114" s="6">
        <v>6</v>
      </c>
      <c r="O114">
        <f t="shared" si="6"/>
        <v>654</v>
      </c>
      <c r="P114">
        <f t="shared" si="7"/>
        <v>624</v>
      </c>
      <c r="Q114" s="11">
        <f t="shared" ca="1" si="9"/>
        <v>45401</v>
      </c>
      <c r="R114" s="11">
        <f t="shared" ca="1" si="9"/>
        <v>45431</v>
      </c>
    </row>
    <row r="115" spans="1:18" x14ac:dyDescent="0.25">
      <c r="A115" s="2">
        <v>2496</v>
      </c>
      <c r="B115" s="2">
        <v>3633</v>
      </c>
      <c r="C115" s="3">
        <v>40218</v>
      </c>
      <c r="D115" s="4" t="s">
        <v>10</v>
      </c>
      <c r="E115" s="2">
        <v>0</v>
      </c>
      <c r="F115" s="3">
        <f t="shared" si="8"/>
        <v>40248</v>
      </c>
      <c r="G115" s="2">
        <v>0</v>
      </c>
      <c r="H115" s="5">
        <v>0</v>
      </c>
      <c r="I115" s="2" t="b">
        <v>1</v>
      </c>
      <c r="J115" s="2">
        <v>640</v>
      </c>
      <c r="K115" s="2" t="b">
        <v>1</v>
      </c>
      <c r="L115" s="2" t="b">
        <v>0</v>
      </c>
      <c r="M115" s="2">
        <v>0</v>
      </c>
      <c r="N115" s="6">
        <v>6</v>
      </c>
      <c r="O115">
        <f t="shared" si="6"/>
        <v>644</v>
      </c>
      <c r="P115">
        <f t="shared" si="7"/>
        <v>614</v>
      </c>
      <c r="Q115" s="11">
        <f t="shared" ca="1" si="9"/>
        <v>45411</v>
      </c>
      <c r="R115" s="11">
        <f t="shared" ca="1" si="9"/>
        <v>45441</v>
      </c>
    </row>
    <row r="116" spans="1:18" x14ac:dyDescent="0.25">
      <c r="A116" s="2">
        <v>2497</v>
      </c>
      <c r="B116" s="2">
        <v>3680</v>
      </c>
      <c r="C116" s="3">
        <v>40222</v>
      </c>
      <c r="D116" s="4" t="s">
        <v>10</v>
      </c>
      <c r="E116" s="2">
        <v>0</v>
      </c>
      <c r="F116" s="3">
        <f t="shared" si="8"/>
        <v>40252</v>
      </c>
      <c r="G116" s="2">
        <v>0</v>
      </c>
      <c r="H116" s="5">
        <v>0</v>
      </c>
      <c r="I116" s="2" t="b">
        <v>1</v>
      </c>
      <c r="J116" s="2">
        <v>640</v>
      </c>
      <c r="K116" s="2" t="b">
        <v>1</v>
      </c>
      <c r="L116" s="2" t="b">
        <v>0</v>
      </c>
      <c r="M116" s="2">
        <v>0</v>
      </c>
      <c r="N116" s="6">
        <v>6</v>
      </c>
      <c r="O116">
        <f t="shared" si="6"/>
        <v>640</v>
      </c>
      <c r="P116">
        <f t="shared" si="7"/>
        <v>610</v>
      </c>
      <c r="Q116" s="11">
        <f t="shared" ca="1" si="9"/>
        <v>45415</v>
      </c>
      <c r="R116" s="11">
        <f t="shared" ca="1" si="9"/>
        <v>45445</v>
      </c>
    </row>
    <row r="117" spans="1:18" x14ac:dyDescent="0.25">
      <c r="A117" s="2">
        <v>2498</v>
      </c>
      <c r="B117" s="2">
        <v>963</v>
      </c>
      <c r="C117" s="3">
        <v>40246</v>
      </c>
      <c r="D117" s="4" t="s">
        <v>10</v>
      </c>
      <c r="E117" s="2">
        <v>0</v>
      </c>
      <c r="F117" s="3">
        <f t="shared" si="8"/>
        <v>40276</v>
      </c>
      <c r="G117" s="2">
        <v>0</v>
      </c>
      <c r="H117" s="5">
        <v>0</v>
      </c>
      <c r="I117" s="2" t="b">
        <v>1</v>
      </c>
      <c r="J117" s="2">
        <v>1524</v>
      </c>
      <c r="K117" s="2" t="b">
        <v>0</v>
      </c>
      <c r="L117" s="2" t="b">
        <v>0</v>
      </c>
      <c r="M117" s="2">
        <v>0</v>
      </c>
      <c r="N117" s="6">
        <v>6</v>
      </c>
      <c r="O117">
        <f t="shared" si="6"/>
        <v>616</v>
      </c>
      <c r="P117">
        <f t="shared" si="7"/>
        <v>586</v>
      </c>
      <c r="Q117" s="11">
        <f t="shared" ca="1" si="9"/>
        <v>45439</v>
      </c>
      <c r="R117" s="11">
        <f t="shared" ca="1" si="9"/>
        <v>45469</v>
      </c>
    </row>
    <row r="118" spans="1:18" x14ac:dyDescent="0.25">
      <c r="A118" s="2">
        <v>2499</v>
      </c>
      <c r="B118" s="2">
        <v>1095</v>
      </c>
      <c r="C118" s="3">
        <v>40246</v>
      </c>
      <c r="D118" s="4" t="s">
        <v>10</v>
      </c>
      <c r="E118" s="2">
        <v>0</v>
      </c>
      <c r="F118" s="3">
        <f t="shared" si="8"/>
        <v>40276</v>
      </c>
      <c r="G118" s="2">
        <v>400</v>
      </c>
      <c r="H118" s="5">
        <v>0</v>
      </c>
      <c r="I118" s="2" t="b">
        <v>1</v>
      </c>
      <c r="J118" s="2">
        <v>1524</v>
      </c>
      <c r="K118" s="2" t="b">
        <v>0</v>
      </c>
      <c r="L118" s="2" t="b">
        <v>0</v>
      </c>
      <c r="M118" s="2">
        <v>0</v>
      </c>
      <c r="N118" s="6">
        <v>6</v>
      </c>
      <c r="O118">
        <f t="shared" si="6"/>
        <v>616</v>
      </c>
      <c r="P118">
        <f t="shared" si="7"/>
        <v>586</v>
      </c>
      <c r="Q118" s="11">
        <f t="shared" ca="1" si="9"/>
        <v>45439</v>
      </c>
      <c r="R118" s="11">
        <f t="shared" ca="1" si="9"/>
        <v>45469</v>
      </c>
    </row>
    <row r="119" spans="1:18" x14ac:dyDescent="0.25">
      <c r="A119" s="2">
        <v>2500</v>
      </c>
      <c r="B119" s="2">
        <v>1482</v>
      </c>
      <c r="C119" s="3">
        <v>40233</v>
      </c>
      <c r="D119" s="4" t="s">
        <v>10</v>
      </c>
      <c r="E119" s="2">
        <v>0</v>
      </c>
      <c r="F119" s="3">
        <f t="shared" si="8"/>
        <v>40263</v>
      </c>
      <c r="G119" s="2">
        <v>14</v>
      </c>
      <c r="H119" s="5">
        <v>0</v>
      </c>
      <c r="I119" s="2" t="b">
        <v>1</v>
      </c>
      <c r="J119" s="2">
        <v>640</v>
      </c>
      <c r="K119" s="2" t="b">
        <v>1</v>
      </c>
      <c r="L119" s="2" t="b">
        <v>0</v>
      </c>
      <c r="M119" s="2">
        <v>0</v>
      </c>
      <c r="N119" s="6">
        <v>6</v>
      </c>
      <c r="O119">
        <f t="shared" si="6"/>
        <v>629</v>
      </c>
      <c r="P119">
        <f t="shared" si="7"/>
        <v>599</v>
      </c>
      <c r="Q119" s="11">
        <f t="shared" ca="1" si="9"/>
        <v>45426</v>
      </c>
      <c r="R119" s="11">
        <f t="shared" ca="1" si="9"/>
        <v>45456</v>
      </c>
    </row>
    <row r="120" spans="1:18" x14ac:dyDescent="0.25">
      <c r="A120" s="2">
        <v>2501</v>
      </c>
      <c r="B120" s="2">
        <v>1989</v>
      </c>
      <c r="C120" s="3">
        <v>40242</v>
      </c>
      <c r="D120" s="4" t="s">
        <v>10</v>
      </c>
      <c r="E120" s="2">
        <v>0</v>
      </c>
      <c r="F120" s="3">
        <f t="shared" si="8"/>
        <v>40272</v>
      </c>
      <c r="G120" s="2">
        <v>0</v>
      </c>
      <c r="H120" s="5">
        <v>0</v>
      </c>
      <c r="I120" s="2" t="b">
        <v>1</v>
      </c>
      <c r="J120" s="2">
        <v>1524</v>
      </c>
      <c r="K120" s="2" t="b">
        <v>0</v>
      </c>
      <c r="L120" s="2" t="b">
        <v>0</v>
      </c>
      <c r="M120" s="2">
        <v>0</v>
      </c>
      <c r="N120" s="6">
        <v>6</v>
      </c>
      <c r="O120">
        <f t="shared" si="6"/>
        <v>620</v>
      </c>
      <c r="P120">
        <f t="shared" si="7"/>
        <v>590</v>
      </c>
      <c r="Q120" s="11">
        <f t="shared" ca="1" si="9"/>
        <v>45435</v>
      </c>
      <c r="R120" s="11">
        <f t="shared" ca="1" si="9"/>
        <v>45465</v>
      </c>
    </row>
    <row r="121" spans="1:18" x14ac:dyDescent="0.25">
      <c r="A121" s="2">
        <v>2502</v>
      </c>
      <c r="B121" s="2">
        <v>2765</v>
      </c>
      <c r="C121" s="3">
        <v>40248</v>
      </c>
      <c r="D121" s="4" t="s">
        <v>10</v>
      </c>
      <c r="E121" s="2">
        <v>0</v>
      </c>
      <c r="F121" s="3">
        <f t="shared" si="8"/>
        <v>40278</v>
      </c>
      <c r="G121" s="2">
        <v>0</v>
      </c>
      <c r="H121" s="5">
        <v>0</v>
      </c>
      <c r="I121" s="2" t="b">
        <v>1</v>
      </c>
      <c r="J121" s="2">
        <v>1524</v>
      </c>
      <c r="K121" s="2" t="b">
        <v>1</v>
      </c>
      <c r="L121" s="2" t="b">
        <v>0</v>
      </c>
      <c r="M121" s="2">
        <v>0</v>
      </c>
      <c r="N121" s="6">
        <v>6</v>
      </c>
      <c r="O121">
        <f t="shared" si="6"/>
        <v>614</v>
      </c>
      <c r="P121">
        <f t="shared" si="7"/>
        <v>584</v>
      </c>
      <c r="Q121" s="11">
        <f t="shared" ca="1" si="9"/>
        <v>45441</v>
      </c>
      <c r="R121" s="11">
        <f t="shared" ca="1" si="9"/>
        <v>45471</v>
      </c>
    </row>
    <row r="122" spans="1:18" x14ac:dyDescent="0.25">
      <c r="A122" s="2">
        <v>2503</v>
      </c>
      <c r="B122" s="2">
        <v>3681</v>
      </c>
      <c r="C122" s="3">
        <v>40253</v>
      </c>
      <c r="D122" s="4" t="s">
        <v>10</v>
      </c>
      <c r="E122" s="2">
        <v>0</v>
      </c>
      <c r="F122" s="3">
        <f t="shared" si="8"/>
        <v>40283</v>
      </c>
      <c r="G122" s="2">
        <v>0</v>
      </c>
      <c r="H122" s="5">
        <v>0</v>
      </c>
      <c r="I122" s="2" t="b">
        <v>1</v>
      </c>
      <c r="J122" s="2">
        <v>1524</v>
      </c>
      <c r="K122" s="2" t="b">
        <v>1</v>
      </c>
      <c r="L122" s="2" t="b">
        <v>0</v>
      </c>
      <c r="M122" s="2">
        <v>0</v>
      </c>
      <c r="N122" s="6">
        <v>6</v>
      </c>
      <c r="O122">
        <f t="shared" si="6"/>
        <v>609</v>
      </c>
      <c r="P122">
        <f t="shared" si="7"/>
        <v>579</v>
      </c>
      <c r="Q122" s="11">
        <f t="shared" ca="1" si="9"/>
        <v>45446</v>
      </c>
      <c r="R122" s="11">
        <f t="shared" ca="1" si="9"/>
        <v>45476</v>
      </c>
    </row>
    <row r="123" spans="1:18" x14ac:dyDescent="0.25">
      <c r="A123" s="2">
        <v>2504</v>
      </c>
      <c r="B123" s="2">
        <v>1745</v>
      </c>
      <c r="C123" s="3">
        <v>40254</v>
      </c>
      <c r="D123" s="4" t="s">
        <v>10</v>
      </c>
      <c r="E123" s="2">
        <v>2500</v>
      </c>
      <c r="F123" s="3">
        <f t="shared" si="8"/>
        <v>40284</v>
      </c>
      <c r="G123" s="2">
        <v>0</v>
      </c>
      <c r="H123" s="5">
        <v>0</v>
      </c>
      <c r="I123" s="2" t="b">
        <v>1</v>
      </c>
      <c r="J123" s="2">
        <v>1524</v>
      </c>
      <c r="K123" s="2" t="b">
        <v>0</v>
      </c>
      <c r="L123" s="2" t="b">
        <v>0</v>
      </c>
      <c r="M123" s="2">
        <v>0</v>
      </c>
      <c r="N123" s="6">
        <v>6</v>
      </c>
      <c r="O123">
        <f t="shared" si="6"/>
        <v>608</v>
      </c>
      <c r="P123">
        <f t="shared" si="7"/>
        <v>578</v>
      </c>
      <c r="Q123" s="11">
        <f t="shared" ca="1" si="9"/>
        <v>45447</v>
      </c>
      <c r="R123" s="11">
        <f t="shared" ca="1" si="9"/>
        <v>45477</v>
      </c>
    </row>
    <row r="124" spans="1:18" x14ac:dyDescent="0.25">
      <c r="A124" s="2">
        <v>2505</v>
      </c>
      <c r="B124" s="2">
        <v>798</v>
      </c>
      <c r="C124" s="3">
        <v>40261</v>
      </c>
      <c r="D124" s="4" t="s">
        <v>10</v>
      </c>
      <c r="E124" s="2">
        <v>0</v>
      </c>
      <c r="F124" s="3">
        <f t="shared" si="8"/>
        <v>40291</v>
      </c>
      <c r="G124" s="2">
        <v>0</v>
      </c>
      <c r="H124" s="5">
        <v>0</v>
      </c>
      <c r="I124" s="2" t="b">
        <v>1</v>
      </c>
      <c r="J124" s="2">
        <v>1524</v>
      </c>
      <c r="K124" s="2" t="b">
        <v>0</v>
      </c>
      <c r="L124" s="2" t="b">
        <v>0</v>
      </c>
      <c r="M124" s="2">
        <v>0</v>
      </c>
      <c r="N124" s="6">
        <v>6</v>
      </c>
      <c r="O124">
        <f t="shared" si="6"/>
        <v>601</v>
      </c>
      <c r="P124">
        <f t="shared" si="7"/>
        <v>571</v>
      </c>
      <c r="Q124" s="11">
        <f t="shared" ca="1" si="9"/>
        <v>45454</v>
      </c>
      <c r="R124" s="11">
        <f t="shared" ca="1" si="9"/>
        <v>45484</v>
      </c>
    </row>
    <row r="125" spans="1:18" x14ac:dyDescent="0.25">
      <c r="A125" s="2">
        <v>2506</v>
      </c>
      <c r="B125" s="2">
        <v>963</v>
      </c>
      <c r="C125" s="3">
        <v>40263</v>
      </c>
      <c r="D125" s="4" t="s">
        <v>10</v>
      </c>
      <c r="E125" s="2">
        <v>0</v>
      </c>
      <c r="F125" s="3">
        <f t="shared" si="8"/>
        <v>40293</v>
      </c>
      <c r="G125" s="2">
        <v>0</v>
      </c>
      <c r="H125" s="5">
        <v>0</v>
      </c>
      <c r="I125" s="2" t="b">
        <v>1</v>
      </c>
      <c r="J125" s="2">
        <v>1524</v>
      </c>
      <c r="K125" s="2" t="b">
        <v>0</v>
      </c>
      <c r="L125" s="2" t="b">
        <v>1</v>
      </c>
      <c r="M125" s="2">
        <v>0</v>
      </c>
      <c r="N125" s="6">
        <v>6</v>
      </c>
      <c r="O125">
        <f t="shared" si="6"/>
        <v>599</v>
      </c>
      <c r="P125">
        <f t="shared" si="7"/>
        <v>569</v>
      </c>
      <c r="Q125" s="11">
        <f t="shared" ca="1" si="9"/>
        <v>45456</v>
      </c>
      <c r="R125" s="11">
        <f t="shared" ca="1" si="9"/>
        <v>45486</v>
      </c>
    </row>
    <row r="126" spans="1:18" x14ac:dyDescent="0.25">
      <c r="A126" s="2">
        <v>2507</v>
      </c>
      <c r="B126" s="2">
        <v>2912</v>
      </c>
      <c r="C126" s="3">
        <v>40282</v>
      </c>
      <c r="D126" s="4" t="s">
        <v>10</v>
      </c>
      <c r="E126" s="2">
        <v>0</v>
      </c>
      <c r="F126" s="3">
        <f t="shared" si="8"/>
        <v>40312</v>
      </c>
      <c r="G126" s="2">
        <v>85</v>
      </c>
      <c r="H126" s="5">
        <v>0.1</v>
      </c>
      <c r="I126" s="2" t="b">
        <v>1</v>
      </c>
      <c r="J126" s="2">
        <v>1524</v>
      </c>
      <c r="K126" s="2" t="b">
        <v>0</v>
      </c>
      <c r="L126" s="2" t="b">
        <v>0</v>
      </c>
      <c r="M126" s="2">
        <v>0</v>
      </c>
      <c r="N126" s="6">
        <v>6</v>
      </c>
      <c r="O126">
        <f t="shared" si="6"/>
        <v>580</v>
      </c>
      <c r="P126">
        <f t="shared" si="7"/>
        <v>550</v>
      </c>
      <c r="Q126" s="11">
        <f t="shared" ca="1" si="9"/>
        <v>45475</v>
      </c>
      <c r="R126" s="11">
        <f t="shared" ca="1" si="9"/>
        <v>45505</v>
      </c>
    </row>
    <row r="127" spans="1:18" x14ac:dyDescent="0.25">
      <c r="A127" s="2">
        <v>2508</v>
      </c>
      <c r="B127" s="2">
        <v>3637</v>
      </c>
      <c r="C127" s="3">
        <v>40282</v>
      </c>
      <c r="D127" s="4" t="s">
        <v>10</v>
      </c>
      <c r="E127" s="2">
        <v>0</v>
      </c>
      <c r="F127" s="3">
        <f t="shared" si="8"/>
        <v>40312</v>
      </c>
      <c r="G127" s="2">
        <v>49</v>
      </c>
      <c r="H127" s="5">
        <v>0</v>
      </c>
      <c r="I127" s="2" t="b">
        <v>1</v>
      </c>
      <c r="J127" s="2">
        <v>1524</v>
      </c>
      <c r="K127" s="2" t="b">
        <v>0</v>
      </c>
      <c r="L127" s="2" t="b">
        <v>0</v>
      </c>
      <c r="M127" s="2">
        <v>0</v>
      </c>
      <c r="N127" s="6">
        <v>6</v>
      </c>
      <c r="O127">
        <f t="shared" si="6"/>
        <v>580</v>
      </c>
      <c r="P127">
        <f t="shared" si="7"/>
        <v>550</v>
      </c>
      <c r="Q127" s="11">
        <f t="shared" ca="1" si="9"/>
        <v>45475</v>
      </c>
      <c r="R127" s="11">
        <f t="shared" ca="1" si="9"/>
        <v>45505</v>
      </c>
    </row>
    <row r="128" spans="1:18" x14ac:dyDescent="0.25">
      <c r="A128" s="2">
        <v>2509</v>
      </c>
      <c r="B128" s="2">
        <v>1745</v>
      </c>
      <c r="C128" s="3">
        <v>40294</v>
      </c>
      <c r="D128" s="4" t="s">
        <v>10</v>
      </c>
      <c r="E128" s="2">
        <v>0</v>
      </c>
      <c r="F128" s="3">
        <f t="shared" si="8"/>
        <v>40324</v>
      </c>
      <c r="G128" s="2">
        <v>0</v>
      </c>
      <c r="H128" s="5">
        <v>0</v>
      </c>
      <c r="I128" s="2" t="b">
        <v>1</v>
      </c>
      <c r="J128" s="2">
        <v>1524</v>
      </c>
      <c r="K128" s="2" t="b">
        <v>0</v>
      </c>
      <c r="L128" s="2" t="b">
        <v>0</v>
      </c>
      <c r="M128" s="2">
        <v>0</v>
      </c>
      <c r="N128" s="6">
        <v>6</v>
      </c>
      <c r="O128">
        <f t="shared" si="6"/>
        <v>568</v>
      </c>
      <c r="P128">
        <f t="shared" si="7"/>
        <v>538</v>
      </c>
      <c r="Q128" s="11">
        <f t="shared" ca="1" si="9"/>
        <v>45487</v>
      </c>
      <c r="R128" s="11">
        <f t="shared" ca="1" si="9"/>
        <v>45517</v>
      </c>
    </row>
    <row r="129" spans="1:18" x14ac:dyDescent="0.25">
      <c r="A129" s="2">
        <v>2510</v>
      </c>
      <c r="B129" s="2">
        <v>2829</v>
      </c>
      <c r="C129" s="3">
        <v>40281</v>
      </c>
      <c r="D129" s="4" t="s">
        <v>10</v>
      </c>
      <c r="E129" s="2">
        <v>0</v>
      </c>
      <c r="F129" s="3">
        <f t="shared" si="8"/>
        <v>40311</v>
      </c>
      <c r="G129" s="2">
        <v>0</v>
      </c>
      <c r="H129" s="5">
        <v>0</v>
      </c>
      <c r="I129" s="2" t="b">
        <v>1</v>
      </c>
      <c r="J129" s="2">
        <v>1524</v>
      </c>
      <c r="K129" s="2" t="b">
        <v>1</v>
      </c>
      <c r="L129" s="2" t="b">
        <v>1</v>
      </c>
      <c r="M129" s="2">
        <v>0</v>
      </c>
      <c r="N129" s="6">
        <v>6</v>
      </c>
      <c r="O129">
        <f t="shared" si="6"/>
        <v>581</v>
      </c>
      <c r="P129">
        <f t="shared" si="7"/>
        <v>551</v>
      </c>
      <c r="Q129" s="11">
        <f t="shared" ca="1" si="9"/>
        <v>45474</v>
      </c>
      <c r="R129" s="11">
        <f t="shared" ca="1" si="9"/>
        <v>45504</v>
      </c>
    </row>
    <row r="130" spans="1:18" x14ac:dyDescent="0.25">
      <c r="A130" s="2">
        <v>2511</v>
      </c>
      <c r="B130" s="2">
        <v>1559</v>
      </c>
      <c r="C130" s="3">
        <v>40283</v>
      </c>
      <c r="D130" s="4" t="s">
        <v>10</v>
      </c>
      <c r="E130" s="2">
        <v>0</v>
      </c>
      <c r="F130" s="3">
        <f t="shared" si="8"/>
        <v>40313</v>
      </c>
      <c r="G130" s="2">
        <v>28</v>
      </c>
      <c r="H130" s="5">
        <v>0</v>
      </c>
      <c r="I130" s="2" t="b">
        <v>1</v>
      </c>
      <c r="J130" s="2">
        <v>1524</v>
      </c>
      <c r="K130" s="2" t="b">
        <v>0</v>
      </c>
      <c r="L130" s="2" t="b">
        <v>0</v>
      </c>
      <c r="M130" s="2">
        <v>0</v>
      </c>
      <c r="N130" s="6">
        <v>6</v>
      </c>
      <c r="O130">
        <f t="shared" ref="O130:O193" si="10">DATEDIF(C130,DateFin,"d")</f>
        <v>579</v>
      </c>
      <c r="P130">
        <f t="shared" ref="P130:P193" si="11">DATEDIF(F130,DateFin,"d")</f>
        <v>549</v>
      </c>
      <c r="Q130" s="11">
        <f t="shared" ca="1" si="9"/>
        <v>45476</v>
      </c>
      <c r="R130" s="11">
        <f t="shared" ca="1" si="9"/>
        <v>45506</v>
      </c>
    </row>
    <row r="131" spans="1:18" x14ac:dyDescent="0.25">
      <c r="A131" s="2">
        <v>2512</v>
      </c>
      <c r="B131" s="2">
        <v>3682</v>
      </c>
      <c r="C131" s="3">
        <v>40284</v>
      </c>
      <c r="D131" s="4" t="s">
        <v>10</v>
      </c>
      <c r="E131" s="2">
        <v>0</v>
      </c>
      <c r="F131" s="3">
        <f t="shared" si="8"/>
        <v>40314</v>
      </c>
      <c r="G131" s="2">
        <v>0</v>
      </c>
      <c r="H131" s="5">
        <v>0</v>
      </c>
      <c r="I131" s="2" t="b">
        <v>1</v>
      </c>
      <c r="J131" s="2">
        <v>1524</v>
      </c>
      <c r="K131" s="2" t="b">
        <v>0</v>
      </c>
      <c r="L131" s="2" t="b">
        <v>0</v>
      </c>
      <c r="M131" s="2">
        <v>0</v>
      </c>
      <c r="N131" s="6">
        <v>6</v>
      </c>
      <c r="O131">
        <f t="shared" si="10"/>
        <v>578</v>
      </c>
      <c r="P131">
        <f t="shared" si="11"/>
        <v>548</v>
      </c>
      <c r="Q131" s="11">
        <f t="shared" ca="1" si="9"/>
        <v>45477</v>
      </c>
      <c r="R131" s="11">
        <f t="shared" ca="1" si="9"/>
        <v>45507</v>
      </c>
    </row>
    <row r="132" spans="1:18" x14ac:dyDescent="0.25">
      <c r="A132" s="2">
        <v>2513</v>
      </c>
      <c r="B132" s="2">
        <v>1156</v>
      </c>
      <c r="C132" s="3">
        <v>40284</v>
      </c>
      <c r="D132" s="4" t="s">
        <v>10</v>
      </c>
      <c r="E132" s="2">
        <v>0</v>
      </c>
      <c r="F132" s="3">
        <f t="shared" si="8"/>
        <v>40314</v>
      </c>
      <c r="G132" s="2">
        <v>46</v>
      </c>
      <c r="H132" s="5">
        <v>0</v>
      </c>
      <c r="I132" s="2" t="b">
        <v>1</v>
      </c>
      <c r="J132" s="2">
        <v>1524</v>
      </c>
      <c r="K132" s="2" t="b">
        <v>0</v>
      </c>
      <c r="L132" s="2" t="b">
        <v>0</v>
      </c>
      <c r="M132" s="2">
        <v>0</v>
      </c>
      <c r="N132" s="6">
        <v>6</v>
      </c>
      <c r="O132">
        <f t="shared" si="10"/>
        <v>578</v>
      </c>
      <c r="P132">
        <f t="shared" si="11"/>
        <v>548</v>
      </c>
      <c r="Q132" s="11">
        <f t="shared" ca="1" si="9"/>
        <v>45477</v>
      </c>
      <c r="R132" s="11">
        <f t="shared" ca="1" si="9"/>
        <v>45507</v>
      </c>
    </row>
    <row r="133" spans="1:18" x14ac:dyDescent="0.25">
      <c r="A133" s="2">
        <v>2514</v>
      </c>
      <c r="B133" s="2">
        <v>3007</v>
      </c>
      <c r="C133" s="3">
        <v>40286</v>
      </c>
      <c r="D133" s="4" t="s">
        <v>10</v>
      </c>
      <c r="E133" s="2">
        <v>0</v>
      </c>
      <c r="F133" s="3">
        <f t="shared" si="8"/>
        <v>40316</v>
      </c>
      <c r="G133" s="2">
        <v>0</v>
      </c>
      <c r="H133" s="5">
        <v>0</v>
      </c>
      <c r="I133" s="2" t="b">
        <v>1</v>
      </c>
      <c r="J133" s="2">
        <v>1524</v>
      </c>
      <c r="K133" s="2" t="b">
        <v>0</v>
      </c>
      <c r="L133" s="2" t="b">
        <v>0</v>
      </c>
      <c r="M133" s="2">
        <v>0</v>
      </c>
      <c r="N133" s="6">
        <v>6</v>
      </c>
      <c r="O133">
        <f t="shared" si="10"/>
        <v>576</v>
      </c>
      <c r="P133">
        <f t="shared" si="11"/>
        <v>546</v>
      </c>
      <c r="Q133" s="11">
        <f t="shared" ca="1" si="9"/>
        <v>45479</v>
      </c>
      <c r="R133" s="11">
        <f t="shared" ca="1" si="9"/>
        <v>45509</v>
      </c>
    </row>
    <row r="134" spans="1:18" x14ac:dyDescent="0.25">
      <c r="A134" s="2">
        <v>2515</v>
      </c>
      <c r="B134" s="2">
        <v>3635</v>
      </c>
      <c r="C134" s="3">
        <v>40296</v>
      </c>
      <c r="D134" s="4" t="s">
        <v>10</v>
      </c>
      <c r="E134" s="2">
        <v>0</v>
      </c>
      <c r="F134" s="3">
        <f t="shared" si="8"/>
        <v>40326</v>
      </c>
      <c r="G134" s="2">
        <v>49</v>
      </c>
      <c r="H134" s="5">
        <v>0</v>
      </c>
      <c r="I134" s="2" t="b">
        <v>1</v>
      </c>
      <c r="J134" s="2">
        <v>1524</v>
      </c>
      <c r="K134" s="2" t="b">
        <v>0</v>
      </c>
      <c r="L134" s="2" t="b">
        <v>0</v>
      </c>
      <c r="M134" s="2">
        <v>0</v>
      </c>
      <c r="N134" s="6">
        <v>6</v>
      </c>
      <c r="O134">
        <f t="shared" si="10"/>
        <v>566</v>
      </c>
      <c r="P134">
        <f t="shared" si="11"/>
        <v>536</v>
      </c>
      <c r="Q134" s="11">
        <f t="shared" ca="1" si="9"/>
        <v>45489</v>
      </c>
      <c r="R134" s="11">
        <f t="shared" ca="1" si="9"/>
        <v>45519</v>
      </c>
    </row>
    <row r="135" spans="1:18" x14ac:dyDescent="0.25">
      <c r="A135" s="2">
        <v>2516</v>
      </c>
      <c r="B135" s="2">
        <v>3683</v>
      </c>
      <c r="C135" s="3">
        <v>40294</v>
      </c>
      <c r="D135" s="4" t="s">
        <v>10</v>
      </c>
      <c r="E135" s="2">
        <v>0</v>
      </c>
      <c r="F135" s="3">
        <f t="shared" si="8"/>
        <v>40324</v>
      </c>
      <c r="G135" s="2">
        <v>49</v>
      </c>
      <c r="H135" s="5">
        <v>0</v>
      </c>
      <c r="I135" s="2" t="b">
        <v>1</v>
      </c>
      <c r="J135" s="2">
        <v>1524</v>
      </c>
      <c r="K135" s="2" t="b">
        <v>0</v>
      </c>
      <c r="L135" s="2" t="b">
        <v>0</v>
      </c>
      <c r="M135" s="2">
        <v>0</v>
      </c>
      <c r="N135" s="6">
        <v>6</v>
      </c>
      <c r="O135">
        <f t="shared" si="10"/>
        <v>568</v>
      </c>
      <c r="P135">
        <f t="shared" si="11"/>
        <v>538</v>
      </c>
      <c r="Q135" s="11">
        <f t="shared" ca="1" si="9"/>
        <v>45487</v>
      </c>
      <c r="R135" s="11">
        <f t="shared" ca="1" si="9"/>
        <v>45517</v>
      </c>
    </row>
    <row r="136" spans="1:18" x14ac:dyDescent="0.25">
      <c r="A136" s="2">
        <v>2517</v>
      </c>
      <c r="B136" s="2">
        <v>1745</v>
      </c>
      <c r="C136" s="3">
        <v>40294</v>
      </c>
      <c r="D136" s="4" t="s">
        <v>10</v>
      </c>
      <c r="E136" s="2">
        <v>0</v>
      </c>
      <c r="F136" s="3">
        <f t="shared" si="8"/>
        <v>40324</v>
      </c>
      <c r="G136" s="2">
        <v>0</v>
      </c>
      <c r="H136" s="5">
        <v>0.2</v>
      </c>
      <c r="I136" s="2" t="b">
        <v>1</v>
      </c>
      <c r="J136" s="2">
        <v>1524</v>
      </c>
      <c r="K136" s="2" t="b">
        <v>0</v>
      </c>
      <c r="L136" s="2" t="b">
        <v>0</v>
      </c>
      <c r="M136" s="2">
        <v>0</v>
      </c>
      <c r="N136" s="6">
        <v>6</v>
      </c>
      <c r="O136">
        <f t="shared" si="10"/>
        <v>568</v>
      </c>
      <c r="P136">
        <f t="shared" si="11"/>
        <v>538</v>
      </c>
      <c r="Q136" s="11">
        <f t="shared" ca="1" si="9"/>
        <v>45487</v>
      </c>
      <c r="R136" s="11">
        <f t="shared" ca="1" si="9"/>
        <v>45517</v>
      </c>
    </row>
    <row r="137" spans="1:18" x14ac:dyDescent="0.25">
      <c r="A137" s="2">
        <v>2518</v>
      </c>
      <c r="B137" s="2">
        <v>3684</v>
      </c>
      <c r="C137" s="3">
        <v>40311</v>
      </c>
      <c r="D137" s="4" t="s">
        <v>10</v>
      </c>
      <c r="E137" s="2">
        <v>0</v>
      </c>
      <c r="F137" s="3">
        <f t="shared" si="8"/>
        <v>40341</v>
      </c>
      <c r="G137" s="2">
        <v>0</v>
      </c>
      <c r="H137" s="5">
        <v>0</v>
      </c>
      <c r="I137" s="2" t="b">
        <v>1</v>
      </c>
      <c r="J137" s="2">
        <v>1524</v>
      </c>
      <c r="K137" s="2" t="b">
        <v>0</v>
      </c>
      <c r="L137" s="2" t="b">
        <v>0</v>
      </c>
      <c r="M137" s="2">
        <v>0</v>
      </c>
      <c r="N137" s="6">
        <v>6</v>
      </c>
      <c r="O137">
        <f t="shared" si="10"/>
        <v>551</v>
      </c>
      <c r="P137">
        <f t="shared" si="11"/>
        <v>521</v>
      </c>
      <c r="Q137" s="11">
        <f t="shared" ca="1" si="9"/>
        <v>45504</v>
      </c>
      <c r="R137" s="11">
        <f t="shared" ca="1" si="9"/>
        <v>45534</v>
      </c>
    </row>
    <row r="138" spans="1:18" x14ac:dyDescent="0.25">
      <c r="A138" s="2">
        <v>2519</v>
      </c>
      <c r="B138" s="2">
        <v>2818</v>
      </c>
      <c r="C138" s="3">
        <v>40295</v>
      </c>
      <c r="D138" s="4" t="s">
        <v>10</v>
      </c>
      <c r="E138" s="2">
        <v>0</v>
      </c>
      <c r="F138" s="3">
        <f t="shared" si="8"/>
        <v>40325</v>
      </c>
      <c r="G138" s="2">
        <v>14</v>
      </c>
      <c r="H138" s="5">
        <v>0</v>
      </c>
      <c r="I138" s="2" t="b">
        <v>1</v>
      </c>
      <c r="J138" s="2">
        <v>640</v>
      </c>
      <c r="K138" s="2" t="b">
        <v>1</v>
      </c>
      <c r="L138" s="2" t="b">
        <v>0</v>
      </c>
      <c r="M138" s="2">
        <v>0</v>
      </c>
      <c r="N138" s="6">
        <v>6</v>
      </c>
      <c r="O138">
        <f t="shared" si="10"/>
        <v>567</v>
      </c>
      <c r="P138">
        <f t="shared" si="11"/>
        <v>537</v>
      </c>
      <c r="Q138" s="11">
        <f t="shared" ca="1" si="9"/>
        <v>45488</v>
      </c>
      <c r="R138" s="11">
        <f t="shared" ca="1" si="9"/>
        <v>45518</v>
      </c>
    </row>
    <row r="139" spans="1:18" x14ac:dyDescent="0.25">
      <c r="A139" s="2">
        <v>2520</v>
      </c>
      <c r="B139" s="8">
        <v>571</v>
      </c>
      <c r="C139" s="3">
        <v>40296</v>
      </c>
      <c r="D139" s="4" t="s">
        <v>10</v>
      </c>
      <c r="E139" s="2">
        <v>0</v>
      </c>
      <c r="F139" s="3">
        <f t="shared" si="8"/>
        <v>40326</v>
      </c>
      <c r="G139" s="2">
        <v>0</v>
      </c>
      <c r="H139" s="5">
        <v>0</v>
      </c>
      <c r="I139" s="2" t="b">
        <v>1</v>
      </c>
      <c r="J139" s="2">
        <v>1524</v>
      </c>
      <c r="K139" s="2" t="b">
        <v>0</v>
      </c>
      <c r="L139" s="2" t="b">
        <v>0</v>
      </c>
      <c r="M139" s="2">
        <v>0</v>
      </c>
      <c r="N139" s="6">
        <v>6</v>
      </c>
      <c r="O139">
        <f t="shared" si="10"/>
        <v>566</v>
      </c>
      <c r="P139">
        <f t="shared" si="11"/>
        <v>536</v>
      </c>
      <c r="Q139" s="11">
        <f t="shared" ca="1" si="9"/>
        <v>45489</v>
      </c>
      <c r="R139" s="11">
        <f t="shared" ca="1" si="9"/>
        <v>45519</v>
      </c>
    </row>
    <row r="140" spans="1:18" x14ac:dyDescent="0.25">
      <c r="A140" s="2">
        <v>2521</v>
      </c>
      <c r="B140" s="8">
        <v>1003</v>
      </c>
      <c r="C140" s="3">
        <v>40298</v>
      </c>
      <c r="D140" s="4" t="s">
        <v>10</v>
      </c>
      <c r="E140" s="2">
        <v>0</v>
      </c>
      <c r="F140" s="3">
        <f t="shared" si="8"/>
        <v>40328</v>
      </c>
      <c r="G140" s="2">
        <v>0</v>
      </c>
      <c r="H140" s="5">
        <v>0</v>
      </c>
      <c r="I140" s="2" t="b">
        <v>1</v>
      </c>
      <c r="J140" s="2">
        <v>1524</v>
      </c>
      <c r="K140" s="2" t="b">
        <v>0</v>
      </c>
      <c r="L140" s="2" t="b">
        <v>0</v>
      </c>
      <c r="M140" s="2">
        <v>0</v>
      </c>
      <c r="N140" s="6">
        <v>6</v>
      </c>
      <c r="O140">
        <f t="shared" si="10"/>
        <v>564</v>
      </c>
      <c r="P140">
        <f t="shared" si="11"/>
        <v>534</v>
      </c>
      <c r="Q140" s="11">
        <f t="shared" ca="1" si="9"/>
        <v>45491</v>
      </c>
      <c r="R140" s="11">
        <f t="shared" ca="1" si="9"/>
        <v>45521</v>
      </c>
    </row>
    <row r="141" spans="1:18" x14ac:dyDescent="0.25">
      <c r="A141" s="2">
        <v>2522</v>
      </c>
      <c r="B141" s="8">
        <v>1961</v>
      </c>
      <c r="C141" s="3">
        <v>40302</v>
      </c>
      <c r="D141" s="4" t="s">
        <v>10</v>
      </c>
      <c r="E141" s="2">
        <v>0</v>
      </c>
      <c r="F141" s="3">
        <f t="shared" si="8"/>
        <v>40332</v>
      </c>
      <c r="G141" s="2">
        <v>0</v>
      </c>
      <c r="H141" s="5">
        <v>0</v>
      </c>
      <c r="I141" s="2" t="b">
        <v>1</v>
      </c>
      <c r="J141" s="2">
        <v>1524</v>
      </c>
      <c r="K141" s="2" t="b">
        <v>0</v>
      </c>
      <c r="L141" s="2" t="b">
        <v>0</v>
      </c>
      <c r="M141" s="2">
        <v>0</v>
      </c>
      <c r="N141" s="6">
        <v>6</v>
      </c>
      <c r="O141">
        <f t="shared" si="10"/>
        <v>560</v>
      </c>
      <c r="P141">
        <f t="shared" si="11"/>
        <v>530</v>
      </c>
      <c r="Q141" s="11">
        <f t="shared" ca="1" si="9"/>
        <v>45495</v>
      </c>
      <c r="R141" s="11">
        <f t="shared" ca="1" si="9"/>
        <v>45525</v>
      </c>
    </row>
    <row r="142" spans="1:18" x14ac:dyDescent="0.25">
      <c r="A142" s="2">
        <v>2523</v>
      </c>
      <c r="B142" s="8">
        <v>2005</v>
      </c>
      <c r="C142" s="3">
        <v>40302</v>
      </c>
      <c r="D142" s="4" t="s">
        <v>10</v>
      </c>
      <c r="E142" s="2">
        <v>0</v>
      </c>
      <c r="F142" s="3">
        <f t="shared" si="8"/>
        <v>40332</v>
      </c>
      <c r="G142" s="2">
        <v>17</v>
      </c>
      <c r="H142" s="5">
        <v>0</v>
      </c>
      <c r="I142" s="2" t="b">
        <v>1</v>
      </c>
      <c r="J142" s="2">
        <v>1524</v>
      </c>
      <c r="K142" s="2" t="b">
        <v>1</v>
      </c>
      <c r="L142" s="2" t="b">
        <v>0</v>
      </c>
      <c r="M142" s="2">
        <v>0</v>
      </c>
      <c r="N142" s="6">
        <v>6</v>
      </c>
      <c r="O142">
        <f t="shared" si="10"/>
        <v>560</v>
      </c>
      <c r="P142">
        <f t="shared" si="11"/>
        <v>530</v>
      </c>
      <c r="Q142" s="11">
        <f t="shared" ca="1" si="9"/>
        <v>45495</v>
      </c>
      <c r="R142" s="11">
        <f t="shared" ca="1" si="9"/>
        <v>45525</v>
      </c>
    </row>
    <row r="143" spans="1:18" x14ac:dyDescent="0.25">
      <c r="A143" s="2">
        <v>2524</v>
      </c>
      <c r="B143" s="8">
        <v>2320</v>
      </c>
      <c r="C143" s="3">
        <v>40319</v>
      </c>
      <c r="D143" s="4" t="s">
        <v>10</v>
      </c>
      <c r="E143" s="2">
        <v>0</v>
      </c>
      <c r="F143" s="3">
        <f t="shared" si="8"/>
        <v>40349</v>
      </c>
      <c r="G143" s="2">
        <v>0</v>
      </c>
      <c r="H143" s="5">
        <v>0</v>
      </c>
      <c r="I143" s="2" t="b">
        <v>1</v>
      </c>
      <c r="J143" s="2">
        <v>1524</v>
      </c>
      <c r="K143" s="2" t="b">
        <v>0</v>
      </c>
      <c r="L143" s="2" t="b">
        <v>0</v>
      </c>
      <c r="M143" s="2">
        <v>0</v>
      </c>
      <c r="N143" s="6">
        <v>6</v>
      </c>
      <c r="O143">
        <f t="shared" si="10"/>
        <v>543</v>
      </c>
      <c r="P143">
        <f t="shared" si="11"/>
        <v>513</v>
      </c>
      <c r="Q143" s="11">
        <f t="shared" ca="1" si="9"/>
        <v>45512</v>
      </c>
      <c r="R143" s="11">
        <f t="shared" ca="1" si="9"/>
        <v>45542</v>
      </c>
    </row>
    <row r="144" spans="1:18" x14ac:dyDescent="0.25">
      <c r="A144" s="2">
        <v>2525</v>
      </c>
      <c r="B144" s="8">
        <v>2334</v>
      </c>
      <c r="C144" s="3">
        <v>40320</v>
      </c>
      <c r="D144" s="4" t="s">
        <v>10</v>
      </c>
      <c r="E144" s="2">
        <v>4436.3</v>
      </c>
      <c r="F144" s="3">
        <f t="shared" si="8"/>
        <v>40350</v>
      </c>
      <c r="G144" s="2">
        <v>0</v>
      </c>
      <c r="H144" s="5">
        <v>0</v>
      </c>
      <c r="I144" s="2" t="b">
        <v>1</v>
      </c>
      <c r="J144" s="2">
        <v>1524</v>
      </c>
      <c r="K144" s="2" t="b">
        <v>1</v>
      </c>
      <c r="L144" s="2" t="b">
        <v>0</v>
      </c>
      <c r="M144" s="2">
        <v>0</v>
      </c>
      <c r="N144" s="6">
        <v>6</v>
      </c>
      <c r="O144">
        <f t="shared" si="10"/>
        <v>542</v>
      </c>
      <c r="P144">
        <f t="shared" si="11"/>
        <v>512</v>
      </c>
      <c r="Q144" s="11">
        <f t="shared" ca="1" si="9"/>
        <v>45513</v>
      </c>
      <c r="R144" s="11">
        <f t="shared" ca="1" si="9"/>
        <v>45543</v>
      </c>
    </row>
    <row r="145" spans="1:18" x14ac:dyDescent="0.25">
      <c r="A145" s="2">
        <v>2526</v>
      </c>
      <c r="B145" s="8">
        <v>2488</v>
      </c>
      <c r="C145" s="3">
        <v>40324</v>
      </c>
      <c r="D145" s="4" t="s">
        <v>10</v>
      </c>
      <c r="E145" s="2">
        <v>0</v>
      </c>
      <c r="F145" s="3">
        <f t="shared" si="8"/>
        <v>40354</v>
      </c>
      <c r="G145" s="2">
        <v>0</v>
      </c>
      <c r="H145" s="5">
        <v>0</v>
      </c>
      <c r="I145" s="2" t="b">
        <v>1</v>
      </c>
      <c r="J145" s="2">
        <v>1524</v>
      </c>
      <c r="K145" s="2" t="b">
        <v>0</v>
      </c>
      <c r="L145" s="2" t="b">
        <v>0</v>
      </c>
      <c r="M145" s="2">
        <v>0</v>
      </c>
      <c r="N145" s="6">
        <v>6</v>
      </c>
      <c r="O145">
        <f t="shared" si="10"/>
        <v>538</v>
      </c>
      <c r="P145">
        <f t="shared" si="11"/>
        <v>508</v>
      </c>
      <c r="Q145" s="11">
        <f t="shared" ca="1" si="9"/>
        <v>45517</v>
      </c>
      <c r="R145" s="11">
        <f t="shared" ca="1" si="9"/>
        <v>45547</v>
      </c>
    </row>
    <row r="146" spans="1:18" x14ac:dyDescent="0.25">
      <c r="A146" s="2">
        <v>2527</v>
      </c>
      <c r="B146" s="8">
        <v>2782</v>
      </c>
      <c r="C146" s="3">
        <v>40324</v>
      </c>
      <c r="D146" s="4" t="s">
        <v>10</v>
      </c>
      <c r="E146" s="2">
        <v>0</v>
      </c>
      <c r="F146" s="3">
        <f t="shared" si="8"/>
        <v>40354</v>
      </c>
      <c r="G146" s="2">
        <v>0</v>
      </c>
      <c r="H146" s="5">
        <v>0</v>
      </c>
      <c r="I146" s="2" t="b">
        <v>1</v>
      </c>
      <c r="J146" s="2">
        <v>1524</v>
      </c>
      <c r="K146" s="2" t="b">
        <v>1</v>
      </c>
      <c r="L146" s="2" t="b">
        <v>0</v>
      </c>
      <c r="M146" s="2">
        <v>0</v>
      </c>
      <c r="N146" s="6">
        <v>6</v>
      </c>
      <c r="O146">
        <f t="shared" si="10"/>
        <v>538</v>
      </c>
      <c r="P146">
        <f t="shared" si="11"/>
        <v>508</v>
      </c>
      <c r="Q146" s="11">
        <f t="shared" ca="1" si="9"/>
        <v>45517</v>
      </c>
      <c r="R146" s="11">
        <f t="shared" ca="1" si="9"/>
        <v>45547</v>
      </c>
    </row>
    <row r="147" spans="1:18" x14ac:dyDescent="0.25">
      <c r="A147" s="2">
        <v>2528</v>
      </c>
      <c r="B147" s="2">
        <v>2913</v>
      </c>
      <c r="C147" s="3">
        <v>40324</v>
      </c>
      <c r="D147" s="4" t="s">
        <v>10</v>
      </c>
      <c r="E147" s="2">
        <v>0</v>
      </c>
      <c r="F147" s="3">
        <f t="shared" si="8"/>
        <v>40354</v>
      </c>
      <c r="G147" s="2">
        <v>0</v>
      </c>
      <c r="H147" s="5">
        <v>0.1</v>
      </c>
      <c r="I147" s="2" t="b">
        <v>1</v>
      </c>
      <c r="J147" s="2">
        <v>1524</v>
      </c>
      <c r="K147" s="2" t="b">
        <v>0</v>
      </c>
      <c r="L147" s="2" t="b">
        <v>0</v>
      </c>
      <c r="M147" s="2">
        <v>0</v>
      </c>
      <c r="N147" s="6">
        <v>6</v>
      </c>
      <c r="O147">
        <f t="shared" si="10"/>
        <v>538</v>
      </c>
      <c r="P147">
        <f t="shared" si="11"/>
        <v>508</v>
      </c>
      <c r="Q147" s="11">
        <f t="shared" ca="1" si="9"/>
        <v>45517</v>
      </c>
      <c r="R147" s="11">
        <f t="shared" ca="1" si="9"/>
        <v>45547</v>
      </c>
    </row>
    <row r="148" spans="1:18" x14ac:dyDescent="0.25">
      <c r="A148" s="2">
        <v>2529</v>
      </c>
      <c r="B148" s="2">
        <v>3007</v>
      </c>
      <c r="C148" s="3">
        <v>40330</v>
      </c>
      <c r="D148" s="4" t="s">
        <v>10</v>
      </c>
      <c r="E148" s="2">
        <v>0</v>
      </c>
      <c r="F148" s="3">
        <f t="shared" si="8"/>
        <v>40360</v>
      </c>
      <c r="G148" s="2">
        <v>0</v>
      </c>
      <c r="H148" s="5">
        <v>0</v>
      </c>
      <c r="I148" s="2" t="b">
        <v>1</v>
      </c>
      <c r="J148" s="2">
        <v>1524</v>
      </c>
      <c r="K148" s="2" t="b">
        <v>0</v>
      </c>
      <c r="L148" s="2" t="b">
        <v>0</v>
      </c>
      <c r="M148" s="2">
        <v>0</v>
      </c>
      <c r="N148" s="6">
        <v>6</v>
      </c>
      <c r="O148">
        <f t="shared" si="10"/>
        <v>532</v>
      </c>
      <c r="P148">
        <f t="shared" si="11"/>
        <v>502</v>
      </c>
      <c r="Q148" s="11">
        <f t="shared" ca="1" si="9"/>
        <v>45523</v>
      </c>
      <c r="R148" s="11">
        <f t="shared" ca="1" si="9"/>
        <v>45553</v>
      </c>
    </row>
    <row r="149" spans="1:18" x14ac:dyDescent="0.25">
      <c r="A149" s="2">
        <v>2530</v>
      </c>
      <c r="B149" s="2">
        <v>933</v>
      </c>
      <c r="C149" s="3">
        <v>40336</v>
      </c>
      <c r="D149" s="4" t="s">
        <v>10</v>
      </c>
      <c r="E149" s="2">
        <v>0</v>
      </c>
      <c r="F149" s="3">
        <f t="shared" si="8"/>
        <v>40366</v>
      </c>
      <c r="G149" s="2">
        <v>0</v>
      </c>
      <c r="H149" s="5">
        <v>0</v>
      </c>
      <c r="I149" s="2" t="b">
        <v>1</v>
      </c>
      <c r="J149" s="2">
        <v>1524</v>
      </c>
      <c r="K149" s="2" t="b">
        <v>0</v>
      </c>
      <c r="L149" s="2" t="b">
        <v>0</v>
      </c>
      <c r="M149" s="2">
        <v>0</v>
      </c>
      <c r="N149" s="6">
        <v>6</v>
      </c>
      <c r="O149">
        <f t="shared" si="10"/>
        <v>526</v>
      </c>
      <c r="P149">
        <f t="shared" si="11"/>
        <v>496</v>
      </c>
      <c r="Q149" s="11">
        <f t="shared" ca="1" si="9"/>
        <v>45529</v>
      </c>
      <c r="R149" s="11">
        <f t="shared" ca="1" si="9"/>
        <v>45559</v>
      </c>
    </row>
    <row r="150" spans="1:18" x14ac:dyDescent="0.25">
      <c r="A150" s="2">
        <v>2531</v>
      </c>
      <c r="B150" s="2">
        <v>2952</v>
      </c>
      <c r="C150" s="3">
        <v>40337</v>
      </c>
      <c r="D150" s="4" t="s">
        <v>10</v>
      </c>
      <c r="E150" s="2">
        <v>0</v>
      </c>
      <c r="F150" s="3">
        <f t="shared" si="8"/>
        <v>40367</v>
      </c>
      <c r="G150" s="2">
        <v>0</v>
      </c>
      <c r="H150" s="5">
        <v>0</v>
      </c>
      <c r="I150" s="2" t="b">
        <v>1</v>
      </c>
      <c r="J150" s="2">
        <v>1524</v>
      </c>
      <c r="K150" s="2" t="b">
        <v>0</v>
      </c>
      <c r="L150" s="2" t="b">
        <v>0</v>
      </c>
      <c r="M150" s="2">
        <v>0</v>
      </c>
      <c r="N150" s="6">
        <v>6</v>
      </c>
      <c r="O150">
        <f t="shared" si="10"/>
        <v>525</v>
      </c>
      <c r="P150">
        <f t="shared" si="11"/>
        <v>495</v>
      </c>
      <c r="Q150" s="11">
        <f t="shared" ca="1" si="9"/>
        <v>45530</v>
      </c>
      <c r="R150" s="11">
        <f t="shared" ca="1" si="9"/>
        <v>45560</v>
      </c>
    </row>
    <row r="151" spans="1:18" x14ac:dyDescent="0.25">
      <c r="A151" s="2">
        <v>2532</v>
      </c>
      <c r="B151" s="2">
        <v>3657</v>
      </c>
      <c r="C151" s="3">
        <v>40338</v>
      </c>
      <c r="D151" s="4" t="s">
        <v>10</v>
      </c>
      <c r="E151" s="2">
        <v>0</v>
      </c>
      <c r="F151" s="3">
        <f t="shared" si="8"/>
        <v>40368</v>
      </c>
      <c r="G151" s="2">
        <v>46</v>
      </c>
      <c r="H151" s="5">
        <v>0</v>
      </c>
      <c r="I151" s="2" t="b">
        <v>1</v>
      </c>
      <c r="J151" s="2">
        <v>1524</v>
      </c>
      <c r="K151" s="2" t="b">
        <v>0</v>
      </c>
      <c r="L151" s="2" t="b">
        <v>0</v>
      </c>
      <c r="M151" s="2">
        <v>0</v>
      </c>
      <c r="N151" s="6">
        <v>6</v>
      </c>
      <c r="O151">
        <f t="shared" si="10"/>
        <v>524</v>
      </c>
      <c r="P151">
        <f t="shared" si="11"/>
        <v>494</v>
      </c>
      <c r="Q151" s="11">
        <f t="shared" ca="1" si="9"/>
        <v>45531</v>
      </c>
      <c r="R151" s="11">
        <f t="shared" ca="1" si="9"/>
        <v>45561</v>
      </c>
    </row>
    <row r="152" spans="1:18" x14ac:dyDescent="0.25">
      <c r="A152" s="2">
        <v>2533</v>
      </c>
      <c r="B152" s="2">
        <v>2646</v>
      </c>
      <c r="C152" s="3">
        <v>40347</v>
      </c>
      <c r="D152" s="4" t="s">
        <v>10</v>
      </c>
      <c r="E152" s="2">
        <v>0</v>
      </c>
      <c r="F152" s="3">
        <f t="shared" ref="F152:F215" si="12">C152+30</f>
        <v>40377</v>
      </c>
      <c r="G152" s="2">
        <v>0</v>
      </c>
      <c r="H152" s="5">
        <v>0</v>
      </c>
      <c r="I152" s="2" t="b">
        <v>1</v>
      </c>
      <c r="J152" s="2">
        <v>640</v>
      </c>
      <c r="K152" s="2" t="b">
        <v>1</v>
      </c>
      <c r="L152" s="2" t="b">
        <v>0</v>
      </c>
      <c r="M152" s="2">
        <v>0</v>
      </c>
      <c r="N152" s="6">
        <v>6</v>
      </c>
      <c r="O152">
        <f t="shared" si="10"/>
        <v>515</v>
      </c>
      <c r="P152">
        <f t="shared" si="11"/>
        <v>485</v>
      </c>
      <c r="Q152" s="11">
        <f t="shared" ref="Q152:R215" ca="1" si="13">TODAY()-O152</f>
        <v>45540</v>
      </c>
      <c r="R152" s="11">
        <f t="shared" ca="1" si="13"/>
        <v>45570</v>
      </c>
    </row>
    <row r="153" spans="1:18" x14ac:dyDescent="0.25">
      <c r="A153" s="2">
        <v>2534</v>
      </c>
      <c r="B153" s="2">
        <v>3624</v>
      </c>
      <c r="C153" s="3">
        <v>40347</v>
      </c>
      <c r="D153" s="4" t="s">
        <v>10</v>
      </c>
      <c r="E153" s="2">
        <v>0</v>
      </c>
      <c r="F153" s="3">
        <f t="shared" si="12"/>
        <v>40377</v>
      </c>
      <c r="G153" s="2">
        <v>0</v>
      </c>
      <c r="H153" s="5">
        <v>0</v>
      </c>
      <c r="I153" s="2" t="b">
        <v>1</v>
      </c>
      <c r="J153" s="2">
        <v>1524</v>
      </c>
      <c r="K153" s="2" t="b">
        <v>0</v>
      </c>
      <c r="L153" s="2" t="b">
        <v>0</v>
      </c>
      <c r="M153" s="2">
        <v>0</v>
      </c>
      <c r="N153" s="6">
        <v>6</v>
      </c>
      <c r="O153">
        <f t="shared" si="10"/>
        <v>515</v>
      </c>
      <c r="P153">
        <f t="shared" si="11"/>
        <v>485</v>
      </c>
      <c r="Q153" s="11">
        <f t="shared" ca="1" si="13"/>
        <v>45540</v>
      </c>
      <c r="R153" s="11">
        <f t="shared" ca="1" si="13"/>
        <v>45570</v>
      </c>
    </row>
    <row r="154" spans="1:18" x14ac:dyDescent="0.25">
      <c r="A154" s="2">
        <v>2535</v>
      </c>
      <c r="B154" s="2">
        <v>3686</v>
      </c>
      <c r="C154" s="3">
        <v>40357</v>
      </c>
      <c r="D154" s="4" t="s">
        <v>10</v>
      </c>
      <c r="E154" s="2">
        <v>0</v>
      </c>
      <c r="F154" s="3">
        <f t="shared" si="12"/>
        <v>40387</v>
      </c>
      <c r="G154" s="2">
        <v>0</v>
      </c>
      <c r="H154" s="5">
        <v>0.2</v>
      </c>
      <c r="I154" s="2" t="b">
        <v>1</v>
      </c>
      <c r="J154" s="2">
        <v>1524</v>
      </c>
      <c r="K154" s="2" t="b">
        <v>0</v>
      </c>
      <c r="L154" s="2" t="b">
        <v>0</v>
      </c>
      <c r="M154" s="2">
        <v>0</v>
      </c>
      <c r="N154" s="6">
        <v>6</v>
      </c>
      <c r="O154">
        <f t="shared" si="10"/>
        <v>505</v>
      </c>
      <c r="P154">
        <f t="shared" si="11"/>
        <v>475</v>
      </c>
      <c r="Q154" s="11">
        <f t="shared" ca="1" si="13"/>
        <v>45550</v>
      </c>
      <c r="R154" s="11">
        <f t="shared" ca="1" si="13"/>
        <v>45580</v>
      </c>
    </row>
    <row r="155" spans="1:18" x14ac:dyDescent="0.25">
      <c r="A155" s="2">
        <v>2536</v>
      </c>
      <c r="B155" s="2">
        <v>3686</v>
      </c>
      <c r="C155" s="3">
        <v>40357</v>
      </c>
      <c r="D155" s="4" t="s">
        <v>10</v>
      </c>
      <c r="E155" s="2">
        <v>0</v>
      </c>
      <c r="F155" s="3">
        <f t="shared" si="12"/>
        <v>40387</v>
      </c>
      <c r="G155" s="2">
        <v>0</v>
      </c>
      <c r="H155" s="5">
        <v>0</v>
      </c>
      <c r="I155" s="2" t="b">
        <v>1</v>
      </c>
      <c r="J155" s="2">
        <v>1524</v>
      </c>
      <c r="K155" s="2" t="b">
        <v>0</v>
      </c>
      <c r="L155" s="2" t="b">
        <v>0</v>
      </c>
      <c r="M155" s="2">
        <v>0</v>
      </c>
      <c r="N155" s="6">
        <v>6</v>
      </c>
      <c r="O155">
        <f t="shared" si="10"/>
        <v>505</v>
      </c>
      <c r="P155">
        <f t="shared" si="11"/>
        <v>475</v>
      </c>
      <c r="Q155" s="11">
        <f t="shared" ca="1" si="13"/>
        <v>45550</v>
      </c>
      <c r="R155" s="11">
        <f t="shared" ca="1" si="13"/>
        <v>45580</v>
      </c>
    </row>
    <row r="156" spans="1:18" x14ac:dyDescent="0.25">
      <c r="A156" s="2">
        <v>2537</v>
      </c>
      <c r="B156" s="2">
        <v>1277</v>
      </c>
      <c r="C156" s="3">
        <v>40359</v>
      </c>
      <c r="D156" s="4" t="s">
        <v>10</v>
      </c>
      <c r="E156" s="2">
        <v>0</v>
      </c>
      <c r="F156" s="3">
        <f t="shared" si="12"/>
        <v>40389</v>
      </c>
      <c r="G156" s="2">
        <v>0</v>
      </c>
      <c r="H156" s="5">
        <v>0.1</v>
      </c>
      <c r="I156" s="2" t="b">
        <v>1</v>
      </c>
      <c r="J156" s="2">
        <v>1524</v>
      </c>
      <c r="K156" s="2" t="b">
        <v>1</v>
      </c>
      <c r="L156" s="2" t="b">
        <v>0</v>
      </c>
      <c r="M156" s="2">
        <v>0</v>
      </c>
      <c r="N156" s="6">
        <v>6</v>
      </c>
      <c r="O156">
        <f t="shared" si="10"/>
        <v>503</v>
      </c>
      <c r="P156">
        <f t="shared" si="11"/>
        <v>473</v>
      </c>
      <c r="Q156" s="11">
        <f t="shared" ca="1" si="13"/>
        <v>45552</v>
      </c>
      <c r="R156" s="11">
        <f t="shared" ca="1" si="13"/>
        <v>45582</v>
      </c>
    </row>
    <row r="157" spans="1:18" x14ac:dyDescent="0.25">
      <c r="A157" s="2">
        <v>2538</v>
      </c>
      <c r="B157" s="2">
        <v>2928</v>
      </c>
      <c r="C157" s="3">
        <v>40359</v>
      </c>
      <c r="D157" s="4" t="s">
        <v>10</v>
      </c>
      <c r="E157" s="2">
        <v>0</v>
      </c>
      <c r="F157" s="3">
        <f t="shared" si="12"/>
        <v>40389</v>
      </c>
      <c r="G157" s="2">
        <v>0</v>
      </c>
      <c r="H157" s="5">
        <v>0</v>
      </c>
      <c r="I157" s="2" t="b">
        <v>1</v>
      </c>
      <c r="J157" s="2">
        <v>1524</v>
      </c>
      <c r="K157" s="2" t="b">
        <v>1</v>
      </c>
      <c r="L157" s="2" t="b">
        <v>0</v>
      </c>
      <c r="M157" s="2">
        <v>0</v>
      </c>
      <c r="N157" s="6">
        <v>6</v>
      </c>
      <c r="O157">
        <f t="shared" si="10"/>
        <v>503</v>
      </c>
      <c r="P157">
        <f t="shared" si="11"/>
        <v>473</v>
      </c>
      <c r="Q157" s="11">
        <f t="shared" ca="1" si="13"/>
        <v>45552</v>
      </c>
      <c r="R157" s="11">
        <f t="shared" ca="1" si="13"/>
        <v>45582</v>
      </c>
    </row>
    <row r="158" spans="1:18" x14ac:dyDescent="0.25">
      <c r="A158" s="2">
        <v>2539</v>
      </c>
      <c r="B158" s="2">
        <v>2937</v>
      </c>
      <c r="C158" s="3">
        <v>40359</v>
      </c>
      <c r="D158" s="4" t="s">
        <v>10</v>
      </c>
      <c r="E158" s="2">
        <v>0</v>
      </c>
      <c r="F158" s="3">
        <f t="shared" si="12"/>
        <v>40389</v>
      </c>
      <c r="G158" s="2">
        <v>0</v>
      </c>
      <c r="H158" s="5">
        <v>0</v>
      </c>
      <c r="I158" s="2" t="b">
        <v>1</v>
      </c>
      <c r="J158" s="2">
        <v>1524</v>
      </c>
      <c r="K158" s="2" t="b">
        <v>1</v>
      </c>
      <c r="L158" s="2" t="b">
        <v>0</v>
      </c>
      <c r="M158" s="2">
        <v>0</v>
      </c>
      <c r="N158" s="6">
        <v>6</v>
      </c>
      <c r="O158">
        <f t="shared" si="10"/>
        <v>503</v>
      </c>
      <c r="P158">
        <f t="shared" si="11"/>
        <v>473</v>
      </c>
      <c r="Q158" s="11">
        <f t="shared" ca="1" si="13"/>
        <v>45552</v>
      </c>
      <c r="R158" s="11">
        <f t="shared" ca="1" si="13"/>
        <v>45582</v>
      </c>
    </row>
    <row r="159" spans="1:18" x14ac:dyDescent="0.25">
      <c r="A159" s="2">
        <v>2540</v>
      </c>
      <c r="B159" s="2">
        <v>3686</v>
      </c>
      <c r="C159" s="3">
        <v>40359</v>
      </c>
      <c r="D159" s="4" t="s">
        <v>10</v>
      </c>
      <c r="E159" s="2">
        <v>0</v>
      </c>
      <c r="F159" s="3">
        <f t="shared" si="12"/>
        <v>40389</v>
      </c>
      <c r="G159" s="2">
        <v>75</v>
      </c>
      <c r="H159" s="5">
        <v>0.2</v>
      </c>
      <c r="I159" s="2" t="b">
        <v>1</v>
      </c>
      <c r="J159" s="2">
        <v>1524</v>
      </c>
      <c r="K159" s="2" t="b">
        <v>1</v>
      </c>
      <c r="L159" s="2" t="b">
        <v>0</v>
      </c>
      <c r="M159" s="2">
        <v>0</v>
      </c>
      <c r="N159" s="6">
        <v>6</v>
      </c>
      <c r="O159">
        <f t="shared" si="10"/>
        <v>503</v>
      </c>
      <c r="P159">
        <f t="shared" si="11"/>
        <v>473</v>
      </c>
      <c r="Q159" s="11">
        <f t="shared" ca="1" si="13"/>
        <v>45552</v>
      </c>
      <c r="R159" s="11">
        <f t="shared" ca="1" si="13"/>
        <v>45582</v>
      </c>
    </row>
    <row r="160" spans="1:18" x14ac:dyDescent="0.25">
      <c r="A160" s="2">
        <v>2541</v>
      </c>
      <c r="B160" s="2">
        <v>1745</v>
      </c>
      <c r="C160" s="3">
        <v>40359</v>
      </c>
      <c r="D160" s="4" t="s">
        <v>10</v>
      </c>
      <c r="E160" s="2">
        <v>0</v>
      </c>
      <c r="F160" s="3">
        <f t="shared" si="12"/>
        <v>40389</v>
      </c>
      <c r="G160" s="2">
        <v>50</v>
      </c>
      <c r="H160" s="5">
        <v>0</v>
      </c>
      <c r="I160" s="2" t="b">
        <v>1</v>
      </c>
      <c r="J160" s="2">
        <v>1524</v>
      </c>
      <c r="K160" s="2" t="b">
        <v>1</v>
      </c>
      <c r="L160" s="2" t="b">
        <v>0</v>
      </c>
      <c r="M160" s="2">
        <v>0</v>
      </c>
      <c r="N160" s="6">
        <v>6</v>
      </c>
      <c r="O160">
        <f t="shared" si="10"/>
        <v>503</v>
      </c>
      <c r="P160">
        <f t="shared" si="11"/>
        <v>473</v>
      </c>
      <c r="Q160" s="11">
        <f t="shared" ca="1" si="13"/>
        <v>45552</v>
      </c>
      <c r="R160" s="11">
        <f t="shared" ca="1" si="13"/>
        <v>45582</v>
      </c>
    </row>
    <row r="161" spans="1:18" x14ac:dyDescent="0.25">
      <c r="A161" s="2">
        <v>2542</v>
      </c>
      <c r="B161" s="2">
        <v>3686</v>
      </c>
      <c r="C161" s="3">
        <v>40359</v>
      </c>
      <c r="D161" s="4" t="s">
        <v>10</v>
      </c>
      <c r="E161" s="2">
        <v>0</v>
      </c>
      <c r="F161" s="3">
        <f t="shared" si="12"/>
        <v>40389</v>
      </c>
      <c r="G161" s="2">
        <v>0</v>
      </c>
      <c r="H161" s="5">
        <v>0</v>
      </c>
      <c r="I161" s="2" t="b">
        <v>1</v>
      </c>
      <c r="J161" s="2">
        <v>1524</v>
      </c>
      <c r="K161" s="2" t="b">
        <v>1</v>
      </c>
      <c r="L161" s="2" t="b">
        <v>0</v>
      </c>
      <c r="M161" s="2">
        <v>0</v>
      </c>
      <c r="N161" s="6">
        <v>6</v>
      </c>
      <c r="O161">
        <f t="shared" si="10"/>
        <v>503</v>
      </c>
      <c r="P161">
        <f t="shared" si="11"/>
        <v>473</v>
      </c>
      <c r="Q161" s="11">
        <f t="shared" ca="1" si="13"/>
        <v>45552</v>
      </c>
      <c r="R161" s="11">
        <f t="shared" ca="1" si="13"/>
        <v>45582</v>
      </c>
    </row>
    <row r="162" spans="1:18" x14ac:dyDescent="0.25">
      <c r="A162" s="2">
        <v>2543</v>
      </c>
      <c r="B162" s="2">
        <v>3685</v>
      </c>
      <c r="C162" s="3">
        <v>40359</v>
      </c>
      <c r="D162" s="4" t="s">
        <v>10</v>
      </c>
      <c r="E162" s="2">
        <v>0</v>
      </c>
      <c r="F162" s="3">
        <f t="shared" si="12"/>
        <v>40389</v>
      </c>
      <c r="G162" s="2">
        <v>0</v>
      </c>
      <c r="H162" s="5">
        <v>0</v>
      </c>
      <c r="I162" s="2" t="b">
        <v>1</v>
      </c>
      <c r="J162" s="2">
        <v>1524</v>
      </c>
      <c r="K162" s="2" t="b">
        <v>1</v>
      </c>
      <c r="L162" s="2" t="b">
        <v>0</v>
      </c>
      <c r="M162" s="2">
        <v>0</v>
      </c>
      <c r="N162" s="6">
        <v>6</v>
      </c>
      <c r="O162">
        <f t="shared" si="10"/>
        <v>503</v>
      </c>
      <c r="P162">
        <f t="shared" si="11"/>
        <v>473</v>
      </c>
      <c r="Q162" s="11">
        <f t="shared" ca="1" si="13"/>
        <v>45552</v>
      </c>
      <c r="R162" s="11">
        <f t="shared" ca="1" si="13"/>
        <v>45582</v>
      </c>
    </row>
    <row r="163" spans="1:18" x14ac:dyDescent="0.25">
      <c r="A163" s="2">
        <v>2544</v>
      </c>
      <c r="B163" s="2">
        <v>3687</v>
      </c>
      <c r="C163" s="3">
        <v>40330</v>
      </c>
      <c r="D163" s="4" t="s">
        <v>10</v>
      </c>
      <c r="E163" s="2">
        <v>0</v>
      </c>
      <c r="F163" s="3">
        <f t="shared" si="12"/>
        <v>40360</v>
      </c>
      <c r="G163" s="2">
        <v>0</v>
      </c>
      <c r="H163" s="5">
        <v>0</v>
      </c>
      <c r="I163" s="2" t="b">
        <v>0</v>
      </c>
      <c r="J163" s="2">
        <v>1524</v>
      </c>
      <c r="K163" s="2" t="b">
        <v>0</v>
      </c>
      <c r="L163" s="2" t="b">
        <v>0</v>
      </c>
      <c r="M163" s="2">
        <v>0</v>
      </c>
      <c r="N163" s="6">
        <v>6</v>
      </c>
      <c r="O163">
        <f t="shared" si="10"/>
        <v>532</v>
      </c>
      <c r="P163">
        <f t="shared" si="11"/>
        <v>502</v>
      </c>
      <c r="Q163" s="11">
        <f t="shared" ca="1" si="13"/>
        <v>45523</v>
      </c>
      <c r="R163" s="11">
        <f t="shared" ca="1" si="13"/>
        <v>45553</v>
      </c>
    </row>
    <row r="164" spans="1:18" x14ac:dyDescent="0.25">
      <c r="A164" s="2">
        <v>2545</v>
      </c>
      <c r="B164">
        <v>3686</v>
      </c>
      <c r="C164" s="11">
        <v>40337</v>
      </c>
      <c r="D164" t="s">
        <v>10</v>
      </c>
      <c r="E164">
        <v>0</v>
      </c>
      <c r="F164" s="3">
        <f t="shared" si="12"/>
        <v>40367</v>
      </c>
      <c r="G164">
        <v>0</v>
      </c>
      <c r="H164">
        <v>0.3</v>
      </c>
      <c r="I164" t="b">
        <v>1</v>
      </c>
      <c r="J164">
        <v>1524</v>
      </c>
      <c r="K164" t="b">
        <v>0</v>
      </c>
      <c r="L164" t="b">
        <v>0</v>
      </c>
      <c r="M164">
        <v>0</v>
      </c>
      <c r="N164">
        <v>6</v>
      </c>
      <c r="O164">
        <f t="shared" si="10"/>
        <v>525</v>
      </c>
      <c r="P164">
        <f t="shared" si="11"/>
        <v>495</v>
      </c>
      <c r="Q164" s="11">
        <f t="shared" ca="1" si="13"/>
        <v>45530</v>
      </c>
      <c r="R164" s="11">
        <f t="shared" ca="1" si="13"/>
        <v>45560</v>
      </c>
    </row>
    <row r="165" spans="1:18" x14ac:dyDescent="0.25">
      <c r="A165" s="2">
        <v>2546</v>
      </c>
      <c r="B165">
        <v>3686</v>
      </c>
      <c r="C165" s="11">
        <v>40344</v>
      </c>
      <c r="D165" t="s">
        <v>10</v>
      </c>
      <c r="E165">
        <v>0</v>
      </c>
      <c r="F165" s="3">
        <f t="shared" si="12"/>
        <v>40374</v>
      </c>
      <c r="G165">
        <v>0</v>
      </c>
      <c r="H165">
        <v>0</v>
      </c>
      <c r="I165" t="b">
        <v>1</v>
      </c>
      <c r="J165">
        <v>1524</v>
      </c>
      <c r="K165" t="b">
        <v>0</v>
      </c>
      <c r="L165" t="b">
        <v>0</v>
      </c>
      <c r="M165">
        <v>0</v>
      </c>
      <c r="N165">
        <v>6</v>
      </c>
      <c r="O165">
        <f t="shared" si="10"/>
        <v>518</v>
      </c>
      <c r="P165">
        <f t="shared" si="11"/>
        <v>488</v>
      </c>
      <c r="Q165" s="11">
        <f t="shared" ca="1" si="13"/>
        <v>45537</v>
      </c>
      <c r="R165" s="11">
        <f t="shared" ca="1" si="13"/>
        <v>45567</v>
      </c>
    </row>
    <row r="166" spans="1:18" x14ac:dyDescent="0.25">
      <c r="A166" s="2">
        <v>2547</v>
      </c>
      <c r="B166">
        <v>3688</v>
      </c>
      <c r="C166" s="11">
        <v>40351</v>
      </c>
      <c r="D166" t="s">
        <v>10</v>
      </c>
      <c r="E166">
        <v>0</v>
      </c>
      <c r="F166" s="3">
        <f t="shared" si="12"/>
        <v>40381</v>
      </c>
      <c r="G166">
        <v>450</v>
      </c>
      <c r="H166">
        <v>0.3</v>
      </c>
      <c r="I166" t="b">
        <v>1</v>
      </c>
      <c r="J166">
        <v>1524</v>
      </c>
      <c r="K166" t="b">
        <v>0</v>
      </c>
      <c r="L166" t="b">
        <v>0</v>
      </c>
      <c r="M166">
        <v>0</v>
      </c>
      <c r="N166">
        <v>6</v>
      </c>
      <c r="O166">
        <f t="shared" si="10"/>
        <v>511</v>
      </c>
      <c r="P166">
        <f t="shared" si="11"/>
        <v>481</v>
      </c>
      <c r="Q166" s="11">
        <f t="shared" ca="1" si="13"/>
        <v>45544</v>
      </c>
      <c r="R166" s="11">
        <f t="shared" ca="1" si="13"/>
        <v>45574</v>
      </c>
    </row>
    <row r="167" spans="1:18" x14ac:dyDescent="0.25">
      <c r="A167" s="2">
        <v>2548</v>
      </c>
      <c r="B167">
        <v>2771</v>
      </c>
      <c r="C167" s="11">
        <v>40358</v>
      </c>
      <c r="D167" t="s">
        <v>10</v>
      </c>
      <c r="E167">
        <v>0</v>
      </c>
      <c r="F167" s="3">
        <f t="shared" si="12"/>
        <v>40388</v>
      </c>
      <c r="G167">
        <v>58.95</v>
      </c>
      <c r="H167">
        <v>0</v>
      </c>
      <c r="I167" t="b">
        <v>1</v>
      </c>
      <c r="J167">
        <v>1524</v>
      </c>
      <c r="K167" t="b">
        <v>0</v>
      </c>
      <c r="L167" t="b">
        <v>0</v>
      </c>
      <c r="M167">
        <v>0</v>
      </c>
      <c r="N167">
        <v>6</v>
      </c>
      <c r="O167">
        <f t="shared" si="10"/>
        <v>504</v>
      </c>
      <c r="P167">
        <f t="shared" si="11"/>
        <v>474</v>
      </c>
      <c r="Q167" s="11">
        <f t="shared" ca="1" si="13"/>
        <v>45551</v>
      </c>
      <c r="R167" s="11">
        <f t="shared" ca="1" si="13"/>
        <v>45581</v>
      </c>
    </row>
    <row r="168" spans="1:18" x14ac:dyDescent="0.25">
      <c r="A168" s="2">
        <v>2549</v>
      </c>
      <c r="B168">
        <v>798</v>
      </c>
      <c r="C168" s="11">
        <v>40365</v>
      </c>
      <c r="D168" t="s">
        <v>10</v>
      </c>
      <c r="E168">
        <v>3324.5</v>
      </c>
      <c r="F168" s="3">
        <f t="shared" si="12"/>
        <v>40395</v>
      </c>
      <c r="G168">
        <v>0</v>
      </c>
      <c r="H168">
        <v>0.3</v>
      </c>
      <c r="I168" t="b">
        <v>1</v>
      </c>
      <c r="J168">
        <v>1524</v>
      </c>
      <c r="K168" t="b">
        <v>0</v>
      </c>
      <c r="L168" t="b">
        <v>0</v>
      </c>
      <c r="M168">
        <v>0</v>
      </c>
      <c r="N168">
        <v>6</v>
      </c>
      <c r="O168">
        <f t="shared" si="10"/>
        <v>497</v>
      </c>
      <c r="P168">
        <f t="shared" si="11"/>
        <v>467</v>
      </c>
      <c r="Q168" s="11">
        <f t="shared" ca="1" si="13"/>
        <v>45558</v>
      </c>
      <c r="R168" s="11">
        <f t="shared" ca="1" si="13"/>
        <v>45588</v>
      </c>
    </row>
    <row r="169" spans="1:18" x14ac:dyDescent="0.25">
      <c r="A169" s="2">
        <v>2550</v>
      </c>
      <c r="B169">
        <v>798</v>
      </c>
      <c r="C169" s="11">
        <v>40372</v>
      </c>
      <c r="D169" t="s">
        <v>10</v>
      </c>
      <c r="E169">
        <v>0</v>
      </c>
      <c r="F169" s="3">
        <f t="shared" si="12"/>
        <v>40402</v>
      </c>
      <c r="G169">
        <v>0</v>
      </c>
      <c r="H169">
        <v>0</v>
      </c>
      <c r="I169" t="b">
        <v>1</v>
      </c>
      <c r="J169">
        <v>1524</v>
      </c>
      <c r="K169" t="b">
        <v>0</v>
      </c>
      <c r="L169" t="b">
        <v>0</v>
      </c>
      <c r="M169">
        <v>0</v>
      </c>
      <c r="N169">
        <v>6</v>
      </c>
      <c r="O169">
        <f t="shared" si="10"/>
        <v>490</v>
      </c>
      <c r="P169">
        <f t="shared" si="11"/>
        <v>460</v>
      </c>
      <c r="Q169" s="11">
        <f t="shared" ca="1" si="13"/>
        <v>45565</v>
      </c>
      <c r="R169" s="11">
        <f t="shared" ca="1" si="13"/>
        <v>45595</v>
      </c>
    </row>
    <row r="170" spans="1:18" x14ac:dyDescent="0.25">
      <c r="A170" s="2">
        <v>2551</v>
      </c>
      <c r="B170">
        <v>3683</v>
      </c>
      <c r="C170" s="11">
        <v>40379</v>
      </c>
      <c r="D170" t="s">
        <v>10</v>
      </c>
      <c r="E170">
        <v>0</v>
      </c>
      <c r="F170" s="3">
        <f t="shared" si="12"/>
        <v>40409</v>
      </c>
      <c r="G170">
        <v>0</v>
      </c>
      <c r="H170">
        <v>0.15</v>
      </c>
      <c r="I170" t="b">
        <v>1</v>
      </c>
      <c r="J170">
        <v>1524</v>
      </c>
      <c r="K170" t="b">
        <v>0</v>
      </c>
      <c r="L170" t="b">
        <v>0</v>
      </c>
      <c r="M170">
        <v>0</v>
      </c>
      <c r="N170">
        <v>6</v>
      </c>
      <c r="O170">
        <f t="shared" si="10"/>
        <v>483</v>
      </c>
      <c r="P170">
        <f t="shared" si="11"/>
        <v>453</v>
      </c>
      <c r="Q170" s="11">
        <f t="shared" ca="1" si="13"/>
        <v>45572</v>
      </c>
      <c r="R170" s="11">
        <f t="shared" ca="1" si="13"/>
        <v>45602</v>
      </c>
    </row>
    <row r="171" spans="1:18" x14ac:dyDescent="0.25">
      <c r="A171" s="2">
        <v>2552</v>
      </c>
      <c r="B171">
        <v>933</v>
      </c>
      <c r="C171" s="11">
        <v>40386</v>
      </c>
      <c r="D171" t="s">
        <v>10</v>
      </c>
      <c r="E171">
        <v>0</v>
      </c>
      <c r="F171" s="3">
        <f t="shared" si="12"/>
        <v>40416</v>
      </c>
      <c r="G171">
        <v>0</v>
      </c>
      <c r="H171">
        <v>0.3</v>
      </c>
      <c r="I171" t="b">
        <v>1</v>
      </c>
      <c r="J171">
        <v>1524</v>
      </c>
      <c r="K171" t="b">
        <v>0</v>
      </c>
      <c r="L171" t="b">
        <v>0</v>
      </c>
      <c r="M171">
        <v>0</v>
      </c>
      <c r="N171">
        <v>6</v>
      </c>
      <c r="O171">
        <f t="shared" si="10"/>
        <v>476</v>
      </c>
      <c r="P171">
        <f t="shared" si="11"/>
        <v>446</v>
      </c>
      <c r="Q171" s="11">
        <f t="shared" ca="1" si="13"/>
        <v>45579</v>
      </c>
      <c r="R171" s="11">
        <f t="shared" ca="1" si="13"/>
        <v>45609</v>
      </c>
    </row>
    <row r="172" spans="1:18" x14ac:dyDescent="0.25">
      <c r="A172" s="2">
        <v>2553</v>
      </c>
      <c r="B172">
        <v>2913</v>
      </c>
      <c r="C172" s="11">
        <v>40393</v>
      </c>
      <c r="D172" t="s">
        <v>10</v>
      </c>
      <c r="E172">
        <v>0</v>
      </c>
      <c r="F172" s="3">
        <f t="shared" si="12"/>
        <v>40423</v>
      </c>
      <c r="G172">
        <v>0</v>
      </c>
      <c r="H172">
        <v>0.15</v>
      </c>
      <c r="I172" t="b">
        <v>1</v>
      </c>
      <c r="J172">
        <v>1524</v>
      </c>
      <c r="K172" t="b">
        <v>0</v>
      </c>
      <c r="L172" t="b">
        <v>0</v>
      </c>
      <c r="M172">
        <v>0</v>
      </c>
      <c r="N172">
        <v>6</v>
      </c>
      <c r="O172">
        <f t="shared" si="10"/>
        <v>469</v>
      </c>
      <c r="P172">
        <f t="shared" si="11"/>
        <v>439</v>
      </c>
      <c r="Q172" s="11">
        <f t="shared" ca="1" si="13"/>
        <v>45586</v>
      </c>
      <c r="R172" s="11">
        <f t="shared" ca="1" si="13"/>
        <v>45616</v>
      </c>
    </row>
    <row r="173" spans="1:18" x14ac:dyDescent="0.25">
      <c r="A173" s="2">
        <v>2554</v>
      </c>
      <c r="B173">
        <v>2928</v>
      </c>
      <c r="C173" s="11">
        <v>40400</v>
      </c>
      <c r="D173" t="s">
        <v>10</v>
      </c>
      <c r="E173">
        <v>0</v>
      </c>
      <c r="F173" s="3">
        <f t="shared" si="12"/>
        <v>40430</v>
      </c>
      <c r="G173">
        <v>0</v>
      </c>
      <c r="H173">
        <v>0.15</v>
      </c>
      <c r="I173" t="b">
        <v>1</v>
      </c>
      <c r="J173">
        <v>1524</v>
      </c>
      <c r="K173" t="b">
        <v>0</v>
      </c>
      <c r="L173" t="b">
        <v>0</v>
      </c>
      <c r="M173">
        <v>0</v>
      </c>
      <c r="N173">
        <v>6</v>
      </c>
      <c r="O173">
        <f t="shared" si="10"/>
        <v>462</v>
      </c>
      <c r="P173">
        <f t="shared" si="11"/>
        <v>432</v>
      </c>
      <c r="Q173" s="11">
        <f t="shared" ca="1" si="13"/>
        <v>45593</v>
      </c>
      <c r="R173" s="11">
        <f t="shared" ca="1" si="13"/>
        <v>45623</v>
      </c>
    </row>
    <row r="174" spans="1:18" x14ac:dyDescent="0.25">
      <c r="A174" s="2">
        <v>2555</v>
      </c>
      <c r="B174">
        <v>2421</v>
      </c>
      <c r="C174" s="11">
        <v>40407</v>
      </c>
      <c r="D174" t="s">
        <v>10</v>
      </c>
      <c r="E174">
        <v>0</v>
      </c>
      <c r="F174" s="3">
        <f t="shared" si="12"/>
        <v>40437</v>
      </c>
      <c r="G174">
        <v>390</v>
      </c>
      <c r="H174">
        <v>0.3</v>
      </c>
      <c r="I174" t="b">
        <v>1</v>
      </c>
      <c r="J174">
        <v>1524</v>
      </c>
      <c r="K174" t="b">
        <v>0</v>
      </c>
      <c r="L174" t="b">
        <v>0</v>
      </c>
      <c r="M174">
        <v>0</v>
      </c>
      <c r="N174">
        <v>6</v>
      </c>
      <c r="O174">
        <f t="shared" si="10"/>
        <v>455</v>
      </c>
      <c r="P174">
        <f t="shared" si="11"/>
        <v>425</v>
      </c>
      <c r="Q174" s="11">
        <f t="shared" ca="1" si="13"/>
        <v>45600</v>
      </c>
      <c r="R174" s="11">
        <f t="shared" ca="1" si="13"/>
        <v>45630</v>
      </c>
    </row>
    <row r="175" spans="1:18" x14ac:dyDescent="0.25">
      <c r="A175" s="2">
        <v>2556</v>
      </c>
      <c r="B175">
        <v>1548</v>
      </c>
      <c r="C175" s="11">
        <v>40414</v>
      </c>
      <c r="D175" t="s">
        <v>10</v>
      </c>
      <c r="E175">
        <v>0</v>
      </c>
      <c r="F175" s="3">
        <f t="shared" si="12"/>
        <v>40444</v>
      </c>
      <c r="G175">
        <v>0</v>
      </c>
      <c r="H175">
        <v>0.05</v>
      </c>
      <c r="I175" t="b">
        <v>1</v>
      </c>
      <c r="J175">
        <v>1524</v>
      </c>
      <c r="K175" t="b">
        <v>0</v>
      </c>
      <c r="L175" t="b">
        <v>0</v>
      </c>
      <c r="M175">
        <v>0</v>
      </c>
      <c r="N175">
        <v>6</v>
      </c>
      <c r="O175">
        <f t="shared" si="10"/>
        <v>448</v>
      </c>
      <c r="P175">
        <f t="shared" si="11"/>
        <v>418</v>
      </c>
      <c r="Q175" s="11">
        <f t="shared" ca="1" si="13"/>
        <v>45607</v>
      </c>
      <c r="R175" s="11">
        <f t="shared" ca="1" si="13"/>
        <v>45637</v>
      </c>
    </row>
    <row r="176" spans="1:18" x14ac:dyDescent="0.25">
      <c r="A176" s="2">
        <v>2557</v>
      </c>
      <c r="B176">
        <v>3686</v>
      </c>
      <c r="C176" s="11">
        <v>40421</v>
      </c>
      <c r="D176" t="s">
        <v>10</v>
      </c>
      <c r="E176">
        <v>0</v>
      </c>
      <c r="F176" s="3">
        <f t="shared" si="12"/>
        <v>40451</v>
      </c>
      <c r="G176">
        <v>29</v>
      </c>
      <c r="H176">
        <v>0</v>
      </c>
      <c r="I176" t="b">
        <v>1</v>
      </c>
      <c r="J176">
        <v>640</v>
      </c>
      <c r="K176" t="b">
        <v>1</v>
      </c>
      <c r="L176" t="b">
        <v>0</v>
      </c>
      <c r="M176">
        <v>0</v>
      </c>
      <c r="N176">
        <v>6</v>
      </c>
      <c r="O176">
        <f t="shared" si="10"/>
        <v>441</v>
      </c>
      <c r="P176">
        <f t="shared" si="11"/>
        <v>411</v>
      </c>
      <c r="Q176" s="11">
        <f t="shared" ca="1" si="13"/>
        <v>45614</v>
      </c>
      <c r="R176" s="11">
        <f t="shared" ca="1" si="13"/>
        <v>45644</v>
      </c>
    </row>
    <row r="177" spans="1:18" x14ac:dyDescent="0.25">
      <c r="A177" s="2">
        <v>2558</v>
      </c>
      <c r="B177">
        <v>1745</v>
      </c>
      <c r="C177" s="11">
        <v>40428</v>
      </c>
      <c r="D177" t="s">
        <v>10</v>
      </c>
      <c r="E177">
        <v>0</v>
      </c>
      <c r="F177" s="3">
        <f t="shared" si="12"/>
        <v>40458</v>
      </c>
      <c r="G177">
        <v>0</v>
      </c>
      <c r="H177">
        <v>0.3</v>
      </c>
      <c r="I177" t="b">
        <v>1</v>
      </c>
      <c r="J177">
        <v>1524</v>
      </c>
      <c r="K177" t="b">
        <v>0</v>
      </c>
      <c r="L177" t="b">
        <v>0</v>
      </c>
      <c r="M177">
        <v>0</v>
      </c>
      <c r="N177">
        <v>6</v>
      </c>
      <c r="O177">
        <f t="shared" si="10"/>
        <v>434</v>
      </c>
      <c r="P177">
        <f t="shared" si="11"/>
        <v>404</v>
      </c>
      <c r="Q177" s="11">
        <f t="shared" ca="1" si="13"/>
        <v>45621</v>
      </c>
      <c r="R177" s="11">
        <f t="shared" ca="1" si="13"/>
        <v>45651</v>
      </c>
    </row>
    <row r="178" spans="1:18" x14ac:dyDescent="0.25">
      <c r="A178" s="2">
        <v>2559</v>
      </c>
      <c r="B178">
        <v>7</v>
      </c>
      <c r="C178" s="11">
        <v>40435</v>
      </c>
      <c r="D178" t="s">
        <v>10</v>
      </c>
      <c r="E178">
        <v>0</v>
      </c>
      <c r="F178" s="3">
        <f t="shared" si="12"/>
        <v>40465</v>
      </c>
      <c r="G178">
        <v>0</v>
      </c>
      <c r="H178">
        <v>0</v>
      </c>
      <c r="I178" t="b">
        <v>1</v>
      </c>
      <c r="J178">
        <v>1524</v>
      </c>
      <c r="K178" t="b">
        <v>0</v>
      </c>
      <c r="L178" t="b">
        <v>0</v>
      </c>
      <c r="M178">
        <v>0</v>
      </c>
      <c r="N178">
        <v>6</v>
      </c>
      <c r="O178">
        <f t="shared" si="10"/>
        <v>427</v>
      </c>
      <c r="P178">
        <f t="shared" si="11"/>
        <v>397</v>
      </c>
      <c r="Q178" s="11">
        <f t="shared" ca="1" si="13"/>
        <v>45628</v>
      </c>
      <c r="R178" s="11">
        <f t="shared" ca="1" si="13"/>
        <v>45658</v>
      </c>
    </row>
    <row r="179" spans="1:18" x14ac:dyDescent="0.25">
      <c r="A179" s="2">
        <v>2560</v>
      </c>
      <c r="B179">
        <v>2818</v>
      </c>
      <c r="C179" s="11">
        <v>40442</v>
      </c>
      <c r="D179" t="s">
        <v>10</v>
      </c>
      <c r="E179">
        <v>0</v>
      </c>
      <c r="F179" s="3">
        <f t="shared" si="12"/>
        <v>40472</v>
      </c>
      <c r="G179">
        <v>13.5</v>
      </c>
      <c r="H179">
        <v>0</v>
      </c>
      <c r="I179" t="b">
        <v>1</v>
      </c>
      <c r="J179">
        <v>640</v>
      </c>
      <c r="K179" t="b">
        <v>1</v>
      </c>
      <c r="L179" t="b">
        <v>0</v>
      </c>
      <c r="M179">
        <v>0</v>
      </c>
      <c r="N179">
        <v>6</v>
      </c>
      <c r="O179">
        <f t="shared" si="10"/>
        <v>420</v>
      </c>
      <c r="P179">
        <f t="shared" si="11"/>
        <v>390</v>
      </c>
      <c r="Q179" s="11">
        <f t="shared" ca="1" si="13"/>
        <v>45635</v>
      </c>
      <c r="R179" s="11">
        <f t="shared" ca="1" si="13"/>
        <v>45665</v>
      </c>
    </row>
    <row r="180" spans="1:18" x14ac:dyDescent="0.25">
      <c r="A180" s="2">
        <v>2561</v>
      </c>
      <c r="B180">
        <v>963</v>
      </c>
      <c r="C180" s="11">
        <v>40449</v>
      </c>
      <c r="D180" t="s">
        <v>10</v>
      </c>
      <c r="E180">
        <v>0</v>
      </c>
      <c r="F180" s="3">
        <f t="shared" si="12"/>
        <v>40479</v>
      </c>
      <c r="G180">
        <v>0</v>
      </c>
      <c r="H180">
        <v>0</v>
      </c>
      <c r="I180" t="b">
        <v>1</v>
      </c>
      <c r="J180">
        <v>1524</v>
      </c>
      <c r="K180" t="b">
        <v>0</v>
      </c>
      <c r="L180" t="b">
        <v>0</v>
      </c>
      <c r="M180">
        <v>0</v>
      </c>
      <c r="N180">
        <v>6</v>
      </c>
      <c r="O180">
        <f t="shared" si="10"/>
        <v>413</v>
      </c>
      <c r="P180">
        <f t="shared" si="11"/>
        <v>383</v>
      </c>
      <c r="Q180" s="11">
        <f t="shared" ca="1" si="13"/>
        <v>45642</v>
      </c>
      <c r="R180" s="11">
        <f t="shared" ca="1" si="13"/>
        <v>45672</v>
      </c>
    </row>
    <row r="181" spans="1:18" x14ac:dyDescent="0.25">
      <c r="A181" s="2">
        <v>2562</v>
      </c>
      <c r="B181">
        <v>2765</v>
      </c>
      <c r="C181" s="11">
        <v>40456</v>
      </c>
      <c r="D181" t="s">
        <v>10</v>
      </c>
      <c r="E181">
        <v>0</v>
      </c>
      <c r="F181" s="3">
        <f t="shared" si="12"/>
        <v>40486</v>
      </c>
      <c r="G181">
        <v>29</v>
      </c>
      <c r="H181">
        <v>0</v>
      </c>
      <c r="I181" t="b">
        <v>1</v>
      </c>
      <c r="J181">
        <v>640</v>
      </c>
      <c r="K181" t="b">
        <v>1</v>
      </c>
      <c r="L181" t="b">
        <v>0</v>
      </c>
      <c r="M181">
        <v>0</v>
      </c>
      <c r="N181">
        <v>6</v>
      </c>
      <c r="O181">
        <f t="shared" si="10"/>
        <v>406</v>
      </c>
      <c r="P181">
        <f t="shared" si="11"/>
        <v>376</v>
      </c>
      <c r="Q181" s="11">
        <f t="shared" ca="1" si="13"/>
        <v>45649</v>
      </c>
      <c r="R181" s="11">
        <f t="shared" ca="1" si="13"/>
        <v>45679</v>
      </c>
    </row>
    <row r="182" spans="1:18" x14ac:dyDescent="0.25">
      <c r="A182" s="2">
        <v>2563</v>
      </c>
      <c r="B182">
        <v>12</v>
      </c>
      <c r="C182" s="11">
        <v>40463</v>
      </c>
      <c r="D182" t="s">
        <v>10</v>
      </c>
      <c r="E182">
        <v>0</v>
      </c>
      <c r="F182" s="3">
        <f t="shared" si="12"/>
        <v>40493</v>
      </c>
      <c r="G182">
        <v>0</v>
      </c>
      <c r="H182">
        <v>0.3</v>
      </c>
      <c r="I182" t="b">
        <v>1</v>
      </c>
      <c r="J182">
        <v>1524</v>
      </c>
      <c r="K182" t="b">
        <v>0</v>
      </c>
      <c r="L182" t="b">
        <v>0</v>
      </c>
      <c r="M182">
        <v>0</v>
      </c>
      <c r="N182">
        <v>6</v>
      </c>
      <c r="O182">
        <f t="shared" si="10"/>
        <v>399</v>
      </c>
      <c r="P182">
        <f t="shared" si="11"/>
        <v>369</v>
      </c>
      <c r="Q182" s="11">
        <f t="shared" ca="1" si="13"/>
        <v>45656</v>
      </c>
      <c r="R182" s="11">
        <f t="shared" ca="1" si="13"/>
        <v>45686</v>
      </c>
    </row>
    <row r="183" spans="1:18" x14ac:dyDescent="0.25">
      <c r="A183" s="2">
        <v>2564</v>
      </c>
      <c r="B183">
        <v>2937</v>
      </c>
      <c r="C183" s="11">
        <v>40470</v>
      </c>
      <c r="D183" t="s">
        <v>10</v>
      </c>
      <c r="E183">
        <v>0</v>
      </c>
      <c r="F183" s="3">
        <f t="shared" si="12"/>
        <v>40500</v>
      </c>
      <c r="G183">
        <v>0</v>
      </c>
      <c r="H183">
        <v>0.4</v>
      </c>
      <c r="I183" t="b">
        <v>1</v>
      </c>
      <c r="J183">
        <v>1524</v>
      </c>
      <c r="K183" t="b">
        <v>0</v>
      </c>
      <c r="L183" t="b">
        <v>0</v>
      </c>
      <c r="M183">
        <v>0</v>
      </c>
      <c r="N183">
        <v>6</v>
      </c>
      <c r="O183">
        <f t="shared" si="10"/>
        <v>392</v>
      </c>
      <c r="P183">
        <f t="shared" si="11"/>
        <v>362</v>
      </c>
      <c r="Q183" s="11">
        <f t="shared" ca="1" si="13"/>
        <v>45663</v>
      </c>
      <c r="R183" s="11">
        <f t="shared" ca="1" si="13"/>
        <v>45693</v>
      </c>
    </row>
    <row r="184" spans="1:18" x14ac:dyDescent="0.25">
      <c r="A184" s="2">
        <v>2565</v>
      </c>
      <c r="B184">
        <v>2937</v>
      </c>
      <c r="C184" s="11">
        <v>40477</v>
      </c>
      <c r="D184" t="s">
        <v>10</v>
      </c>
      <c r="E184">
        <v>0</v>
      </c>
      <c r="F184" s="3">
        <f t="shared" si="12"/>
        <v>40507</v>
      </c>
      <c r="G184">
        <v>0</v>
      </c>
      <c r="H184">
        <v>0.05</v>
      </c>
      <c r="I184" t="b">
        <v>1</v>
      </c>
      <c r="J184">
        <v>1524</v>
      </c>
      <c r="K184" t="b">
        <v>0</v>
      </c>
      <c r="L184" t="b">
        <v>0</v>
      </c>
      <c r="M184">
        <v>0</v>
      </c>
      <c r="N184">
        <v>6</v>
      </c>
      <c r="O184">
        <f t="shared" si="10"/>
        <v>385</v>
      </c>
      <c r="P184">
        <f t="shared" si="11"/>
        <v>355</v>
      </c>
      <c r="Q184" s="11">
        <f t="shared" ca="1" si="13"/>
        <v>45670</v>
      </c>
      <c r="R184" s="11">
        <f t="shared" ca="1" si="13"/>
        <v>45700</v>
      </c>
    </row>
    <row r="185" spans="1:18" x14ac:dyDescent="0.25">
      <c r="A185" s="2">
        <v>2566</v>
      </c>
      <c r="B185">
        <v>2937</v>
      </c>
      <c r="C185" s="11">
        <v>40484</v>
      </c>
      <c r="D185" t="s">
        <v>10</v>
      </c>
      <c r="E185">
        <v>0</v>
      </c>
      <c r="F185" s="3">
        <f t="shared" si="12"/>
        <v>40514</v>
      </c>
      <c r="G185">
        <v>0</v>
      </c>
      <c r="H185">
        <v>0</v>
      </c>
      <c r="I185" t="b">
        <v>1</v>
      </c>
      <c r="J185">
        <v>1524</v>
      </c>
      <c r="K185" t="b">
        <v>0</v>
      </c>
      <c r="L185" t="b">
        <v>0</v>
      </c>
      <c r="M185">
        <v>0</v>
      </c>
      <c r="N185">
        <v>6</v>
      </c>
      <c r="O185">
        <f t="shared" si="10"/>
        <v>378</v>
      </c>
      <c r="P185">
        <f t="shared" si="11"/>
        <v>348</v>
      </c>
      <c r="Q185" s="11">
        <f t="shared" ca="1" si="13"/>
        <v>45677</v>
      </c>
      <c r="R185" s="11">
        <f t="shared" ca="1" si="13"/>
        <v>45707</v>
      </c>
    </row>
    <row r="186" spans="1:18" x14ac:dyDescent="0.25">
      <c r="A186" s="2">
        <v>2567</v>
      </c>
      <c r="B186">
        <v>22</v>
      </c>
      <c r="C186" s="11">
        <v>40491</v>
      </c>
      <c r="D186" t="s">
        <v>10</v>
      </c>
      <c r="E186">
        <v>0</v>
      </c>
      <c r="F186" s="3">
        <f t="shared" si="12"/>
        <v>40521</v>
      </c>
      <c r="G186">
        <v>0</v>
      </c>
      <c r="H186">
        <v>0</v>
      </c>
      <c r="I186" t="b">
        <v>1</v>
      </c>
      <c r="J186">
        <v>1524</v>
      </c>
      <c r="K186" t="b">
        <v>0</v>
      </c>
      <c r="L186" t="b">
        <v>0</v>
      </c>
      <c r="M186">
        <v>0</v>
      </c>
      <c r="N186">
        <v>6</v>
      </c>
      <c r="O186">
        <f t="shared" si="10"/>
        <v>371</v>
      </c>
      <c r="P186">
        <f t="shared" si="11"/>
        <v>341</v>
      </c>
      <c r="Q186" s="11">
        <f t="shared" ca="1" si="13"/>
        <v>45684</v>
      </c>
      <c r="R186" s="11">
        <f t="shared" ca="1" si="13"/>
        <v>45714</v>
      </c>
    </row>
    <row r="187" spans="1:18" x14ac:dyDescent="0.25">
      <c r="A187" s="2">
        <v>2568</v>
      </c>
      <c r="B187">
        <v>3005</v>
      </c>
      <c r="C187" s="11">
        <v>40498</v>
      </c>
      <c r="D187" t="s">
        <v>10</v>
      </c>
      <c r="E187">
        <v>100</v>
      </c>
      <c r="F187" s="3">
        <f t="shared" si="12"/>
        <v>40528</v>
      </c>
      <c r="G187">
        <v>105</v>
      </c>
      <c r="H187">
        <v>0</v>
      </c>
      <c r="I187" t="b">
        <v>1</v>
      </c>
      <c r="J187">
        <v>1524</v>
      </c>
      <c r="K187" t="b">
        <v>0</v>
      </c>
      <c r="L187" t="b">
        <v>0</v>
      </c>
      <c r="M187">
        <v>0</v>
      </c>
      <c r="N187">
        <v>6</v>
      </c>
      <c r="O187">
        <f t="shared" si="10"/>
        <v>364</v>
      </c>
      <c r="P187">
        <f t="shared" si="11"/>
        <v>334</v>
      </c>
      <c r="Q187" s="11">
        <f t="shared" ca="1" si="13"/>
        <v>45691</v>
      </c>
      <c r="R187" s="11">
        <f t="shared" ca="1" si="13"/>
        <v>45721</v>
      </c>
    </row>
    <row r="188" spans="1:18" x14ac:dyDescent="0.25">
      <c r="A188" s="2">
        <v>2569</v>
      </c>
      <c r="B188">
        <v>963</v>
      </c>
      <c r="C188" s="11">
        <v>40505</v>
      </c>
      <c r="D188" t="s">
        <v>10</v>
      </c>
      <c r="E188">
        <v>0</v>
      </c>
      <c r="F188" s="3">
        <f t="shared" si="12"/>
        <v>40535</v>
      </c>
      <c r="G188">
        <v>0</v>
      </c>
      <c r="H188">
        <v>0</v>
      </c>
      <c r="I188" t="b">
        <v>1</v>
      </c>
      <c r="J188">
        <v>1524</v>
      </c>
      <c r="K188" t="b">
        <v>0</v>
      </c>
      <c r="L188" t="b">
        <v>1</v>
      </c>
      <c r="M188">
        <v>0</v>
      </c>
      <c r="N188">
        <v>6</v>
      </c>
      <c r="O188">
        <f t="shared" si="10"/>
        <v>357</v>
      </c>
      <c r="P188">
        <f t="shared" si="11"/>
        <v>327</v>
      </c>
      <c r="Q188" s="11">
        <f t="shared" ca="1" si="13"/>
        <v>45698</v>
      </c>
      <c r="R188" s="11">
        <f t="shared" ca="1" si="13"/>
        <v>45728</v>
      </c>
    </row>
    <row r="189" spans="1:18" x14ac:dyDescent="0.25">
      <c r="A189" s="2">
        <v>2570</v>
      </c>
      <c r="B189">
        <v>2407</v>
      </c>
      <c r="C189" s="11">
        <v>40512</v>
      </c>
      <c r="D189" t="s">
        <v>10</v>
      </c>
      <c r="E189">
        <v>0</v>
      </c>
      <c r="F189" s="3">
        <f t="shared" si="12"/>
        <v>40542</v>
      </c>
      <c r="G189">
        <v>14</v>
      </c>
      <c r="H189">
        <v>0</v>
      </c>
      <c r="I189" t="b">
        <v>1</v>
      </c>
      <c r="J189">
        <v>640</v>
      </c>
      <c r="K189" t="b">
        <v>1</v>
      </c>
      <c r="L189" t="b">
        <v>0</v>
      </c>
      <c r="M189">
        <v>0</v>
      </c>
      <c r="N189">
        <v>6</v>
      </c>
      <c r="O189">
        <f t="shared" si="10"/>
        <v>350</v>
      </c>
      <c r="P189">
        <f t="shared" si="11"/>
        <v>320</v>
      </c>
      <c r="Q189" s="11">
        <f t="shared" ca="1" si="13"/>
        <v>45705</v>
      </c>
      <c r="R189" s="11">
        <f t="shared" ca="1" si="13"/>
        <v>45735</v>
      </c>
    </row>
    <row r="190" spans="1:18" x14ac:dyDescent="0.25">
      <c r="A190" s="2">
        <v>2571</v>
      </c>
      <c r="B190">
        <v>1478</v>
      </c>
      <c r="C190" s="11">
        <v>40519</v>
      </c>
      <c r="D190" t="s">
        <v>10</v>
      </c>
      <c r="E190">
        <v>0</v>
      </c>
      <c r="F190" s="3">
        <f t="shared" si="12"/>
        <v>40549</v>
      </c>
      <c r="G190">
        <v>19</v>
      </c>
      <c r="H190">
        <v>0</v>
      </c>
      <c r="I190" t="b">
        <v>1</v>
      </c>
      <c r="J190">
        <v>640</v>
      </c>
      <c r="K190" t="b">
        <v>1</v>
      </c>
      <c r="L190" t="b">
        <v>0</v>
      </c>
      <c r="M190">
        <v>0</v>
      </c>
      <c r="N190">
        <v>6</v>
      </c>
      <c r="O190">
        <f t="shared" si="10"/>
        <v>343</v>
      </c>
      <c r="P190">
        <f t="shared" si="11"/>
        <v>313</v>
      </c>
      <c r="Q190" s="11">
        <f t="shared" ca="1" si="13"/>
        <v>45712</v>
      </c>
      <c r="R190" s="11">
        <f t="shared" ca="1" si="13"/>
        <v>45742</v>
      </c>
    </row>
    <row r="191" spans="1:18" x14ac:dyDescent="0.25">
      <c r="A191" s="2">
        <v>2572</v>
      </c>
      <c r="B191">
        <v>2857</v>
      </c>
      <c r="C191" s="11">
        <v>40526</v>
      </c>
      <c r="D191" t="s">
        <v>10</v>
      </c>
      <c r="E191">
        <v>0</v>
      </c>
      <c r="F191" s="3">
        <f t="shared" si="12"/>
        <v>40556</v>
      </c>
      <c r="G191">
        <v>14</v>
      </c>
      <c r="H191">
        <v>0</v>
      </c>
      <c r="I191" t="b">
        <v>1</v>
      </c>
      <c r="J191">
        <v>640</v>
      </c>
      <c r="K191" t="b">
        <v>1</v>
      </c>
      <c r="L191" t="b">
        <v>0</v>
      </c>
      <c r="M191">
        <v>0</v>
      </c>
      <c r="N191">
        <v>6</v>
      </c>
      <c r="O191">
        <f t="shared" si="10"/>
        <v>336</v>
      </c>
      <c r="P191">
        <f t="shared" si="11"/>
        <v>306</v>
      </c>
      <c r="Q191" s="11">
        <f t="shared" ca="1" si="13"/>
        <v>45719</v>
      </c>
      <c r="R191" s="11">
        <f t="shared" ca="1" si="13"/>
        <v>45749</v>
      </c>
    </row>
    <row r="192" spans="1:18" x14ac:dyDescent="0.25">
      <c r="A192" s="2">
        <v>2573</v>
      </c>
      <c r="B192">
        <v>3095</v>
      </c>
      <c r="C192" s="11">
        <v>40533</v>
      </c>
      <c r="D192" t="s">
        <v>10</v>
      </c>
      <c r="E192">
        <v>0</v>
      </c>
      <c r="F192" s="3">
        <f t="shared" si="12"/>
        <v>40563</v>
      </c>
      <c r="G192">
        <v>46</v>
      </c>
      <c r="H192">
        <v>0</v>
      </c>
      <c r="I192" t="b">
        <v>1</v>
      </c>
      <c r="J192">
        <v>640</v>
      </c>
      <c r="K192" t="b">
        <v>1</v>
      </c>
      <c r="L192" t="b">
        <v>0</v>
      </c>
      <c r="M192">
        <v>0</v>
      </c>
      <c r="N192">
        <v>6</v>
      </c>
      <c r="O192">
        <f t="shared" si="10"/>
        <v>329</v>
      </c>
      <c r="P192">
        <f t="shared" si="11"/>
        <v>299</v>
      </c>
      <c r="Q192" s="11">
        <f t="shared" ca="1" si="13"/>
        <v>45726</v>
      </c>
      <c r="R192" s="11">
        <f t="shared" ca="1" si="13"/>
        <v>45756</v>
      </c>
    </row>
    <row r="193" spans="1:18" x14ac:dyDescent="0.25">
      <c r="A193" s="2">
        <v>2574</v>
      </c>
      <c r="B193">
        <v>3686</v>
      </c>
      <c r="C193" s="11">
        <v>40540</v>
      </c>
      <c r="D193" t="s">
        <v>10</v>
      </c>
      <c r="E193">
        <v>0</v>
      </c>
      <c r="F193" s="3">
        <f t="shared" si="12"/>
        <v>40570</v>
      </c>
      <c r="G193">
        <v>0</v>
      </c>
      <c r="H193">
        <v>0.5</v>
      </c>
      <c r="I193" t="b">
        <v>1</v>
      </c>
      <c r="J193">
        <v>1524</v>
      </c>
      <c r="K193" t="b">
        <v>0</v>
      </c>
      <c r="L193" t="b">
        <v>0</v>
      </c>
      <c r="M193">
        <v>0</v>
      </c>
      <c r="N193">
        <v>6</v>
      </c>
      <c r="O193">
        <f t="shared" si="10"/>
        <v>322</v>
      </c>
      <c r="P193">
        <f t="shared" si="11"/>
        <v>292</v>
      </c>
      <c r="Q193" s="11">
        <f t="shared" ca="1" si="13"/>
        <v>45733</v>
      </c>
      <c r="R193" s="11">
        <f t="shared" ca="1" si="13"/>
        <v>45763</v>
      </c>
    </row>
    <row r="194" spans="1:18" x14ac:dyDescent="0.25">
      <c r="A194" s="2">
        <v>2575</v>
      </c>
      <c r="B194">
        <v>3686</v>
      </c>
      <c r="C194" s="11">
        <v>40547</v>
      </c>
      <c r="D194" t="s">
        <v>10</v>
      </c>
      <c r="E194">
        <v>0</v>
      </c>
      <c r="F194" s="3">
        <f t="shared" si="12"/>
        <v>40577</v>
      </c>
      <c r="G194">
        <v>0</v>
      </c>
      <c r="H194">
        <v>0</v>
      </c>
      <c r="I194" t="b">
        <v>1</v>
      </c>
      <c r="J194">
        <v>1524</v>
      </c>
      <c r="K194" t="b">
        <v>0</v>
      </c>
      <c r="L194" t="b">
        <v>0</v>
      </c>
      <c r="M194">
        <v>0</v>
      </c>
      <c r="N194">
        <v>6</v>
      </c>
      <c r="O194">
        <f t="shared" ref="O194:O257" si="14">DATEDIF(C194,DateFin,"d")</f>
        <v>315</v>
      </c>
      <c r="P194">
        <f t="shared" ref="P194:P257" si="15">DATEDIF(F194,DateFin,"d")</f>
        <v>285</v>
      </c>
      <c r="Q194" s="11">
        <f t="shared" ca="1" si="13"/>
        <v>45740</v>
      </c>
      <c r="R194" s="11">
        <f t="shared" ca="1" si="13"/>
        <v>45770</v>
      </c>
    </row>
    <row r="195" spans="1:18" x14ac:dyDescent="0.25">
      <c r="A195" s="2">
        <v>2576</v>
      </c>
      <c r="B195">
        <v>720</v>
      </c>
      <c r="C195" s="11">
        <v>40554</v>
      </c>
      <c r="D195" t="s">
        <v>10</v>
      </c>
      <c r="E195">
        <v>174.02</v>
      </c>
      <c r="F195" s="3">
        <f t="shared" si="12"/>
        <v>40584</v>
      </c>
      <c r="G195">
        <v>14</v>
      </c>
      <c r="H195">
        <v>0</v>
      </c>
      <c r="I195" t="b">
        <v>1</v>
      </c>
      <c r="J195">
        <v>640</v>
      </c>
      <c r="K195" t="b">
        <v>1</v>
      </c>
      <c r="L195" t="b">
        <v>0</v>
      </c>
      <c r="M195">
        <v>0</v>
      </c>
      <c r="N195">
        <v>6</v>
      </c>
      <c r="O195">
        <f t="shared" si="14"/>
        <v>308</v>
      </c>
      <c r="P195">
        <f t="shared" si="15"/>
        <v>278</v>
      </c>
      <c r="Q195" s="11">
        <f t="shared" ca="1" si="13"/>
        <v>45747</v>
      </c>
      <c r="R195" s="11">
        <f t="shared" ca="1" si="13"/>
        <v>45777</v>
      </c>
    </row>
    <row r="196" spans="1:18" x14ac:dyDescent="0.25">
      <c r="A196" s="2">
        <v>2577</v>
      </c>
      <c r="B196">
        <v>2503</v>
      </c>
      <c r="C196" s="11">
        <v>40561</v>
      </c>
      <c r="D196" t="s">
        <v>10</v>
      </c>
      <c r="E196">
        <v>0</v>
      </c>
      <c r="F196" s="3">
        <f t="shared" si="12"/>
        <v>40591</v>
      </c>
      <c r="G196">
        <v>14</v>
      </c>
      <c r="H196">
        <v>0</v>
      </c>
      <c r="I196" t="b">
        <v>1</v>
      </c>
      <c r="J196">
        <v>640</v>
      </c>
      <c r="K196" t="b">
        <v>1</v>
      </c>
      <c r="L196" t="b">
        <v>0</v>
      </c>
      <c r="M196">
        <v>0</v>
      </c>
      <c r="N196">
        <v>6</v>
      </c>
      <c r="O196">
        <f t="shared" si="14"/>
        <v>301</v>
      </c>
      <c r="P196">
        <f t="shared" si="15"/>
        <v>271</v>
      </c>
      <c r="Q196" s="11">
        <f t="shared" ca="1" si="13"/>
        <v>45754</v>
      </c>
      <c r="R196" s="11">
        <f t="shared" ca="1" si="13"/>
        <v>45784</v>
      </c>
    </row>
    <row r="197" spans="1:18" x14ac:dyDescent="0.25">
      <c r="A197" s="2">
        <v>2578</v>
      </c>
      <c r="B197">
        <v>2818</v>
      </c>
      <c r="C197" s="11">
        <v>40568</v>
      </c>
      <c r="D197" t="s">
        <v>10</v>
      </c>
      <c r="E197">
        <v>0</v>
      </c>
      <c r="F197" s="3">
        <f t="shared" si="12"/>
        <v>40598</v>
      </c>
      <c r="G197">
        <v>0</v>
      </c>
      <c r="H197">
        <v>0</v>
      </c>
      <c r="I197" t="b">
        <v>1</v>
      </c>
      <c r="J197">
        <v>640</v>
      </c>
      <c r="K197" t="b">
        <v>1</v>
      </c>
      <c r="L197" t="b">
        <v>0</v>
      </c>
      <c r="M197">
        <v>0</v>
      </c>
      <c r="N197">
        <v>6</v>
      </c>
      <c r="O197">
        <f t="shared" si="14"/>
        <v>294</v>
      </c>
      <c r="P197">
        <f t="shared" si="15"/>
        <v>264</v>
      </c>
      <c r="Q197" s="11">
        <f t="shared" ca="1" si="13"/>
        <v>45761</v>
      </c>
      <c r="R197" s="11">
        <f t="shared" ca="1" si="13"/>
        <v>45791</v>
      </c>
    </row>
    <row r="198" spans="1:18" x14ac:dyDescent="0.25">
      <c r="A198" s="2">
        <v>2579</v>
      </c>
      <c r="B198">
        <v>2965</v>
      </c>
      <c r="C198" s="11">
        <v>40575</v>
      </c>
      <c r="D198" t="s">
        <v>10</v>
      </c>
      <c r="E198">
        <v>0</v>
      </c>
      <c r="F198" s="3">
        <f t="shared" si="12"/>
        <v>40605</v>
      </c>
      <c r="G198">
        <v>49</v>
      </c>
      <c r="H198">
        <v>0</v>
      </c>
      <c r="I198" t="b">
        <v>1</v>
      </c>
      <c r="J198">
        <v>1524</v>
      </c>
      <c r="K198" t="b">
        <v>0</v>
      </c>
      <c r="L198" t="b">
        <v>0</v>
      </c>
      <c r="M198">
        <v>0</v>
      </c>
      <c r="N198">
        <v>6</v>
      </c>
      <c r="O198">
        <f t="shared" si="14"/>
        <v>287</v>
      </c>
      <c r="P198">
        <f t="shared" si="15"/>
        <v>257</v>
      </c>
      <c r="Q198" s="11">
        <f t="shared" ca="1" si="13"/>
        <v>45768</v>
      </c>
      <c r="R198" s="11">
        <f t="shared" ca="1" si="13"/>
        <v>45798</v>
      </c>
    </row>
    <row r="199" spans="1:18" x14ac:dyDescent="0.25">
      <c r="A199" s="2">
        <v>2580</v>
      </c>
      <c r="B199">
        <v>2771</v>
      </c>
      <c r="C199" s="11">
        <v>40582</v>
      </c>
      <c r="D199" t="s">
        <v>10</v>
      </c>
      <c r="E199">
        <v>0</v>
      </c>
      <c r="F199" s="3">
        <f t="shared" si="12"/>
        <v>40612</v>
      </c>
      <c r="G199">
        <v>33</v>
      </c>
      <c r="H199">
        <v>0</v>
      </c>
      <c r="I199" t="b">
        <v>1</v>
      </c>
      <c r="J199">
        <v>1524</v>
      </c>
      <c r="K199" t="b">
        <v>0</v>
      </c>
      <c r="L199" t="b">
        <v>0</v>
      </c>
      <c r="M199">
        <v>0</v>
      </c>
      <c r="N199">
        <v>6</v>
      </c>
      <c r="O199">
        <f t="shared" si="14"/>
        <v>280</v>
      </c>
      <c r="P199">
        <f t="shared" si="15"/>
        <v>250</v>
      </c>
      <c r="Q199" s="11">
        <f t="shared" ca="1" si="13"/>
        <v>45775</v>
      </c>
      <c r="R199" s="11">
        <f t="shared" ca="1" si="13"/>
        <v>45805</v>
      </c>
    </row>
    <row r="200" spans="1:18" x14ac:dyDescent="0.25">
      <c r="A200" s="2">
        <v>2581</v>
      </c>
      <c r="B200">
        <v>1482</v>
      </c>
      <c r="C200" s="11">
        <v>40589</v>
      </c>
      <c r="D200" t="s">
        <v>10</v>
      </c>
      <c r="E200">
        <v>0</v>
      </c>
      <c r="F200" s="3">
        <f t="shared" si="12"/>
        <v>40619</v>
      </c>
      <c r="G200">
        <v>19</v>
      </c>
      <c r="H200">
        <v>0</v>
      </c>
      <c r="I200" t="b">
        <v>1</v>
      </c>
      <c r="J200">
        <v>640</v>
      </c>
      <c r="K200" t="b">
        <v>1</v>
      </c>
      <c r="L200" t="b">
        <v>0</v>
      </c>
      <c r="M200">
        <v>0</v>
      </c>
      <c r="N200">
        <v>6</v>
      </c>
      <c r="O200">
        <f t="shared" si="14"/>
        <v>273</v>
      </c>
      <c r="P200">
        <f t="shared" si="15"/>
        <v>243</v>
      </c>
      <c r="Q200" s="11">
        <f t="shared" ca="1" si="13"/>
        <v>45782</v>
      </c>
      <c r="R200" s="11">
        <f t="shared" ca="1" si="13"/>
        <v>45812</v>
      </c>
    </row>
    <row r="201" spans="1:18" x14ac:dyDescent="0.25">
      <c r="A201" s="2">
        <v>2582</v>
      </c>
      <c r="B201">
        <v>3686</v>
      </c>
      <c r="C201" s="11">
        <v>40596</v>
      </c>
      <c r="D201" t="s">
        <v>10</v>
      </c>
      <c r="E201">
        <v>0</v>
      </c>
      <c r="F201" s="3">
        <f t="shared" si="12"/>
        <v>40626</v>
      </c>
      <c r="G201">
        <v>0</v>
      </c>
      <c r="H201">
        <v>0.3</v>
      </c>
      <c r="I201" t="b">
        <v>1</v>
      </c>
      <c r="J201">
        <v>1524</v>
      </c>
      <c r="K201" t="b">
        <v>0</v>
      </c>
      <c r="L201" t="b">
        <v>0</v>
      </c>
      <c r="M201">
        <v>0</v>
      </c>
      <c r="N201">
        <v>6</v>
      </c>
      <c r="O201">
        <f t="shared" si="14"/>
        <v>266</v>
      </c>
      <c r="P201">
        <f t="shared" si="15"/>
        <v>236</v>
      </c>
      <c r="Q201" s="11">
        <f t="shared" ca="1" si="13"/>
        <v>45789</v>
      </c>
      <c r="R201" s="11">
        <f t="shared" ca="1" si="13"/>
        <v>45819</v>
      </c>
    </row>
    <row r="202" spans="1:18" x14ac:dyDescent="0.25">
      <c r="A202" s="2">
        <v>2583</v>
      </c>
      <c r="B202">
        <v>2974</v>
      </c>
      <c r="C202" s="11">
        <v>40603</v>
      </c>
      <c r="D202" t="s">
        <v>10</v>
      </c>
      <c r="E202">
        <v>380.76</v>
      </c>
      <c r="F202" s="3">
        <f t="shared" si="12"/>
        <v>40633</v>
      </c>
      <c r="G202">
        <v>19</v>
      </c>
      <c r="H202">
        <v>0</v>
      </c>
      <c r="I202" t="b">
        <v>1</v>
      </c>
      <c r="J202">
        <v>640</v>
      </c>
      <c r="K202" t="b">
        <v>1</v>
      </c>
      <c r="L202" t="b">
        <v>0</v>
      </c>
      <c r="M202">
        <v>0</v>
      </c>
      <c r="N202">
        <v>6</v>
      </c>
      <c r="O202">
        <f t="shared" si="14"/>
        <v>259</v>
      </c>
      <c r="P202">
        <f t="shared" si="15"/>
        <v>229</v>
      </c>
      <c r="Q202" s="11">
        <f t="shared" ca="1" si="13"/>
        <v>45796</v>
      </c>
      <c r="R202" s="11">
        <f t="shared" ca="1" si="13"/>
        <v>45826</v>
      </c>
    </row>
    <row r="203" spans="1:18" x14ac:dyDescent="0.25">
      <c r="A203" s="2">
        <v>2584</v>
      </c>
      <c r="B203">
        <v>2937</v>
      </c>
      <c r="C203" s="11">
        <v>40610</v>
      </c>
      <c r="D203" t="s">
        <v>10</v>
      </c>
      <c r="E203">
        <v>0</v>
      </c>
      <c r="F203" s="3">
        <f t="shared" si="12"/>
        <v>40640</v>
      </c>
      <c r="G203">
        <v>0</v>
      </c>
      <c r="H203">
        <v>0.4</v>
      </c>
      <c r="I203" t="b">
        <v>1</v>
      </c>
      <c r="J203">
        <v>1524</v>
      </c>
      <c r="K203" t="b">
        <v>0</v>
      </c>
      <c r="L203" t="b">
        <v>0</v>
      </c>
      <c r="M203">
        <v>0</v>
      </c>
      <c r="N203">
        <v>6</v>
      </c>
      <c r="O203">
        <f t="shared" si="14"/>
        <v>252</v>
      </c>
      <c r="P203">
        <f t="shared" si="15"/>
        <v>222</v>
      </c>
      <c r="Q203" s="11">
        <f t="shared" ca="1" si="13"/>
        <v>45803</v>
      </c>
      <c r="R203" s="11">
        <f t="shared" ca="1" si="13"/>
        <v>45833</v>
      </c>
    </row>
    <row r="204" spans="1:18" x14ac:dyDescent="0.25">
      <c r="A204" s="2">
        <v>2585</v>
      </c>
      <c r="B204">
        <v>2937</v>
      </c>
      <c r="C204" s="11">
        <v>40617</v>
      </c>
      <c r="D204" t="s">
        <v>10</v>
      </c>
      <c r="E204">
        <v>0</v>
      </c>
      <c r="F204" s="3">
        <f t="shared" si="12"/>
        <v>40647</v>
      </c>
      <c r="G204">
        <v>0</v>
      </c>
      <c r="H204">
        <v>0</v>
      </c>
      <c r="I204" t="b">
        <v>1</v>
      </c>
      <c r="J204">
        <v>1524</v>
      </c>
      <c r="K204" t="b">
        <v>0</v>
      </c>
      <c r="L204" t="b">
        <v>0</v>
      </c>
      <c r="M204">
        <v>0</v>
      </c>
      <c r="N204">
        <v>6</v>
      </c>
      <c r="O204">
        <f t="shared" si="14"/>
        <v>245</v>
      </c>
      <c r="P204">
        <f t="shared" si="15"/>
        <v>215</v>
      </c>
      <c r="Q204" s="11">
        <f t="shared" ca="1" si="13"/>
        <v>45810</v>
      </c>
      <c r="R204" s="11">
        <f t="shared" ca="1" si="13"/>
        <v>45840</v>
      </c>
    </row>
    <row r="205" spans="1:18" x14ac:dyDescent="0.25">
      <c r="A205" s="2">
        <v>2586</v>
      </c>
      <c r="B205">
        <v>2913</v>
      </c>
      <c r="C205" s="11">
        <v>40624</v>
      </c>
      <c r="D205" t="s">
        <v>10</v>
      </c>
      <c r="E205">
        <v>0</v>
      </c>
      <c r="F205" s="3">
        <f t="shared" si="12"/>
        <v>40654</v>
      </c>
      <c r="G205">
        <v>0</v>
      </c>
      <c r="H205">
        <v>0.3</v>
      </c>
      <c r="I205" t="b">
        <v>1</v>
      </c>
      <c r="J205">
        <v>1524</v>
      </c>
      <c r="K205" t="b">
        <v>0</v>
      </c>
      <c r="L205" t="b">
        <v>0</v>
      </c>
      <c r="M205">
        <v>0</v>
      </c>
      <c r="N205">
        <v>6</v>
      </c>
      <c r="O205">
        <f t="shared" si="14"/>
        <v>238</v>
      </c>
      <c r="P205">
        <f t="shared" si="15"/>
        <v>208</v>
      </c>
      <c r="Q205" s="11">
        <f t="shared" ca="1" si="13"/>
        <v>45817</v>
      </c>
      <c r="R205" s="11">
        <f t="shared" ca="1" si="13"/>
        <v>45847</v>
      </c>
    </row>
    <row r="206" spans="1:18" x14ac:dyDescent="0.25">
      <c r="A206" s="2">
        <v>2587</v>
      </c>
      <c r="B206">
        <v>2771</v>
      </c>
      <c r="C206" s="11">
        <v>40631</v>
      </c>
      <c r="D206" t="s">
        <v>10</v>
      </c>
      <c r="E206">
        <v>0</v>
      </c>
      <c r="F206" s="3">
        <f t="shared" si="12"/>
        <v>40661</v>
      </c>
      <c r="G206">
        <v>0</v>
      </c>
      <c r="H206">
        <v>0.3</v>
      </c>
      <c r="I206" t="b">
        <v>1</v>
      </c>
      <c r="J206">
        <v>1524</v>
      </c>
      <c r="K206" t="b">
        <v>0</v>
      </c>
      <c r="L206" t="b">
        <v>0</v>
      </c>
      <c r="M206">
        <v>0</v>
      </c>
      <c r="N206">
        <v>6</v>
      </c>
      <c r="O206">
        <f t="shared" si="14"/>
        <v>231</v>
      </c>
      <c r="P206">
        <f t="shared" si="15"/>
        <v>201</v>
      </c>
      <c r="Q206" s="11">
        <f t="shared" ca="1" si="13"/>
        <v>45824</v>
      </c>
      <c r="R206" s="11">
        <f t="shared" ca="1" si="13"/>
        <v>45854</v>
      </c>
    </row>
    <row r="207" spans="1:18" x14ac:dyDescent="0.25">
      <c r="A207" s="2">
        <v>2588</v>
      </c>
      <c r="B207">
        <v>2962</v>
      </c>
      <c r="C207" s="11">
        <v>40638</v>
      </c>
      <c r="D207" t="s">
        <v>10</v>
      </c>
      <c r="E207">
        <v>0</v>
      </c>
      <c r="F207" s="3">
        <f t="shared" si="12"/>
        <v>40668</v>
      </c>
      <c r="G207">
        <v>160</v>
      </c>
      <c r="H207">
        <v>0.2</v>
      </c>
      <c r="I207" t="b">
        <v>1</v>
      </c>
      <c r="J207">
        <v>1524</v>
      </c>
      <c r="K207" t="b">
        <v>0</v>
      </c>
      <c r="L207" t="b">
        <v>0</v>
      </c>
      <c r="M207">
        <v>0</v>
      </c>
      <c r="N207">
        <v>6</v>
      </c>
      <c r="O207">
        <f t="shared" si="14"/>
        <v>224</v>
      </c>
      <c r="P207">
        <f t="shared" si="15"/>
        <v>194</v>
      </c>
      <c r="Q207" s="11">
        <f t="shared" ca="1" si="13"/>
        <v>45831</v>
      </c>
      <c r="R207" s="11">
        <f t="shared" ca="1" si="13"/>
        <v>45861</v>
      </c>
    </row>
    <row r="208" spans="1:18" x14ac:dyDescent="0.25">
      <c r="A208" s="2">
        <v>2589</v>
      </c>
      <c r="B208">
        <v>2421</v>
      </c>
      <c r="C208" s="11">
        <v>40645</v>
      </c>
      <c r="D208" t="s">
        <v>10</v>
      </c>
      <c r="E208">
        <v>5156.43</v>
      </c>
      <c r="F208" s="3">
        <f t="shared" si="12"/>
        <v>40675</v>
      </c>
      <c r="G208">
        <v>390</v>
      </c>
      <c r="H208">
        <v>0.3</v>
      </c>
      <c r="I208" t="b">
        <v>1</v>
      </c>
      <c r="J208">
        <v>1524</v>
      </c>
      <c r="K208" t="b">
        <v>0</v>
      </c>
      <c r="L208" t="b">
        <v>0</v>
      </c>
      <c r="M208">
        <v>0</v>
      </c>
      <c r="N208">
        <v>6</v>
      </c>
      <c r="O208">
        <f t="shared" si="14"/>
        <v>217</v>
      </c>
      <c r="P208">
        <f t="shared" si="15"/>
        <v>187</v>
      </c>
      <c r="Q208" s="11">
        <f t="shared" ca="1" si="13"/>
        <v>45838</v>
      </c>
      <c r="R208" s="11">
        <f t="shared" ca="1" si="13"/>
        <v>45868</v>
      </c>
    </row>
    <row r="209" spans="1:18" x14ac:dyDescent="0.25">
      <c r="A209" s="2">
        <v>2590</v>
      </c>
      <c r="B209">
        <v>2421</v>
      </c>
      <c r="C209" s="11">
        <v>40652</v>
      </c>
      <c r="D209" t="s">
        <v>10</v>
      </c>
      <c r="E209">
        <v>3081</v>
      </c>
      <c r="F209" s="3">
        <f t="shared" si="12"/>
        <v>40682</v>
      </c>
      <c r="G209">
        <v>80</v>
      </c>
      <c r="H209">
        <v>0.3</v>
      </c>
      <c r="I209" t="b">
        <v>1</v>
      </c>
      <c r="J209">
        <v>1524</v>
      </c>
      <c r="K209" t="b">
        <v>0</v>
      </c>
      <c r="L209" t="b">
        <v>0</v>
      </c>
      <c r="M209">
        <v>0</v>
      </c>
      <c r="N209">
        <v>6</v>
      </c>
      <c r="O209">
        <f t="shared" si="14"/>
        <v>210</v>
      </c>
      <c r="P209">
        <f t="shared" si="15"/>
        <v>180</v>
      </c>
      <c r="Q209" s="11">
        <f t="shared" ca="1" si="13"/>
        <v>45845</v>
      </c>
      <c r="R209" s="11">
        <f t="shared" ca="1" si="13"/>
        <v>45875</v>
      </c>
    </row>
    <row r="210" spans="1:18" x14ac:dyDescent="0.25">
      <c r="A210" s="2">
        <v>2591</v>
      </c>
      <c r="B210">
        <v>798</v>
      </c>
      <c r="C210" s="11">
        <v>40659</v>
      </c>
      <c r="D210" t="s">
        <v>10</v>
      </c>
      <c r="E210">
        <v>0</v>
      </c>
      <c r="F210" s="3">
        <f t="shared" si="12"/>
        <v>40689</v>
      </c>
      <c r="G210">
        <v>0</v>
      </c>
      <c r="H210">
        <v>0.1</v>
      </c>
      <c r="I210" t="b">
        <v>1</v>
      </c>
      <c r="J210">
        <v>1524</v>
      </c>
      <c r="K210" t="b">
        <v>0</v>
      </c>
      <c r="L210" t="b">
        <v>0</v>
      </c>
      <c r="M210">
        <v>0</v>
      </c>
      <c r="N210">
        <v>6</v>
      </c>
      <c r="O210">
        <f t="shared" si="14"/>
        <v>203</v>
      </c>
      <c r="P210">
        <f t="shared" si="15"/>
        <v>173</v>
      </c>
      <c r="Q210" s="11">
        <f t="shared" ca="1" si="13"/>
        <v>45852</v>
      </c>
      <c r="R210" s="11">
        <f t="shared" ca="1" si="13"/>
        <v>45882</v>
      </c>
    </row>
    <row r="211" spans="1:18" x14ac:dyDescent="0.25">
      <c r="A211" s="2">
        <v>2592</v>
      </c>
      <c r="B211">
        <v>2937</v>
      </c>
      <c r="C211" s="11">
        <v>40666</v>
      </c>
      <c r="D211" t="s">
        <v>10</v>
      </c>
      <c r="E211">
        <v>0</v>
      </c>
      <c r="F211" s="3">
        <f t="shared" si="12"/>
        <v>40696</v>
      </c>
      <c r="G211">
        <v>0</v>
      </c>
      <c r="H211">
        <v>0</v>
      </c>
      <c r="I211" t="b">
        <v>1</v>
      </c>
      <c r="J211">
        <v>1524</v>
      </c>
      <c r="K211" t="b">
        <v>0</v>
      </c>
      <c r="L211" t="b">
        <v>0</v>
      </c>
      <c r="M211">
        <v>0</v>
      </c>
      <c r="N211">
        <v>6</v>
      </c>
      <c r="O211">
        <f t="shared" si="14"/>
        <v>196</v>
      </c>
      <c r="P211">
        <f t="shared" si="15"/>
        <v>166</v>
      </c>
      <c r="Q211" s="11">
        <f t="shared" ca="1" si="13"/>
        <v>45859</v>
      </c>
      <c r="R211" s="11">
        <f t="shared" ca="1" si="13"/>
        <v>45889</v>
      </c>
    </row>
    <row r="212" spans="1:18" x14ac:dyDescent="0.25">
      <c r="A212" s="2">
        <v>2593</v>
      </c>
      <c r="B212">
        <v>2771</v>
      </c>
      <c r="C212" s="11">
        <v>40673</v>
      </c>
      <c r="D212" t="s">
        <v>10</v>
      </c>
      <c r="E212">
        <v>0</v>
      </c>
      <c r="F212" s="3">
        <f t="shared" si="12"/>
        <v>40703</v>
      </c>
      <c r="G212">
        <v>94</v>
      </c>
      <c r="H212">
        <v>0.3</v>
      </c>
      <c r="I212" t="b">
        <v>1</v>
      </c>
      <c r="J212">
        <v>1524</v>
      </c>
      <c r="K212" t="b">
        <v>0</v>
      </c>
      <c r="L212" t="b">
        <v>0</v>
      </c>
      <c r="M212">
        <v>0</v>
      </c>
      <c r="N212">
        <v>6</v>
      </c>
      <c r="O212">
        <f t="shared" si="14"/>
        <v>189</v>
      </c>
      <c r="P212">
        <f t="shared" si="15"/>
        <v>159</v>
      </c>
      <c r="Q212" s="11">
        <f t="shared" ca="1" si="13"/>
        <v>45866</v>
      </c>
      <c r="R212" s="11">
        <f t="shared" ca="1" si="13"/>
        <v>45896</v>
      </c>
    </row>
    <row r="213" spans="1:18" x14ac:dyDescent="0.25">
      <c r="A213" s="2">
        <v>2594</v>
      </c>
      <c r="B213">
        <v>2913</v>
      </c>
      <c r="C213" s="11">
        <v>40680</v>
      </c>
      <c r="D213" t="s">
        <v>10</v>
      </c>
      <c r="E213">
        <v>5030.7299999999996</v>
      </c>
      <c r="F213" s="3">
        <f t="shared" si="12"/>
        <v>40710</v>
      </c>
      <c r="G213">
        <v>600</v>
      </c>
      <c r="H213">
        <v>0.3</v>
      </c>
      <c r="I213" t="b">
        <v>1</v>
      </c>
      <c r="J213">
        <v>1524</v>
      </c>
      <c r="K213" t="b">
        <v>0</v>
      </c>
      <c r="L213" t="b">
        <v>0</v>
      </c>
      <c r="M213">
        <v>0</v>
      </c>
      <c r="N213">
        <v>6</v>
      </c>
      <c r="O213">
        <f t="shared" si="14"/>
        <v>182</v>
      </c>
      <c r="P213">
        <f t="shared" si="15"/>
        <v>152</v>
      </c>
      <c r="Q213" s="11">
        <f t="shared" ca="1" si="13"/>
        <v>45873</v>
      </c>
      <c r="R213" s="11">
        <f t="shared" ca="1" si="13"/>
        <v>45903</v>
      </c>
    </row>
    <row r="214" spans="1:18" x14ac:dyDescent="0.25">
      <c r="A214" s="2">
        <v>2595</v>
      </c>
      <c r="B214">
        <v>2319</v>
      </c>
      <c r="C214" s="11">
        <v>40687</v>
      </c>
      <c r="D214" t="s">
        <v>10</v>
      </c>
      <c r="E214">
        <v>0</v>
      </c>
      <c r="F214" s="3">
        <f t="shared" si="12"/>
        <v>40717</v>
      </c>
      <c r="G214">
        <v>400</v>
      </c>
      <c r="H214">
        <v>0.3</v>
      </c>
      <c r="I214" t="b">
        <v>1</v>
      </c>
      <c r="J214">
        <v>1524</v>
      </c>
      <c r="K214" t="b">
        <v>0</v>
      </c>
      <c r="L214" t="b">
        <v>0</v>
      </c>
      <c r="M214">
        <v>0</v>
      </c>
      <c r="N214">
        <v>6</v>
      </c>
      <c r="O214">
        <f t="shared" si="14"/>
        <v>175</v>
      </c>
      <c r="P214">
        <f t="shared" si="15"/>
        <v>145</v>
      </c>
      <c r="Q214" s="11">
        <f t="shared" ca="1" si="13"/>
        <v>45880</v>
      </c>
      <c r="R214" s="11">
        <f t="shared" ca="1" si="13"/>
        <v>45910</v>
      </c>
    </row>
    <row r="215" spans="1:18" x14ac:dyDescent="0.25">
      <c r="A215" s="2">
        <v>2596</v>
      </c>
      <c r="B215">
        <v>798</v>
      </c>
      <c r="C215" s="11">
        <v>40694</v>
      </c>
      <c r="D215" t="s">
        <v>10</v>
      </c>
      <c r="E215">
        <v>0</v>
      </c>
      <c r="F215" s="3">
        <f t="shared" si="12"/>
        <v>40724</v>
      </c>
      <c r="G215">
        <v>0</v>
      </c>
      <c r="H215">
        <v>0.3</v>
      </c>
      <c r="I215" t="b">
        <v>1</v>
      </c>
      <c r="J215">
        <v>1524</v>
      </c>
      <c r="K215" t="b">
        <v>1</v>
      </c>
      <c r="L215" t="b">
        <v>0</v>
      </c>
      <c r="M215">
        <v>0</v>
      </c>
      <c r="N215">
        <v>6</v>
      </c>
      <c r="O215">
        <f t="shared" si="14"/>
        <v>168</v>
      </c>
      <c r="P215">
        <f t="shared" si="15"/>
        <v>138</v>
      </c>
      <c r="Q215" s="11">
        <f t="shared" ca="1" si="13"/>
        <v>45887</v>
      </c>
      <c r="R215" s="11">
        <f t="shared" ca="1" si="13"/>
        <v>45917</v>
      </c>
    </row>
    <row r="216" spans="1:18" x14ac:dyDescent="0.25">
      <c r="A216" s="2">
        <v>2597</v>
      </c>
      <c r="B216">
        <v>798</v>
      </c>
      <c r="C216" s="11">
        <v>40701</v>
      </c>
      <c r="D216" t="s">
        <v>10</v>
      </c>
      <c r="E216">
        <v>0</v>
      </c>
      <c r="F216" s="3">
        <f t="shared" ref="F216:F239" si="16">C216+30</f>
        <v>40731</v>
      </c>
      <c r="G216">
        <v>0</v>
      </c>
      <c r="H216">
        <v>0.3</v>
      </c>
      <c r="I216" t="b">
        <v>1</v>
      </c>
      <c r="J216">
        <v>1524</v>
      </c>
      <c r="K216" t="b">
        <v>0</v>
      </c>
      <c r="L216" t="b">
        <v>0</v>
      </c>
      <c r="M216">
        <v>0</v>
      </c>
      <c r="N216">
        <v>6</v>
      </c>
      <c r="O216">
        <f t="shared" si="14"/>
        <v>161</v>
      </c>
      <c r="P216">
        <f t="shared" si="15"/>
        <v>131</v>
      </c>
      <c r="Q216" s="11">
        <f t="shared" ref="Q216:R239" ca="1" si="17">TODAY()-O216</f>
        <v>45894</v>
      </c>
      <c r="R216" s="11">
        <f t="shared" ca="1" si="17"/>
        <v>45924</v>
      </c>
    </row>
    <row r="217" spans="1:18" x14ac:dyDescent="0.25">
      <c r="A217" s="2">
        <v>2598</v>
      </c>
      <c r="B217">
        <v>798</v>
      </c>
      <c r="C217" s="11">
        <v>40708</v>
      </c>
      <c r="D217" t="s">
        <v>10</v>
      </c>
      <c r="E217">
        <v>0</v>
      </c>
      <c r="F217" s="3">
        <f t="shared" si="16"/>
        <v>40738</v>
      </c>
      <c r="G217">
        <v>0</v>
      </c>
      <c r="H217">
        <v>0.3</v>
      </c>
      <c r="I217" t="b">
        <v>1</v>
      </c>
      <c r="J217">
        <v>1524</v>
      </c>
      <c r="K217" t="b">
        <v>0</v>
      </c>
      <c r="L217" t="b">
        <v>0</v>
      </c>
      <c r="M217">
        <v>0</v>
      </c>
      <c r="N217">
        <v>6</v>
      </c>
      <c r="O217">
        <f t="shared" si="14"/>
        <v>154</v>
      </c>
      <c r="P217">
        <f t="shared" si="15"/>
        <v>124</v>
      </c>
      <c r="Q217" s="11">
        <f t="shared" ca="1" si="17"/>
        <v>45901</v>
      </c>
      <c r="R217" s="11">
        <f t="shared" ca="1" si="17"/>
        <v>45931</v>
      </c>
    </row>
    <row r="218" spans="1:18" x14ac:dyDescent="0.25">
      <c r="A218" s="2">
        <v>2599</v>
      </c>
      <c r="B218">
        <v>798</v>
      </c>
      <c r="C218" s="11">
        <v>40715</v>
      </c>
      <c r="D218" t="s">
        <v>10</v>
      </c>
      <c r="E218">
        <v>0</v>
      </c>
      <c r="F218" s="3">
        <f t="shared" si="16"/>
        <v>40745</v>
      </c>
      <c r="G218">
        <v>0</v>
      </c>
      <c r="H218">
        <v>0</v>
      </c>
      <c r="I218" t="b">
        <v>1</v>
      </c>
      <c r="J218">
        <v>1524</v>
      </c>
      <c r="K218" t="b">
        <v>0</v>
      </c>
      <c r="L218" t="b">
        <v>0</v>
      </c>
      <c r="M218">
        <v>0</v>
      </c>
      <c r="N218">
        <v>6</v>
      </c>
      <c r="O218">
        <f t="shared" si="14"/>
        <v>147</v>
      </c>
      <c r="P218">
        <f t="shared" si="15"/>
        <v>117</v>
      </c>
      <c r="Q218" s="11">
        <f t="shared" ca="1" si="17"/>
        <v>45908</v>
      </c>
      <c r="R218" s="11">
        <f t="shared" ca="1" si="17"/>
        <v>45938</v>
      </c>
    </row>
    <row r="219" spans="1:18" x14ac:dyDescent="0.25">
      <c r="A219" s="2">
        <v>2600</v>
      </c>
      <c r="B219">
        <v>2818</v>
      </c>
      <c r="C219" s="11">
        <v>40722</v>
      </c>
      <c r="D219" t="s">
        <v>10</v>
      </c>
      <c r="E219">
        <v>0</v>
      </c>
      <c r="F219" s="3">
        <f t="shared" si="16"/>
        <v>40752</v>
      </c>
      <c r="G219">
        <v>13.5</v>
      </c>
      <c r="H219">
        <v>0</v>
      </c>
      <c r="I219" t="b">
        <v>1</v>
      </c>
      <c r="J219">
        <v>640</v>
      </c>
      <c r="K219" t="b">
        <v>0</v>
      </c>
      <c r="L219" t="b">
        <v>0</v>
      </c>
      <c r="M219">
        <v>0</v>
      </c>
      <c r="N219">
        <v>6</v>
      </c>
      <c r="O219">
        <f t="shared" si="14"/>
        <v>140</v>
      </c>
      <c r="P219">
        <f t="shared" si="15"/>
        <v>110</v>
      </c>
      <c r="Q219" s="11">
        <f t="shared" ca="1" si="17"/>
        <v>45915</v>
      </c>
      <c r="R219" s="11">
        <f t="shared" ca="1" si="17"/>
        <v>45945</v>
      </c>
    </row>
    <row r="220" spans="1:18" x14ac:dyDescent="0.25">
      <c r="A220" s="2">
        <v>2601</v>
      </c>
      <c r="B220">
        <v>933</v>
      </c>
      <c r="C220" s="11">
        <v>40729</v>
      </c>
      <c r="D220" t="s">
        <v>10</v>
      </c>
      <c r="E220">
        <v>0</v>
      </c>
      <c r="F220" s="3">
        <f t="shared" si="16"/>
        <v>40759</v>
      </c>
      <c r="G220">
        <v>0</v>
      </c>
      <c r="H220">
        <v>0.3</v>
      </c>
      <c r="I220" t="b">
        <v>1</v>
      </c>
      <c r="J220">
        <v>1524</v>
      </c>
      <c r="K220" t="b">
        <v>0</v>
      </c>
      <c r="L220" t="b">
        <v>0</v>
      </c>
      <c r="M220">
        <v>0</v>
      </c>
      <c r="N220">
        <v>6</v>
      </c>
      <c r="O220">
        <f t="shared" si="14"/>
        <v>133</v>
      </c>
      <c r="P220">
        <f t="shared" si="15"/>
        <v>103</v>
      </c>
      <c r="Q220" s="11">
        <f t="shared" ca="1" si="17"/>
        <v>45922</v>
      </c>
      <c r="R220" s="11">
        <f t="shared" ca="1" si="17"/>
        <v>45952</v>
      </c>
    </row>
    <row r="221" spans="1:18" x14ac:dyDescent="0.25">
      <c r="A221" s="2">
        <v>2602</v>
      </c>
      <c r="B221">
        <v>1482</v>
      </c>
      <c r="C221" s="11">
        <v>40736</v>
      </c>
      <c r="D221" t="s">
        <v>10</v>
      </c>
      <c r="E221">
        <v>0</v>
      </c>
      <c r="F221" s="3">
        <f t="shared" si="16"/>
        <v>40766</v>
      </c>
      <c r="G221">
        <v>13.5</v>
      </c>
      <c r="H221">
        <v>0</v>
      </c>
      <c r="I221" t="b">
        <v>1</v>
      </c>
      <c r="J221">
        <v>640</v>
      </c>
      <c r="K221" t="b">
        <v>0</v>
      </c>
      <c r="L221" t="b">
        <v>0</v>
      </c>
      <c r="M221">
        <v>0</v>
      </c>
      <c r="N221">
        <v>6</v>
      </c>
      <c r="O221">
        <f t="shared" si="14"/>
        <v>126</v>
      </c>
      <c r="P221">
        <f t="shared" si="15"/>
        <v>96</v>
      </c>
      <c r="Q221" s="11">
        <f t="shared" ca="1" si="17"/>
        <v>45929</v>
      </c>
      <c r="R221" s="11">
        <f t="shared" ca="1" si="17"/>
        <v>45959</v>
      </c>
    </row>
    <row r="222" spans="1:18" x14ac:dyDescent="0.25">
      <c r="A222" s="2">
        <v>2603</v>
      </c>
      <c r="B222">
        <v>2913</v>
      </c>
      <c r="C222" s="11">
        <v>40743</v>
      </c>
      <c r="D222" t="s">
        <v>10</v>
      </c>
      <c r="E222">
        <v>0</v>
      </c>
      <c r="F222" s="3">
        <f t="shared" si="16"/>
        <v>40773</v>
      </c>
      <c r="G222">
        <v>0</v>
      </c>
      <c r="H222">
        <v>0.3</v>
      </c>
      <c r="I222" t="b">
        <v>1</v>
      </c>
      <c r="J222">
        <v>1524</v>
      </c>
      <c r="K222" t="b">
        <v>0</v>
      </c>
      <c r="L222" t="b">
        <v>0</v>
      </c>
      <c r="M222">
        <v>0</v>
      </c>
      <c r="N222">
        <v>6</v>
      </c>
      <c r="O222">
        <f t="shared" si="14"/>
        <v>119</v>
      </c>
      <c r="P222">
        <f t="shared" si="15"/>
        <v>89</v>
      </c>
      <c r="Q222" s="11">
        <f t="shared" ca="1" si="17"/>
        <v>45936</v>
      </c>
      <c r="R222" s="11">
        <f t="shared" ca="1" si="17"/>
        <v>45966</v>
      </c>
    </row>
    <row r="223" spans="1:18" x14ac:dyDescent="0.25">
      <c r="A223" s="2">
        <v>2604</v>
      </c>
      <c r="B223">
        <v>2818</v>
      </c>
      <c r="C223" s="11">
        <v>40750</v>
      </c>
      <c r="D223" t="s">
        <v>10</v>
      </c>
      <c r="E223">
        <v>0</v>
      </c>
      <c r="F223" s="3">
        <f t="shared" si="16"/>
        <v>40780</v>
      </c>
      <c r="G223">
        <v>0</v>
      </c>
      <c r="H223">
        <v>0</v>
      </c>
      <c r="I223" t="b">
        <v>1</v>
      </c>
      <c r="J223">
        <v>640</v>
      </c>
      <c r="K223" t="b">
        <v>0</v>
      </c>
      <c r="L223" t="b">
        <v>0</v>
      </c>
      <c r="M223">
        <v>0</v>
      </c>
      <c r="N223">
        <v>6</v>
      </c>
      <c r="O223">
        <f t="shared" si="14"/>
        <v>112</v>
      </c>
      <c r="P223">
        <f t="shared" si="15"/>
        <v>82</v>
      </c>
      <c r="Q223" s="11">
        <f t="shared" ca="1" si="17"/>
        <v>45943</v>
      </c>
      <c r="R223" s="11">
        <f t="shared" ca="1" si="17"/>
        <v>45973</v>
      </c>
    </row>
    <row r="224" spans="1:18" x14ac:dyDescent="0.25">
      <c r="A224" s="2">
        <v>2605</v>
      </c>
      <c r="B224">
        <v>798</v>
      </c>
      <c r="C224" s="11">
        <v>40757</v>
      </c>
      <c r="D224" t="s">
        <v>10</v>
      </c>
      <c r="E224">
        <v>0</v>
      </c>
      <c r="F224" s="3">
        <f t="shared" si="16"/>
        <v>40787</v>
      </c>
      <c r="G224">
        <v>0</v>
      </c>
      <c r="H224">
        <v>0.3</v>
      </c>
      <c r="I224" t="b">
        <v>0</v>
      </c>
      <c r="J224">
        <v>1524</v>
      </c>
      <c r="K224" t="b">
        <v>0</v>
      </c>
      <c r="L224" t="b">
        <v>0</v>
      </c>
      <c r="M224">
        <v>0</v>
      </c>
      <c r="N224">
        <v>6</v>
      </c>
      <c r="O224">
        <f t="shared" si="14"/>
        <v>105</v>
      </c>
      <c r="P224">
        <f t="shared" si="15"/>
        <v>75</v>
      </c>
      <c r="Q224" s="11">
        <f t="shared" ca="1" si="17"/>
        <v>45950</v>
      </c>
      <c r="R224" s="11">
        <f t="shared" ca="1" si="17"/>
        <v>45980</v>
      </c>
    </row>
    <row r="225" spans="1:18" x14ac:dyDescent="0.25">
      <c r="A225" s="2">
        <v>2606</v>
      </c>
      <c r="B225">
        <v>2829</v>
      </c>
      <c r="C225" s="11">
        <v>40764</v>
      </c>
      <c r="D225" t="s">
        <v>10</v>
      </c>
      <c r="E225">
        <v>0</v>
      </c>
      <c r="F225" s="3">
        <f>C225+60</f>
        <v>40824</v>
      </c>
      <c r="G225">
        <v>0</v>
      </c>
      <c r="H225">
        <v>0</v>
      </c>
      <c r="I225" t="b">
        <v>1</v>
      </c>
      <c r="J225">
        <v>1524</v>
      </c>
      <c r="K225" t="b">
        <v>0</v>
      </c>
      <c r="L225" t="b">
        <v>0</v>
      </c>
      <c r="M225">
        <v>0</v>
      </c>
      <c r="N225">
        <v>6</v>
      </c>
      <c r="O225">
        <f t="shared" si="14"/>
        <v>98</v>
      </c>
      <c r="P225">
        <f t="shared" si="15"/>
        <v>38</v>
      </c>
      <c r="Q225" s="11">
        <f t="shared" ca="1" si="17"/>
        <v>45957</v>
      </c>
      <c r="R225" s="11">
        <f t="shared" ca="1" si="17"/>
        <v>46017</v>
      </c>
    </row>
    <row r="226" spans="1:18" x14ac:dyDescent="0.25">
      <c r="A226" s="2">
        <v>2607</v>
      </c>
      <c r="B226">
        <v>2962</v>
      </c>
      <c r="C226" s="11">
        <v>40771</v>
      </c>
      <c r="D226" t="s">
        <v>10</v>
      </c>
      <c r="E226">
        <v>0</v>
      </c>
      <c r="F226" s="3">
        <f t="shared" si="16"/>
        <v>40801</v>
      </c>
      <c r="G226">
        <v>46</v>
      </c>
      <c r="H226">
        <v>0.2</v>
      </c>
      <c r="I226" t="b">
        <v>1</v>
      </c>
      <c r="J226">
        <v>1524</v>
      </c>
      <c r="K226" t="b">
        <v>1</v>
      </c>
      <c r="L226" t="b">
        <v>0</v>
      </c>
      <c r="M226">
        <v>0</v>
      </c>
      <c r="N226">
        <v>6</v>
      </c>
      <c r="O226">
        <f t="shared" si="14"/>
        <v>91</v>
      </c>
      <c r="P226">
        <f t="shared" si="15"/>
        <v>61</v>
      </c>
      <c r="Q226" s="11">
        <f t="shared" ca="1" si="17"/>
        <v>45964</v>
      </c>
      <c r="R226" s="11">
        <f t="shared" ca="1" si="17"/>
        <v>45994</v>
      </c>
    </row>
    <row r="227" spans="1:18" x14ac:dyDescent="0.25">
      <c r="A227" s="2">
        <v>2608</v>
      </c>
      <c r="B227">
        <v>1156</v>
      </c>
      <c r="C227" s="11">
        <v>40778</v>
      </c>
      <c r="D227" t="s">
        <v>10</v>
      </c>
      <c r="E227">
        <v>0</v>
      </c>
      <c r="F227" s="3">
        <f t="shared" si="16"/>
        <v>40808</v>
      </c>
      <c r="G227">
        <v>29.5</v>
      </c>
      <c r="H227">
        <v>0</v>
      </c>
      <c r="I227" t="b">
        <v>1</v>
      </c>
      <c r="J227">
        <v>1524</v>
      </c>
      <c r="K227" t="b">
        <v>0</v>
      </c>
      <c r="L227" t="b">
        <v>0</v>
      </c>
      <c r="M227">
        <v>0</v>
      </c>
      <c r="N227">
        <v>6</v>
      </c>
      <c r="O227">
        <f t="shared" si="14"/>
        <v>84</v>
      </c>
      <c r="P227">
        <f t="shared" si="15"/>
        <v>54</v>
      </c>
      <c r="Q227" s="11">
        <f t="shared" ca="1" si="17"/>
        <v>45971</v>
      </c>
      <c r="R227" s="11">
        <f t="shared" ca="1" si="17"/>
        <v>46001</v>
      </c>
    </row>
    <row r="228" spans="1:18" x14ac:dyDescent="0.25">
      <c r="A228" s="2">
        <v>2609</v>
      </c>
      <c r="B228">
        <v>2478</v>
      </c>
      <c r="C228" s="11">
        <v>40785</v>
      </c>
      <c r="D228" t="s">
        <v>10</v>
      </c>
      <c r="E228">
        <v>0</v>
      </c>
      <c r="F228" s="3">
        <f t="shared" si="16"/>
        <v>40815</v>
      </c>
      <c r="G228">
        <v>14.5</v>
      </c>
      <c r="H228">
        <v>0</v>
      </c>
      <c r="I228" t="b">
        <v>0</v>
      </c>
      <c r="J228">
        <v>640</v>
      </c>
      <c r="K228" t="b">
        <v>0</v>
      </c>
      <c r="L228" t="b">
        <v>0</v>
      </c>
      <c r="M228">
        <v>0</v>
      </c>
      <c r="N228">
        <v>6</v>
      </c>
      <c r="O228">
        <f t="shared" si="14"/>
        <v>77</v>
      </c>
      <c r="P228">
        <f t="shared" si="15"/>
        <v>47</v>
      </c>
      <c r="Q228" s="11">
        <f t="shared" ca="1" si="17"/>
        <v>45978</v>
      </c>
      <c r="R228" s="11">
        <f t="shared" ca="1" si="17"/>
        <v>46008</v>
      </c>
    </row>
    <row r="229" spans="1:18" x14ac:dyDescent="0.25">
      <c r="A229" s="2">
        <v>2610</v>
      </c>
      <c r="B229">
        <v>2319</v>
      </c>
      <c r="C229" s="11">
        <v>40792</v>
      </c>
      <c r="D229" t="s">
        <v>10</v>
      </c>
      <c r="E229">
        <v>0</v>
      </c>
      <c r="F229" s="3">
        <f t="shared" si="16"/>
        <v>40822</v>
      </c>
      <c r="G229">
        <v>0</v>
      </c>
      <c r="H229">
        <v>0.3</v>
      </c>
      <c r="I229" t="b">
        <v>1</v>
      </c>
      <c r="J229">
        <v>1524</v>
      </c>
      <c r="K229" t="b">
        <v>0</v>
      </c>
      <c r="L229" t="b">
        <v>0</v>
      </c>
      <c r="M229">
        <v>0</v>
      </c>
      <c r="N229">
        <v>6</v>
      </c>
      <c r="O229">
        <f t="shared" si="14"/>
        <v>70</v>
      </c>
      <c r="P229">
        <f t="shared" si="15"/>
        <v>40</v>
      </c>
      <c r="Q229" s="11">
        <f t="shared" ca="1" si="17"/>
        <v>45985</v>
      </c>
      <c r="R229" s="11">
        <f t="shared" ca="1" si="17"/>
        <v>46015</v>
      </c>
    </row>
    <row r="230" spans="1:18" x14ac:dyDescent="0.25">
      <c r="A230" s="2">
        <v>2611</v>
      </c>
      <c r="B230">
        <v>2937</v>
      </c>
      <c r="C230" s="11">
        <v>40799</v>
      </c>
      <c r="D230" t="s">
        <v>10</v>
      </c>
      <c r="E230">
        <v>0</v>
      </c>
      <c r="F230" s="3">
        <f>C230+60</f>
        <v>40859</v>
      </c>
      <c r="G230">
        <v>0</v>
      </c>
      <c r="H230">
        <v>0.3</v>
      </c>
      <c r="I230" t="b">
        <v>0</v>
      </c>
      <c r="J230">
        <v>1524</v>
      </c>
      <c r="K230" t="b">
        <v>0</v>
      </c>
      <c r="L230" t="b">
        <v>0</v>
      </c>
      <c r="M230">
        <v>0</v>
      </c>
      <c r="N230">
        <v>6</v>
      </c>
      <c r="O230">
        <f t="shared" si="14"/>
        <v>63</v>
      </c>
      <c r="P230">
        <f t="shared" si="15"/>
        <v>3</v>
      </c>
      <c r="Q230" s="11">
        <f t="shared" ca="1" si="17"/>
        <v>45992</v>
      </c>
      <c r="R230" s="11">
        <f t="shared" ca="1" si="17"/>
        <v>46052</v>
      </c>
    </row>
    <row r="231" spans="1:18" x14ac:dyDescent="0.25">
      <c r="A231" s="2">
        <v>2612</v>
      </c>
      <c r="B231">
        <v>1482</v>
      </c>
      <c r="C231" s="11">
        <v>40806</v>
      </c>
      <c r="D231" t="s">
        <v>10</v>
      </c>
      <c r="E231">
        <v>0</v>
      </c>
      <c r="F231" s="3">
        <f t="shared" si="16"/>
        <v>40836</v>
      </c>
      <c r="G231">
        <v>36</v>
      </c>
      <c r="H231">
        <v>0</v>
      </c>
      <c r="I231" t="b">
        <v>1</v>
      </c>
      <c r="J231">
        <v>640</v>
      </c>
      <c r="K231" t="b">
        <v>1</v>
      </c>
      <c r="L231" t="b">
        <v>0</v>
      </c>
      <c r="M231">
        <v>0</v>
      </c>
      <c r="N231">
        <v>6</v>
      </c>
      <c r="O231">
        <f t="shared" si="14"/>
        <v>56</v>
      </c>
      <c r="P231">
        <f t="shared" si="15"/>
        <v>26</v>
      </c>
      <c r="Q231" s="11">
        <f t="shared" ca="1" si="17"/>
        <v>45999</v>
      </c>
      <c r="R231" s="11">
        <f t="shared" ca="1" si="17"/>
        <v>46029</v>
      </c>
    </row>
    <row r="232" spans="1:18" x14ac:dyDescent="0.25">
      <c r="A232" s="2">
        <v>2613</v>
      </c>
      <c r="B232">
        <v>798</v>
      </c>
      <c r="C232" s="11">
        <v>40813</v>
      </c>
      <c r="D232" t="s">
        <v>10</v>
      </c>
      <c r="E232">
        <v>0</v>
      </c>
      <c r="F232" s="3">
        <f t="shared" si="16"/>
        <v>40843</v>
      </c>
      <c r="G232">
        <v>0</v>
      </c>
      <c r="H232">
        <v>0.3</v>
      </c>
      <c r="I232" t="b">
        <v>0</v>
      </c>
      <c r="J232">
        <v>1524</v>
      </c>
      <c r="K232" t="b">
        <v>0</v>
      </c>
      <c r="L232" t="b">
        <v>0</v>
      </c>
      <c r="M232">
        <v>0</v>
      </c>
      <c r="N232">
        <v>6</v>
      </c>
      <c r="O232">
        <f t="shared" si="14"/>
        <v>49</v>
      </c>
      <c r="P232">
        <f t="shared" si="15"/>
        <v>19</v>
      </c>
      <c r="Q232" s="11">
        <f t="shared" ca="1" si="17"/>
        <v>46006</v>
      </c>
      <c r="R232" s="11">
        <f t="shared" ca="1" si="17"/>
        <v>46036</v>
      </c>
    </row>
    <row r="233" spans="1:18" x14ac:dyDescent="0.25">
      <c r="A233" s="2">
        <v>2614</v>
      </c>
      <c r="B233">
        <v>798</v>
      </c>
      <c r="C233" s="11">
        <v>40820</v>
      </c>
      <c r="D233" t="s">
        <v>10</v>
      </c>
      <c r="E233">
        <v>0</v>
      </c>
      <c r="F233" s="3">
        <f>C233+60</f>
        <v>40880</v>
      </c>
      <c r="G233">
        <v>0</v>
      </c>
      <c r="H233">
        <v>0</v>
      </c>
      <c r="I233" t="b">
        <v>1</v>
      </c>
      <c r="J233">
        <v>1524</v>
      </c>
      <c r="K233" t="b">
        <v>1</v>
      </c>
      <c r="L233" t="b">
        <v>0</v>
      </c>
      <c r="M233">
        <v>0</v>
      </c>
      <c r="N233">
        <v>6</v>
      </c>
      <c r="O233">
        <f t="shared" si="14"/>
        <v>42</v>
      </c>
      <c r="P233">
        <f t="shared" ref="P233:P234" si="18">O233-30</f>
        <v>12</v>
      </c>
      <c r="Q233" s="11">
        <f t="shared" ca="1" si="17"/>
        <v>46013</v>
      </c>
      <c r="R233" s="11">
        <f t="shared" ca="1" si="17"/>
        <v>46043</v>
      </c>
    </row>
    <row r="234" spans="1:18" x14ac:dyDescent="0.25">
      <c r="A234" s="2">
        <v>2615</v>
      </c>
      <c r="B234">
        <v>27</v>
      </c>
      <c r="C234" s="11">
        <v>40827</v>
      </c>
      <c r="D234" t="s">
        <v>10</v>
      </c>
      <c r="E234">
        <v>0</v>
      </c>
      <c r="F234" s="3">
        <f t="shared" si="16"/>
        <v>40857</v>
      </c>
      <c r="G234">
        <v>0</v>
      </c>
      <c r="H234">
        <v>0.2</v>
      </c>
      <c r="I234" t="b">
        <v>1</v>
      </c>
      <c r="J234">
        <v>1524</v>
      </c>
      <c r="K234" t="b">
        <v>0</v>
      </c>
      <c r="L234" t="b">
        <v>0</v>
      </c>
      <c r="M234">
        <v>0</v>
      </c>
      <c r="N234">
        <v>6</v>
      </c>
      <c r="O234">
        <f t="shared" si="14"/>
        <v>35</v>
      </c>
      <c r="P234">
        <f t="shared" si="18"/>
        <v>5</v>
      </c>
      <c r="Q234" s="11">
        <f t="shared" ca="1" si="17"/>
        <v>46020</v>
      </c>
      <c r="R234" s="11">
        <f t="shared" ca="1" si="17"/>
        <v>46050</v>
      </c>
    </row>
    <row r="235" spans="1:18" x14ac:dyDescent="0.25">
      <c r="A235" s="2">
        <v>2616</v>
      </c>
      <c r="B235">
        <v>3647</v>
      </c>
      <c r="C235" s="11">
        <v>40834</v>
      </c>
      <c r="D235" t="s">
        <v>10</v>
      </c>
      <c r="E235">
        <v>0</v>
      </c>
      <c r="F235" s="3">
        <f t="shared" si="16"/>
        <v>40864</v>
      </c>
      <c r="G235">
        <v>19</v>
      </c>
      <c r="H235">
        <v>0</v>
      </c>
      <c r="I235" t="b">
        <v>1</v>
      </c>
      <c r="J235">
        <v>1524</v>
      </c>
      <c r="K235" t="b">
        <v>0</v>
      </c>
      <c r="L235" t="b">
        <v>0</v>
      </c>
      <c r="M235">
        <v>0</v>
      </c>
      <c r="N235">
        <v>6</v>
      </c>
      <c r="O235">
        <f t="shared" si="14"/>
        <v>28</v>
      </c>
      <c r="P235">
        <f>O235-30</f>
        <v>-2</v>
      </c>
      <c r="Q235" s="11">
        <f t="shared" ca="1" si="17"/>
        <v>46027</v>
      </c>
      <c r="R235" s="11">
        <f t="shared" ca="1" si="17"/>
        <v>46057</v>
      </c>
    </row>
    <row r="236" spans="1:18" x14ac:dyDescent="0.25">
      <c r="A236" s="2">
        <v>2617</v>
      </c>
      <c r="B236">
        <v>2142</v>
      </c>
      <c r="C236" s="11">
        <v>40841</v>
      </c>
      <c r="D236" t="s">
        <v>10</v>
      </c>
      <c r="E236">
        <v>0</v>
      </c>
      <c r="F236" s="3">
        <f t="shared" si="16"/>
        <v>40871</v>
      </c>
      <c r="G236">
        <v>0</v>
      </c>
      <c r="H236">
        <v>0.3</v>
      </c>
      <c r="I236" t="b">
        <v>1</v>
      </c>
      <c r="J236">
        <v>1524</v>
      </c>
      <c r="K236" t="b">
        <v>0</v>
      </c>
      <c r="L236" t="b">
        <v>0</v>
      </c>
      <c r="M236">
        <v>0</v>
      </c>
      <c r="N236">
        <v>6</v>
      </c>
      <c r="O236">
        <f t="shared" si="14"/>
        <v>21</v>
      </c>
      <c r="P236">
        <f t="shared" ref="P236:P239" si="19">O236-30</f>
        <v>-9</v>
      </c>
      <c r="Q236" s="11">
        <f t="shared" ca="1" si="17"/>
        <v>46034</v>
      </c>
      <c r="R236" s="11">
        <f t="shared" ca="1" si="17"/>
        <v>46064</v>
      </c>
    </row>
    <row r="237" spans="1:18" x14ac:dyDescent="0.25">
      <c r="A237" s="2">
        <v>2618</v>
      </c>
      <c r="B237">
        <v>2345</v>
      </c>
      <c r="C237" s="11">
        <v>40848</v>
      </c>
      <c r="D237" t="s">
        <v>10</v>
      </c>
      <c r="E237">
        <v>0</v>
      </c>
      <c r="F237" s="3">
        <f t="shared" si="16"/>
        <v>40878</v>
      </c>
      <c r="G237">
        <v>0</v>
      </c>
      <c r="H237">
        <v>0</v>
      </c>
      <c r="I237" t="b">
        <v>0</v>
      </c>
      <c r="J237">
        <v>1524</v>
      </c>
      <c r="K237" t="b">
        <v>0</v>
      </c>
      <c r="L237" t="b">
        <v>0</v>
      </c>
      <c r="M237">
        <v>0</v>
      </c>
      <c r="N237">
        <v>6</v>
      </c>
      <c r="O237">
        <f t="shared" si="14"/>
        <v>14</v>
      </c>
      <c r="P237">
        <f t="shared" si="19"/>
        <v>-16</v>
      </c>
      <c r="Q237" s="11">
        <f t="shared" ca="1" si="17"/>
        <v>46041</v>
      </c>
      <c r="R237" s="11">
        <f t="shared" ca="1" si="17"/>
        <v>46071</v>
      </c>
    </row>
    <row r="238" spans="1:18" x14ac:dyDescent="0.25">
      <c r="A238" s="2">
        <v>2619</v>
      </c>
      <c r="B238">
        <v>2568</v>
      </c>
      <c r="C238" s="11">
        <v>40855</v>
      </c>
      <c r="D238" t="s">
        <v>10</v>
      </c>
      <c r="E238">
        <v>0</v>
      </c>
      <c r="F238" s="3">
        <f t="shared" si="16"/>
        <v>40885</v>
      </c>
      <c r="G238">
        <v>0</v>
      </c>
      <c r="H238">
        <v>0.3</v>
      </c>
      <c r="I238" t="b">
        <v>0</v>
      </c>
      <c r="J238">
        <v>1524</v>
      </c>
      <c r="K238" t="b">
        <v>0</v>
      </c>
      <c r="L238" t="b">
        <v>0</v>
      </c>
      <c r="M238">
        <v>0</v>
      </c>
      <c r="N238">
        <v>6</v>
      </c>
      <c r="O238">
        <f t="shared" si="14"/>
        <v>7</v>
      </c>
      <c r="P238">
        <f t="shared" si="19"/>
        <v>-23</v>
      </c>
      <c r="Q238" s="11">
        <f t="shared" ca="1" si="17"/>
        <v>46048</v>
      </c>
      <c r="R238" s="11">
        <f t="shared" ca="1" si="17"/>
        <v>46078</v>
      </c>
    </row>
    <row r="239" spans="1:18" x14ac:dyDescent="0.25">
      <c r="A239" s="2">
        <v>2620</v>
      </c>
      <c r="B239">
        <v>1395</v>
      </c>
      <c r="C239" s="11">
        <v>40862</v>
      </c>
      <c r="D239" t="s">
        <v>10</v>
      </c>
      <c r="E239">
        <v>0</v>
      </c>
      <c r="F239" s="3">
        <f t="shared" si="16"/>
        <v>40892</v>
      </c>
      <c r="G239">
        <v>0</v>
      </c>
      <c r="H239">
        <v>0</v>
      </c>
      <c r="I239" t="b">
        <v>0</v>
      </c>
      <c r="J239">
        <v>1524</v>
      </c>
      <c r="K239" t="b">
        <v>0</v>
      </c>
      <c r="L239" t="b">
        <v>0</v>
      </c>
      <c r="M239">
        <v>0</v>
      </c>
      <c r="N239">
        <v>6</v>
      </c>
      <c r="O239">
        <f t="shared" si="14"/>
        <v>0</v>
      </c>
      <c r="P239">
        <f t="shared" si="19"/>
        <v>-30</v>
      </c>
      <c r="Q239" s="11">
        <f t="shared" ca="1" si="17"/>
        <v>46055</v>
      </c>
      <c r="R239" s="11">
        <f t="shared" ca="1" si="17"/>
        <v>46085</v>
      </c>
    </row>
  </sheetData>
  <autoFilter ref="A1:R239" xr:uid="{F703CDA5-D59B-4CDD-AB3F-C117D8A4876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2314-8C48-486C-BFAE-CAC706760AC2}">
  <sheetPr codeName="Feuil5"/>
  <dimension ref="A1:R239"/>
  <sheetViews>
    <sheetView topLeftCell="A208" workbookViewId="0">
      <selection activeCell="F232" sqref="F232"/>
    </sheetView>
  </sheetViews>
  <sheetFormatPr baseColWidth="10" defaultRowHeight="15" x14ac:dyDescent="0.25"/>
  <cols>
    <col min="3" max="3" width="22.85546875" customWidth="1"/>
    <col min="4" max="4" width="7.140625" bestFit="1" customWidth="1"/>
    <col min="5" max="5" width="9" bestFit="1" customWidth="1"/>
    <col min="6" max="6" width="22.28515625" customWidth="1"/>
    <col min="7" max="7" width="12" bestFit="1" customWidth="1"/>
    <col min="8" max="8" width="9.5703125" bestFit="1" customWidth="1"/>
    <col min="9" max="9" width="14.140625" bestFit="1" customWidth="1"/>
    <col min="10" max="10" width="8.7109375" bestFit="1" customWidth="1"/>
    <col min="11" max="11" width="22.28515625" bestFit="1" customWidth="1"/>
    <col min="12" max="12" width="5.7109375" bestFit="1" customWidth="1"/>
    <col min="13" max="13" width="12" bestFit="1" customWidth="1"/>
    <col min="14" max="14" width="13.85546875" bestFit="1" customWidth="1"/>
    <col min="15" max="15" width="17.42578125" customWidth="1"/>
    <col min="16" max="16" width="16.7109375" customWidth="1"/>
    <col min="17" max="17" width="12.140625" bestFit="1" customWidth="1"/>
    <col min="18" max="18" width="18" bestFit="1" customWidth="1"/>
  </cols>
  <sheetData>
    <row r="1" spans="1:18" x14ac:dyDescent="0.25">
      <c r="A1" s="1" t="s">
        <v>124</v>
      </c>
      <c r="B1" s="1" t="s">
        <v>125</v>
      </c>
      <c r="C1" s="17" t="s">
        <v>7137</v>
      </c>
      <c r="D1" s="1" t="s">
        <v>0</v>
      </c>
      <c r="E1" s="1" t="s">
        <v>1</v>
      </c>
      <c r="F1" s="17" t="s">
        <v>7138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6" t="s">
        <v>7139</v>
      </c>
      <c r="P1" s="16" t="s">
        <v>7140</v>
      </c>
      <c r="Q1" s="16" t="s">
        <v>7141</v>
      </c>
      <c r="R1" s="16" t="s">
        <v>7142</v>
      </c>
    </row>
    <row r="2" spans="1:18" x14ac:dyDescent="0.25">
      <c r="A2" s="26">
        <v>2383</v>
      </c>
      <c r="B2" s="2">
        <v>1745</v>
      </c>
      <c r="C2" s="3">
        <v>39836</v>
      </c>
      <c r="D2" s="28" t="s">
        <v>10</v>
      </c>
      <c r="E2" s="26">
        <v>0</v>
      </c>
      <c r="F2" s="27">
        <v>39872</v>
      </c>
      <c r="G2" s="26">
        <v>0</v>
      </c>
      <c r="H2" s="29">
        <v>0</v>
      </c>
      <c r="I2" s="26" t="b">
        <v>1</v>
      </c>
      <c r="J2" s="26">
        <v>1524</v>
      </c>
      <c r="K2" s="26" t="b">
        <v>0</v>
      </c>
      <c r="L2" s="26" t="b">
        <v>0</v>
      </c>
      <c r="M2" s="26">
        <v>0</v>
      </c>
      <c r="N2" s="30">
        <v>6</v>
      </c>
      <c r="O2">
        <f t="shared" ref="O2:O65" si="0">DATEDIF(C2,DateFin,"d")</f>
        <v>1026</v>
      </c>
      <c r="P2">
        <f t="shared" ref="P2:P65" si="1">DATEDIF(F2,DateFin,"d")</f>
        <v>990</v>
      </c>
      <c r="Q2" s="11">
        <f ca="1">TODAY()-O2</f>
        <v>45029</v>
      </c>
      <c r="R2" s="11">
        <f ca="1">TODAY()-P2</f>
        <v>45065</v>
      </c>
    </row>
    <row r="3" spans="1:18" x14ac:dyDescent="0.25">
      <c r="A3" s="2">
        <v>2384</v>
      </c>
      <c r="B3" s="2">
        <v>707</v>
      </c>
      <c r="C3" s="3">
        <v>39837</v>
      </c>
      <c r="D3" s="4" t="s">
        <v>10</v>
      </c>
      <c r="E3" s="2">
        <v>0</v>
      </c>
      <c r="F3" s="3">
        <f>C3+30</f>
        <v>39867</v>
      </c>
      <c r="G3" s="2">
        <v>0</v>
      </c>
      <c r="H3" s="5">
        <v>0</v>
      </c>
      <c r="I3" s="2" t="b">
        <v>1</v>
      </c>
      <c r="J3" s="2">
        <v>1524</v>
      </c>
      <c r="K3" s="2" t="b">
        <v>0</v>
      </c>
      <c r="L3" s="2" t="b">
        <v>0</v>
      </c>
      <c r="M3" s="2">
        <v>0</v>
      </c>
      <c r="N3" s="6">
        <v>6</v>
      </c>
      <c r="O3">
        <f t="shared" si="0"/>
        <v>1025</v>
      </c>
      <c r="P3">
        <f t="shared" si="1"/>
        <v>995</v>
      </c>
      <c r="Q3" s="11">
        <f ca="1">TODAY()-O3</f>
        <v>45030</v>
      </c>
      <c r="R3" s="11">
        <f ca="1">TODAY()-P3</f>
        <v>45060</v>
      </c>
    </row>
    <row r="4" spans="1:18" x14ac:dyDescent="0.25">
      <c r="A4" s="26">
        <v>2385</v>
      </c>
      <c r="B4" s="2">
        <v>2937</v>
      </c>
      <c r="C4" s="3">
        <v>39842</v>
      </c>
      <c r="D4" s="4" t="s">
        <v>10</v>
      </c>
      <c r="E4" s="2">
        <v>0</v>
      </c>
      <c r="F4" s="3">
        <f t="shared" ref="F4:F21" si="2">C4+30</f>
        <v>39872</v>
      </c>
      <c r="G4" s="2">
        <v>0</v>
      </c>
      <c r="H4" s="5">
        <v>0</v>
      </c>
      <c r="I4" s="2" t="b">
        <v>1</v>
      </c>
      <c r="J4" s="2">
        <v>1524</v>
      </c>
      <c r="K4" s="2" t="b">
        <v>0</v>
      </c>
      <c r="L4" s="2" t="b">
        <v>0</v>
      </c>
      <c r="M4" s="2">
        <v>0</v>
      </c>
      <c r="N4" s="6">
        <v>6</v>
      </c>
      <c r="O4">
        <f t="shared" si="0"/>
        <v>1020</v>
      </c>
      <c r="P4">
        <f t="shared" si="1"/>
        <v>990</v>
      </c>
      <c r="Q4" s="11">
        <f t="shared" ref="Q4:R21" ca="1" si="3">TODAY()-O4</f>
        <v>45035</v>
      </c>
      <c r="R4" s="11">
        <f t="shared" ca="1" si="3"/>
        <v>45065</v>
      </c>
    </row>
    <row r="5" spans="1:18" x14ac:dyDescent="0.25">
      <c r="A5" s="2">
        <v>2386</v>
      </c>
      <c r="B5" s="2">
        <v>3647</v>
      </c>
      <c r="C5" s="3">
        <v>39844</v>
      </c>
      <c r="D5" s="4" t="s">
        <v>10</v>
      </c>
      <c r="E5" s="2">
        <v>0</v>
      </c>
      <c r="F5" s="3">
        <f t="shared" si="2"/>
        <v>39874</v>
      </c>
      <c r="G5" s="2">
        <v>0</v>
      </c>
      <c r="H5" s="5">
        <v>0</v>
      </c>
      <c r="I5" s="2" t="b">
        <v>1</v>
      </c>
      <c r="J5" s="2">
        <v>640</v>
      </c>
      <c r="K5" s="2" t="b">
        <v>1</v>
      </c>
      <c r="L5" s="2" t="b">
        <v>0</v>
      </c>
      <c r="M5" s="2">
        <v>0</v>
      </c>
      <c r="N5" s="6">
        <v>6</v>
      </c>
      <c r="O5">
        <f t="shared" si="0"/>
        <v>1018</v>
      </c>
      <c r="P5">
        <f t="shared" si="1"/>
        <v>988</v>
      </c>
      <c r="Q5" s="11">
        <f t="shared" ca="1" si="3"/>
        <v>45037</v>
      </c>
      <c r="R5" s="11">
        <f t="shared" ca="1" si="3"/>
        <v>45067</v>
      </c>
    </row>
    <row r="6" spans="1:18" x14ac:dyDescent="0.25">
      <c r="A6" s="26">
        <v>2387</v>
      </c>
      <c r="B6" s="2">
        <v>2952</v>
      </c>
      <c r="C6" s="3">
        <v>39844</v>
      </c>
      <c r="D6" s="4" t="s">
        <v>10</v>
      </c>
      <c r="E6" s="2">
        <v>0</v>
      </c>
      <c r="F6" s="3">
        <f t="shared" si="2"/>
        <v>39874</v>
      </c>
      <c r="G6" s="2">
        <v>30</v>
      </c>
      <c r="H6" s="5">
        <v>0.03</v>
      </c>
      <c r="I6" s="2" t="b">
        <v>1</v>
      </c>
      <c r="J6" s="2">
        <v>1524</v>
      </c>
      <c r="K6" s="2" t="b">
        <v>0</v>
      </c>
      <c r="L6" s="2" t="b">
        <v>0</v>
      </c>
      <c r="M6" s="2">
        <v>0</v>
      </c>
      <c r="N6" s="6">
        <v>6</v>
      </c>
      <c r="O6">
        <f t="shared" si="0"/>
        <v>1018</v>
      </c>
      <c r="P6">
        <f t="shared" si="1"/>
        <v>988</v>
      </c>
      <c r="Q6" s="11">
        <f t="shared" ca="1" si="3"/>
        <v>45037</v>
      </c>
      <c r="R6" s="11">
        <f t="shared" ca="1" si="3"/>
        <v>45067</v>
      </c>
    </row>
    <row r="7" spans="1:18" x14ac:dyDescent="0.25">
      <c r="A7" s="2">
        <v>2388</v>
      </c>
      <c r="B7" s="2">
        <v>933</v>
      </c>
      <c r="C7" s="3">
        <v>39848</v>
      </c>
      <c r="D7" s="4" t="s">
        <v>10</v>
      </c>
      <c r="E7" s="2">
        <v>0</v>
      </c>
      <c r="F7" s="3">
        <f t="shared" si="2"/>
        <v>39878</v>
      </c>
      <c r="G7" s="2">
        <v>0</v>
      </c>
      <c r="H7" s="5">
        <v>0</v>
      </c>
      <c r="I7" s="2" t="b">
        <v>1</v>
      </c>
      <c r="J7" s="2">
        <v>1524</v>
      </c>
      <c r="K7" s="2" t="b">
        <v>0</v>
      </c>
      <c r="L7" s="2" t="b">
        <v>0</v>
      </c>
      <c r="M7" s="2">
        <v>0</v>
      </c>
      <c r="N7" s="6">
        <v>6</v>
      </c>
      <c r="O7">
        <f t="shared" si="0"/>
        <v>1014</v>
      </c>
      <c r="P7">
        <f t="shared" si="1"/>
        <v>984</v>
      </c>
      <c r="Q7" s="11">
        <f t="shared" ca="1" si="3"/>
        <v>45041</v>
      </c>
      <c r="R7" s="11">
        <f t="shared" ca="1" si="3"/>
        <v>45071</v>
      </c>
    </row>
    <row r="8" spans="1:18" x14ac:dyDescent="0.25">
      <c r="A8" s="26">
        <v>2389</v>
      </c>
      <c r="B8" s="2">
        <v>3005</v>
      </c>
      <c r="C8" s="3">
        <v>39856</v>
      </c>
      <c r="D8" s="4" t="s">
        <v>10</v>
      </c>
      <c r="E8" s="2">
        <v>0</v>
      </c>
      <c r="F8" s="3">
        <f t="shared" si="2"/>
        <v>39886</v>
      </c>
      <c r="G8" s="2">
        <v>22</v>
      </c>
      <c r="H8" s="5">
        <v>0</v>
      </c>
      <c r="I8" s="2" t="b">
        <v>1</v>
      </c>
      <c r="J8" s="2">
        <v>1524</v>
      </c>
      <c r="K8" s="2" t="b">
        <v>0</v>
      </c>
      <c r="L8" s="2" t="b">
        <v>0</v>
      </c>
      <c r="M8" s="2">
        <v>0</v>
      </c>
      <c r="N8" s="6">
        <v>6</v>
      </c>
      <c r="O8">
        <f t="shared" si="0"/>
        <v>1006</v>
      </c>
      <c r="P8">
        <f t="shared" si="1"/>
        <v>976</v>
      </c>
      <c r="Q8" s="11">
        <f t="shared" ca="1" si="3"/>
        <v>45049</v>
      </c>
      <c r="R8" s="11">
        <f t="shared" ca="1" si="3"/>
        <v>45079</v>
      </c>
    </row>
    <row r="9" spans="1:18" x14ac:dyDescent="0.25">
      <c r="A9" s="2">
        <v>2390</v>
      </c>
      <c r="B9" s="2">
        <v>2937</v>
      </c>
      <c r="C9" s="3">
        <v>39864</v>
      </c>
      <c r="D9" s="4" t="s">
        <v>10</v>
      </c>
      <c r="E9" s="2">
        <v>0</v>
      </c>
      <c r="F9" s="3">
        <f t="shared" si="2"/>
        <v>39894</v>
      </c>
      <c r="G9" s="2">
        <v>19</v>
      </c>
      <c r="H9" s="5">
        <v>0</v>
      </c>
      <c r="I9" s="2" t="b">
        <v>1</v>
      </c>
      <c r="J9" s="2">
        <v>1524</v>
      </c>
      <c r="K9" s="2" t="b">
        <v>1</v>
      </c>
      <c r="L9" s="2" t="b">
        <v>0</v>
      </c>
      <c r="M9" s="2">
        <v>0</v>
      </c>
      <c r="N9" s="6">
        <v>6</v>
      </c>
      <c r="O9">
        <f t="shared" si="0"/>
        <v>998</v>
      </c>
      <c r="P9">
        <f t="shared" si="1"/>
        <v>968</v>
      </c>
      <c r="Q9" s="11">
        <f t="shared" ca="1" si="3"/>
        <v>45057</v>
      </c>
      <c r="R9" s="11">
        <f t="shared" ca="1" si="3"/>
        <v>45087</v>
      </c>
    </row>
    <row r="10" spans="1:18" x14ac:dyDescent="0.25">
      <c r="A10" s="26">
        <v>2391</v>
      </c>
      <c r="B10" s="2">
        <v>2971</v>
      </c>
      <c r="C10" s="3">
        <v>39872</v>
      </c>
      <c r="D10" s="4" t="s">
        <v>10</v>
      </c>
      <c r="E10" s="2">
        <v>0</v>
      </c>
      <c r="F10" s="3">
        <f t="shared" si="2"/>
        <v>39902</v>
      </c>
      <c r="G10" s="2">
        <v>0</v>
      </c>
      <c r="H10" s="5">
        <v>0</v>
      </c>
      <c r="I10" s="2" t="b">
        <v>1</v>
      </c>
      <c r="J10" s="2">
        <v>640</v>
      </c>
      <c r="K10" s="2" t="b">
        <v>1</v>
      </c>
      <c r="L10" s="2" t="b">
        <v>0</v>
      </c>
      <c r="M10" s="2">
        <v>0</v>
      </c>
      <c r="N10" s="6">
        <v>6</v>
      </c>
      <c r="O10">
        <f t="shared" si="0"/>
        <v>990</v>
      </c>
      <c r="P10">
        <f t="shared" si="1"/>
        <v>960</v>
      </c>
      <c r="Q10" s="11">
        <f t="shared" ca="1" si="3"/>
        <v>45065</v>
      </c>
      <c r="R10" s="11">
        <f t="shared" ca="1" si="3"/>
        <v>45095</v>
      </c>
    </row>
    <row r="11" spans="1:18" x14ac:dyDescent="0.25">
      <c r="A11" s="2">
        <v>2392</v>
      </c>
      <c r="B11" s="2">
        <v>3620</v>
      </c>
      <c r="C11" s="3">
        <v>39880</v>
      </c>
      <c r="D11" s="4" t="s">
        <v>10</v>
      </c>
      <c r="E11" s="2">
        <v>0</v>
      </c>
      <c r="F11" s="3">
        <f t="shared" si="2"/>
        <v>39910</v>
      </c>
      <c r="G11" s="2">
        <v>0</v>
      </c>
      <c r="H11" s="5">
        <v>0.03</v>
      </c>
      <c r="I11" s="2" t="b">
        <v>1</v>
      </c>
      <c r="J11" s="2">
        <v>1524</v>
      </c>
      <c r="K11" s="2" t="b">
        <v>0</v>
      </c>
      <c r="L11" s="2" t="b">
        <v>0</v>
      </c>
      <c r="M11" s="2">
        <v>0</v>
      </c>
      <c r="N11" s="6">
        <v>6</v>
      </c>
      <c r="O11">
        <f t="shared" si="0"/>
        <v>982</v>
      </c>
      <c r="P11">
        <f t="shared" si="1"/>
        <v>952</v>
      </c>
      <c r="Q11" s="11">
        <f t="shared" ca="1" si="3"/>
        <v>45073</v>
      </c>
      <c r="R11" s="11">
        <f t="shared" ca="1" si="3"/>
        <v>45103</v>
      </c>
    </row>
    <row r="12" spans="1:18" x14ac:dyDescent="0.25">
      <c r="A12" s="26">
        <v>2393</v>
      </c>
      <c r="B12" s="2">
        <v>2421</v>
      </c>
      <c r="C12" s="3">
        <v>39888</v>
      </c>
      <c r="D12" s="4" t="s">
        <v>10</v>
      </c>
      <c r="E12" s="2">
        <v>0</v>
      </c>
      <c r="F12" s="3">
        <f t="shared" si="2"/>
        <v>39918</v>
      </c>
      <c r="G12" s="2">
        <v>0</v>
      </c>
      <c r="H12" s="5">
        <v>0</v>
      </c>
      <c r="I12" s="2" t="b">
        <v>1</v>
      </c>
      <c r="J12" s="2">
        <v>1524</v>
      </c>
      <c r="K12" s="2" t="b">
        <v>0</v>
      </c>
      <c r="L12" s="2" t="b">
        <v>0</v>
      </c>
      <c r="M12" s="2">
        <v>0</v>
      </c>
      <c r="N12" s="6">
        <v>6</v>
      </c>
      <c r="O12">
        <f t="shared" si="0"/>
        <v>974</v>
      </c>
      <c r="P12">
        <f t="shared" si="1"/>
        <v>944</v>
      </c>
      <c r="Q12" s="11">
        <f t="shared" ca="1" si="3"/>
        <v>45081</v>
      </c>
      <c r="R12" s="11">
        <f t="shared" ca="1" si="3"/>
        <v>45111</v>
      </c>
    </row>
    <row r="13" spans="1:18" x14ac:dyDescent="0.25">
      <c r="A13" s="2">
        <v>2394</v>
      </c>
      <c r="B13" s="2">
        <v>3659</v>
      </c>
      <c r="C13" s="3">
        <v>39896</v>
      </c>
      <c r="D13" s="4" t="s">
        <v>10</v>
      </c>
      <c r="E13" s="2">
        <v>0</v>
      </c>
      <c r="F13" s="3">
        <f t="shared" si="2"/>
        <v>39926</v>
      </c>
      <c r="G13" s="2">
        <v>85</v>
      </c>
      <c r="H13" s="5">
        <v>0</v>
      </c>
      <c r="I13" s="2" t="b">
        <v>1</v>
      </c>
      <c r="J13" s="2">
        <v>1524</v>
      </c>
      <c r="K13" s="2" t="b">
        <v>0</v>
      </c>
      <c r="L13" s="2" t="b">
        <v>0</v>
      </c>
      <c r="M13" s="2">
        <v>0</v>
      </c>
      <c r="N13" s="6">
        <v>6</v>
      </c>
      <c r="O13">
        <f t="shared" si="0"/>
        <v>966</v>
      </c>
      <c r="P13">
        <f t="shared" si="1"/>
        <v>936</v>
      </c>
      <c r="Q13" s="11">
        <f t="shared" ca="1" si="3"/>
        <v>45089</v>
      </c>
      <c r="R13" s="11">
        <f t="shared" ca="1" si="3"/>
        <v>45119</v>
      </c>
    </row>
    <row r="14" spans="1:18" x14ac:dyDescent="0.25">
      <c r="A14" s="26">
        <v>2395</v>
      </c>
      <c r="B14" s="2">
        <v>1277</v>
      </c>
      <c r="C14" s="3">
        <v>39904</v>
      </c>
      <c r="D14" s="4" t="s">
        <v>10</v>
      </c>
      <c r="E14" s="2">
        <v>500</v>
      </c>
      <c r="F14" s="3">
        <f t="shared" si="2"/>
        <v>39934</v>
      </c>
      <c r="G14" s="2">
        <v>69</v>
      </c>
      <c r="H14" s="5">
        <v>0</v>
      </c>
      <c r="I14" s="2" t="b">
        <v>1</v>
      </c>
      <c r="J14" s="2">
        <v>1524</v>
      </c>
      <c r="K14" s="2" t="b">
        <v>0</v>
      </c>
      <c r="L14" s="2" t="b">
        <v>0</v>
      </c>
      <c r="M14" s="2">
        <v>0</v>
      </c>
      <c r="N14" s="6">
        <v>6</v>
      </c>
      <c r="O14">
        <f t="shared" si="0"/>
        <v>958</v>
      </c>
      <c r="P14">
        <f t="shared" si="1"/>
        <v>928</v>
      </c>
      <c r="Q14" s="11">
        <f t="shared" ca="1" si="3"/>
        <v>45097</v>
      </c>
      <c r="R14" s="11">
        <f t="shared" ca="1" si="3"/>
        <v>45127</v>
      </c>
    </row>
    <row r="15" spans="1:18" x14ac:dyDescent="0.25">
      <c r="A15" s="2">
        <v>2396</v>
      </c>
      <c r="B15" s="2">
        <v>3660</v>
      </c>
      <c r="C15" s="3">
        <v>39912</v>
      </c>
      <c r="D15" s="4" t="s">
        <v>10</v>
      </c>
      <c r="E15" s="2">
        <v>0</v>
      </c>
      <c r="F15" s="3">
        <f t="shared" si="2"/>
        <v>39942</v>
      </c>
      <c r="G15" s="2">
        <v>25</v>
      </c>
      <c r="H15" s="5">
        <v>0</v>
      </c>
      <c r="I15" s="2" t="b">
        <v>1</v>
      </c>
      <c r="J15" s="2">
        <v>640</v>
      </c>
      <c r="K15" s="2" t="b">
        <v>1</v>
      </c>
      <c r="L15" s="2" t="b">
        <v>0</v>
      </c>
      <c r="M15" s="2">
        <v>0</v>
      </c>
      <c r="N15" s="6">
        <v>6</v>
      </c>
      <c r="O15">
        <f t="shared" si="0"/>
        <v>950</v>
      </c>
      <c r="P15">
        <f t="shared" si="1"/>
        <v>920</v>
      </c>
      <c r="Q15" s="11">
        <f t="shared" ca="1" si="3"/>
        <v>45105</v>
      </c>
      <c r="R15" s="11">
        <f t="shared" ca="1" si="3"/>
        <v>45135</v>
      </c>
    </row>
    <row r="16" spans="1:18" x14ac:dyDescent="0.25">
      <c r="A16" s="26">
        <v>2397</v>
      </c>
      <c r="B16" s="2">
        <v>2478</v>
      </c>
      <c r="C16" s="3">
        <v>39920</v>
      </c>
      <c r="D16" s="4" t="s">
        <v>10</v>
      </c>
      <c r="E16" s="2">
        <v>0</v>
      </c>
      <c r="F16" s="3">
        <f t="shared" si="2"/>
        <v>39950</v>
      </c>
      <c r="G16" s="2">
        <v>14</v>
      </c>
      <c r="H16" s="5">
        <v>0</v>
      </c>
      <c r="I16" s="2" t="b">
        <v>1</v>
      </c>
      <c r="J16" s="2">
        <v>640</v>
      </c>
      <c r="K16" s="2" t="b">
        <v>1</v>
      </c>
      <c r="L16" s="2" t="b">
        <v>0</v>
      </c>
      <c r="M16" s="2">
        <v>0</v>
      </c>
      <c r="N16" s="6">
        <v>6</v>
      </c>
      <c r="O16">
        <f t="shared" si="0"/>
        <v>942</v>
      </c>
      <c r="P16">
        <f t="shared" si="1"/>
        <v>912</v>
      </c>
      <c r="Q16" s="11">
        <f t="shared" ca="1" si="3"/>
        <v>45113</v>
      </c>
      <c r="R16" s="11">
        <f t="shared" ca="1" si="3"/>
        <v>45143</v>
      </c>
    </row>
    <row r="17" spans="1:18" x14ac:dyDescent="0.25">
      <c r="A17" s="2">
        <v>2398</v>
      </c>
      <c r="B17" s="2">
        <v>1546</v>
      </c>
      <c r="C17" s="3">
        <v>39928</v>
      </c>
      <c r="D17" s="4" t="s">
        <v>10</v>
      </c>
      <c r="E17" s="2">
        <v>0</v>
      </c>
      <c r="F17" s="3">
        <f t="shared" si="2"/>
        <v>39958</v>
      </c>
      <c r="G17" s="2">
        <v>92</v>
      </c>
      <c r="H17" s="5">
        <v>0</v>
      </c>
      <c r="I17" s="2" t="b">
        <v>1</v>
      </c>
      <c r="J17" s="2">
        <v>1524</v>
      </c>
      <c r="K17" s="2" t="b">
        <v>0</v>
      </c>
      <c r="L17" s="2" t="b">
        <v>0</v>
      </c>
      <c r="M17" s="2">
        <v>0</v>
      </c>
      <c r="N17" s="6">
        <v>6</v>
      </c>
      <c r="O17">
        <f t="shared" si="0"/>
        <v>934</v>
      </c>
      <c r="P17">
        <f t="shared" si="1"/>
        <v>904</v>
      </c>
      <c r="Q17" s="11">
        <f t="shared" ca="1" si="3"/>
        <v>45121</v>
      </c>
      <c r="R17" s="11">
        <f t="shared" ca="1" si="3"/>
        <v>45151</v>
      </c>
    </row>
    <row r="18" spans="1:18" x14ac:dyDescent="0.25">
      <c r="A18" s="26">
        <v>2399</v>
      </c>
      <c r="B18" s="2">
        <v>720</v>
      </c>
      <c r="C18" s="3">
        <v>39936</v>
      </c>
      <c r="D18" s="4" t="s">
        <v>10</v>
      </c>
      <c r="E18" s="2">
        <v>0</v>
      </c>
      <c r="F18" s="3">
        <f t="shared" si="2"/>
        <v>39966</v>
      </c>
      <c r="G18" s="2">
        <v>32</v>
      </c>
      <c r="H18" s="5">
        <v>0</v>
      </c>
      <c r="I18" s="2" t="b">
        <v>1</v>
      </c>
      <c r="J18" s="2">
        <v>1524</v>
      </c>
      <c r="K18" s="2" t="b">
        <v>0</v>
      </c>
      <c r="L18" s="2" t="b">
        <v>0</v>
      </c>
      <c r="M18" s="2">
        <v>0</v>
      </c>
      <c r="N18" s="6">
        <v>6</v>
      </c>
      <c r="O18">
        <f t="shared" si="0"/>
        <v>926</v>
      </c>
      <c r="P18">
        <f t="shared" si="1"/>
        <v>896</v>
      </c>
      <c r="Q18" s="11">
        <f t="shared" ca="1" si="3"/>
        <v>45129</v>
      </c>
      <c r="R18" s="11">
        <f t="shared" ca="1" si="3"/>
        <v>45159</v>
      </c>
    </row>
    <row r="19" spans="1:18" x14ac:dyDescent="0.25">
      <c r="A19" s="2">
        <v>2400</v>
      </c>
      <c r="B19" s="2">
        <v>1559</v>
      </c>
      <c r="C19" s="3">
        <v>39947</v>
      </c>
      <c r="D19" s="4" t="s">
        <v>10</v>
      </c>
      <c r="E19" s="2">
        <v>0</v>
      </c>
      <c r="F19" s="3">
        <f t="shared" si="2"/>
        <v>39977</v>
      </c>
      <c r="G19" s="2">
        <v>59</v>
      </c>
      <c r="H19" s="5">
        <v>0</v>
      </c>
      <c r="I19" s="2" t="b">
        <v>1</v>
      </c>
      <c r="J19" s="2">
        <v>1524</v>
      </c>
      <c r="K19" s="2" t="b">
        <v>0</v>
      </c>
      <c r="L19" s="2" t="b">
        <v>0</v>
      </c>
      <c r="M19" s="2">
        <v>0</v>
      </c>
      <c r="N19" s="6">
        <v>6</v>
      </c>
      <c r="O19">
        <f t="shared" si="0"/>
        <v>915</v>
      </c>
      <c r="P19">
        <f t="shared" si="1"/>
        <v>885</v>
      </c>
      <c r="Q19" s="11">
        <f t="shared" ca="1" si="3"/>
        <v>45140</v>
      </c>
      <c r="R19" s="11">
        <f t="shared" ca="1" si="3"/>
        <v>45170</v>
      </c>
    </row>
    <row r="20" spans="1:18" x14ac:dyDescent="0.25">
      <c r="A20" s="26">
        <v>2401</v>
      </c>
      <c r="B20" s="2">
        <v>2359</v>
      </c>
      <c r="C20" s="3">
        <v>39955</v>
      </c>
      <c r="D20" s="4" t="s">
        <v>10</v>
      </c>
      <c r="E20" s="2">
        <v>0</v>
      </c>
      <c r="F20" s="3">
        <f t="shared" si="2"/>
        <v>39985</v>
      </c>
      <c r="G20" s="2">
        <v>59</v>
      </c>
      <c r="H20" s="5">
        <v>0.05</v>
      </c>
      <c r="I20" s="2" t="b">
        <v>1</v>
      </c>
      <c r="J20" s="2">
        <v>1524</v>
      </c>
      <c r="K20" s="2" t="b">
        <v>0</v>
      </c>
      <c r="L20" s="2" t="b">
        <v>0</v>
      </c>
      <c r="M20" s="2">
        <v>0</v>
      </c>
      <c r="N20" s="6">
        <v>6</v>
      </c>
      <c r="O20">
        <f t="shared" si="0"/>
        <v>907</v>
      </c>
      <c r="P20">
        <f t="shared" si="1"/>
        <v>877</v>
      </c>
      <c r="Q20" s="11">
        <f t="shared" ca="1" si="3"/>
        <v>45148</v>
      </c>
      <c r="R20" s="11">
        <f t="shared" ca="1" si="3"/>
        <v>45178</v>
      </c>
    </row>
    <row r="21" spans="1:18" x14ac:dyDescent="0.25">
      <c r="A21" s="2">
        <v>2402</v>
      </c>
      <c r="B21" s="2">
        <v>2937</v>
      </c>
      <c r="C21" s="3">
        <v>39982</v>
      </c>
      <c r="D21" s="4" t="s">
        <v>10</v>
      </c>
      <c r="E21" s="2">
        <v>0</v>
      </c>
      <c r="F21" s="3">
        <f t="shared" si="2"/>
        <v>40012</v>
      </c>
      <c r="G21" s="2">
        <v>0</v>
      </c>
      <c r="H21" s="5">
        <v>0</v>
      </c>
      <c r="I21" s="2" t="b">
        <v>1</v>
      </c>
      <c r="J21" s="2">
        <v>1524</v>
      </c>
      <c r="K21" s="2" t="b">
        <v>0</v>
      </c>
      <c r="L21" s="2" t="b">
        <v>0</v>
      </c>
      <c r="M21" s="2">
        <v>0</v>
      </c>
      <c r="N21" s="6">
        <v>6</v>
      </c>
      <c r="O21">
        <f t="shared" si="0"/>
        <v>880</v>
      </c>
      <c r="P21">
        <f t="shared" si="1"/>
        <v>850</v>
      </c>
      <c r="Q21" s="11">
        <f t="shared" ca="1" si="3"/>
        <v>45175</v>
      </c>
      <c r="R21" s="11">
        <f t="shared" ca="1" si="3"/>
        <v>45205</v>
      </c>
    </row>
    <row r="22" spans="1:18" x14ac:dyDescent="0.25">
      <c r="A22" s="31">
        <v>2403</v>
      </c>
      <c r="B22" s="2">
        <v>1095</v>
      </c>
      <c r="C22" s="27">
        <v>39984</v>
      </c>
      <c r="D22" s="28" t="s">
        <v>10</v>
      </c>
      <c r="E22" s="26">
        <v>0</v>
      </c>
      <c r="F22" s="27">
        <v>40025</v>
      </c>
      <c r="G22" s="26">
        <v>0</v>
      </c>
      <c r="H22" s="29">
        <v>0</v>
      </c>
      <c r="I22" s="26" t="b">
        <v>1</v>
      </c>
      <c r="J22" s="26">
        <v>1524</v>
      </c>
      <c r="K22" s="26" t="b">
        <v>0</v>
      </c>
      <c r="L22" s="26" t="b">
        <v>0</v>
      </c>
      <c r="M22" s="26">
        <v>0</v>
      </c>
      <c r="N22" s="30">
        <v>6</v>
      </c>
      <c r="O22">
        <f t="shared" si="0"/>
        <v>878</v>
      </c>
      <c r="P22">
        <f t="shared" si="1"/>
        <v>837</v>
      </c>
      <c r="Q22" s="11">
        <f ca="1">TODAY()-O22</f>
        <v>45177</v>
      </c>
      <c r="R22" s="11">
        <f ca="1">TODAY()-P22</f>
        <v>45218</v>
      </c>
    </row>
    <row r="23" spans="1:18" x14ac:dyDescent="0.25">
      <c r="A23" s="2">
        <v>2404</v>
      </c>
      <c r="B23" s="2">
        <v>2937</v>
      </c>
      <c r="C23" s="3">
        <v>40002</v>
      </c>
      <c r="D23" s="4" t="s">
        <v>10</v>
      </c>
      <c r="E23" s="2">
        <v>0</v>
      </c>
      <c r="F23" s="3">
        <f>C23+30</f>
        <v>40032</v>
      </c>
      <c r="G23" s="2">
        <v>0</v>
      </c>
      <c r="H23" s="5">
        <v>0</v>
      </c>
      <c r="I23" s="2" t="b">
        <v>1</v>
      </c>
      <c r="J23" s="2">
        <v>1524</v>
      </c>
      <c r="K23" s="2" t="b">
        <v>0</v>
      </c>
      <c r="L23" s="2" t="b">
        <v>0</v>
      </c>
      <c r="M23" s="2">
        <v>0</v>
      </c>
      <c r="N23" s="6">
        <v>6</v>
      </c>
      <c r="O23">
        <f t="shared" si="0"/>
        <v>860</v>
      </c>
      <c r="P23">
        <f t="shared" si="1"/>
        <v>830</v>
      </c>
      <c r="Q23" s="11">
        <f ca="1">TODAY()-O23</f>
        <v>45195</v>
      </c>
      <c r="R23" s="11">
        <f ca="1">TODAY()-P23</f>
        <v>45225</v>
      </c>
    </row>
    <row r="24" spans="1:18" x14ac:dyDescent="0.25">
      <c r="A24" s="2">
        <v>2405</v>
      </c>
      <c r="B24" s="2">
        <v>798</v>
      </c>
      <c r="C24" s="3">
        <v>40002</v>
      </c>
      <c r="D24" s="4" t="s">
        <v>10</v>
      </c>
      <c r="E24" s="2">
        <v>0</v>
      </c>
      <c r="F24" s="3">
        <f t="shared" ref="F24:F87" si="4">C24+30</f>
        <v>40032</v>
      </c>
      <c r="G24" s="2">
        <v>0</v>
      </c>
      <c r="H24" s="5">
        <v>0</v>
      </c>
      <c r="I24" s="2" t="b">
        <v>1</v>
      </c>
      <c r="J24" s="2">
        <v>1524</v>
      </c>
      <c r="K24" s="2" t="b">
        <v>0</v>
      </c>
      <c r="L24" s="2" t="b">
        <v>0</v>
      </c>
      <c r="M24" s="2">
        <v>0</v>
      </c>
      <c r="N24" s="6">
        <v>6</v>
      </c>
      <c r="O24">
        <f t="shared" si="0"/>
        <v>860</v>
      </c>
      <c r="P24">
        <f t="shared" si="1"/>
        <v>830</v>
      </c>
      <c r="Q24" s="11">
        <f t="shared" ref="Q24:R87" ca="1" si="5">TODAY()-O24</f>
        <v>45195</v>
      </c>
      <c r="R24" s="11">
        <f t="shared" ca="1" si="5"/>
        <v>45225</v>
      </c>
    </row>
    <row r="25" spans="1:18" x14ac:dyDescent="0.25">
      <c r="A25" s="2">
        <v>2406</v>
      </c>
      <c r="B25" s="2">
        <v>1472</v>
      </c>
      <c r="C25" s="3">
        <v>40011</v>
      </c>
      <c r="D25" s="4" t="s">
        <v>10</v>
      </c>
      <c r="E25" s="2">
        <v>0</v>
      </c>
      <c r="F25" s="3">
        <f t="shared" si="4"/>
        <v>40041</v>
      </c>
      <c r="G25" s="2">
        <v>0</v>
      </c>
      <c r="H25" s="5">
        <v>0</v>
      </c>
      <c r="I25" s="2" t="b">
        <v>1</v>
      </c>
      <c r="J25" s="2">
        <v>640</v>
      </c>
      <c r="K25" s="2" t="b">
        <v>1</v>
      </c>
      <c r="L25" s="2" t="b">
        <v>0</v>
      </c>
      <c r="M25" s="2">
        <v>0</v>
      </c>
      <c r="N25" s="6">
        <v>6</v>
      </c>
      <c r="O25">
        <f t="shared" si="0"/>
        <v>851</v>
      </c>
      <c r="P25">
        <f t="shared" si="1"/>
        <v>821</v>
      </c>
      <c r="Q25" s="11">
        <f t="shared" ca="1" si="5"/>
        <v>45204</v>
      </c>
      <c r="R25" s="11">
        <f t="shared" ca="1" si="5"/>
        <v>45234</v>
      </c>
    </row>
    <row r="26" spans="1:18" x14ac:dyDescent="0.25">
      <c r="A26" s="2">
        <v>2407</v>
      </c>
      <c r="B26" s="2">
        <v>1277</v>
      </c>
      <c r="C26" s="3">
        <v>40015</v>
      </c>
      <c r="D26" s="4" t="s">
        <v>10</v>
      </c>
      <c r="E26" s="2">
        <v>0</v>
      </c>
      <c r="F26" s="3">
        <f t="shared" si="4"/>
        <v>40045</v>
      </c>
      <c r="G26" s="2">
        <v>30</v>
      </c>
      <c r="H26" s="5">
        <v>0.03</v>
      </c>
      <c r="I26" s="2" t="b">
        <v>1</v>
      </c>
      <c r="J26" s="2">
        <v>1524</v>
      </c>
      <c r="K26" s="2" t="b">
        <v>0</v>
      </c>
      <c r="L26" s="2" t="b">
        <v>0</v>
      </c>
      <c r="M26" s="2">
        <v>0</v>
      </c>
      <c r="N26" s="6">
        <v>6</v>
      </c>
      <c r="O26">
        <f t="shared" si="0"/>
        <v>847</v>
      </c>
      <c r="P26">
        <f t="shared" si="1"/>
        <v>817</v>
      </c>
      <c r="Q26" s="11">
        <f t="shared" ca="1" si="5"/>
        <v>45208</v>
      </c>
      <c r="R26" s="11">
        <f t="shared" ca="1" si="5"/>
        <v>45238</v>
      </c>
    </row>
    <row r="27" spans="1:18" x14ac:dyDescent="0.25">
      <c r="A27" s="2">
        <v>2408</v>
      </c>
      <c r="B27" s="2">
        <v>3624</v>
      </c>
      <c r="C27" s="3">
        <v>40016</v>
      </c>
      <c r="D27" s="4" t="s">
        <v>10</v>
      </c>
      <c r="E27" s="2">
        <v>0</v>
      </c>
      <c r="F27" s="3">
        <f t="shared" si="4"/>
        <v>40046</v>
      </c>
      <c r="G27" s="2">
        <v>0</v>
      </c>
      <c r="H27" s="5">
        <v>0</v>
      </c>
      <c r="I27" s="2" t="b">
        <v>1</v>
      </c>
      <c r="J27" s="2">
        <v>1524</v>
      </c>
      <c r="K27" s="2" t="b">
        <v>0</v>
      </c>
      <c r="L27" s="2" t="b">
        <v>0</v>
      </c>
      <c r="M27" s="2">
        <v>0</v>
      </c>
      <c r="N27" s="6">
        <v>6</v>
      </c>
      <c r="O27">
        <f t="shared" si="0"/>
        <v>846</v>
      </c>
      <c r="P27">
        <f t="shared" si="1"/>
        <v>816</v>
      </c>
      <c r="Q27" s="11">
        <f t="shared" ca="1" si="5"/>
        <v>45209</v>
      </c>
      <c r="R27" s="11">
        <f t="shared" ca="1" si="5"/>
        <v>45239</v>
      </c>
    </row>
    <row r="28" spans="1:18" x14ac:dyDescent="0.25">
      <c r="A28" s="2">
        <v>2409</v>
      </c>
      <c r="B28" s="2">
        <v>3638</v>
      </c>
      <c r="C28" s="3">
        <v>40022</v>
      </c>
      <c r="D28" s="4" t="s">
        <v>10</v>
      </c>
      <c r="E28" s="2">
        <v>0</v>
      </c>
      <c r="F28" s="3">
        <f t="shared" si="4"/>
        <v>40052</v>
      </c>
      <c r="G28" s="2">
        <v>22</v>
      </c>
      <c r="H28" s="5">
        <v>0</v>
      </c>
      <c r="I28" s="2" t="b">
        <v>1</v>
      </c>
      <c r="J28" s="2">
        <v>1524</v>
      </c>
      <c r="K28" s="2" t="b">
        <v>0</v>
      </c>
      <c r="L28" s="2" t="b">
        <v>0</v>
      </c>
      <c r="M28" s="2">
        <v>0</v>
      </c>
      <c r="N28" s="6">
        <v>6</v>
      </c>
      <c r="O28">
        <f t="shared" si="0"/>
        <v>840</v>
      </c>
      <c r="P28">
        <f t="shared" si="1"/>
        <v>810</v>
      </c>
      <c r="Q28" s="11">
        <f t="shared" ca="1" si="5"/>
        <v>45215</v>
      </c>
      <c r="R28" s="11">
        <f t="shared" ca="1" si="5"/>
        <v>45245</v>
      </c>
    </row>
    <row r="29" spans="1:18" x14ac:dyDescent="0.25">
      <c r="A29" s="2">
        <v>2410</v>
      </c>
      <c r="B29" s="2">
        <v>1559</v>
      </c>
      <c r="C29" s="3">
        <v>40022</v>
      </c>
      <c r="D29" s="4" t="s">
        <v>10</v>
      </c>
      <c r="E29" s="2">
        <v>0</v>
      </c>
      <c r="F29" s="3">
        <f t="shared" si="4"/>
        <v>40052</v>
      </c>
      <c r="G29" s="2">
        <v>19</v>
      </c>
      <c r="H29" s="5">
        <v>0</v>
      </c>
      <c r="I29" s="2" t="b">
        <v>1</v>
      </c>
      <c r="J29" s="2">
        <v>1524</v>
      </c>
      <c r="K29" s="2" t="b">
        <v>1</v>
      </c>
      <c r="L29" s="2" t="b">
        <v>0</v>
      </c>
      <c r="M29" s="2">
        <v>0</v>
      </c>
      <c r="N29" s="6">
        <v>6</v>
      </c>
      <c r="O29">
        <f t="shared" si="0"/>
        <v>840</v>
      </c>
      <c r="P29">
        <f t="shared" si="1"/>
        <v>810</v>
      </c>
      <c r="Q29" s="11">
        <f t="shared" ca="1" si="5"/>
        <v>45215</v>
      </c>
      <c r="R29" s="11">
        <f t="shared" ca="1" si="5"/>
        <v>45245</v>
      </c>
    </row>
    <row r="30" spans="1:18" x14ac:dyDescent="0.25">
      <c r="A30" s="2">
        <v>2411</v>
      </c>
      <c r="B30" s="2">
        <v>2971</v>
      </c>
      <c r="C30" s="3">
        <v>40025</v>
      </c>
      <c r="D30" s="4" t="s">
        <v>10</v>
      </c>
      <c r="E30" s="2">
        <v>0</v>
      </c>
      <c r="F30" s="3">
        <f t="shared" si="4"/>
        <v>40055</v>
      </c>
      <c r="G30" s="2">
        <v>0</v>
      </c>
      <c r="H30" s="5">
        <v>0</v>
      </c>
      <c r="I30" s="2" t="b">
        <v>1</v>
      </c>
      <c r="J30" s="2">
        <v>640</v>
      </c>
      <c r="K30" s="2" t="b">
        <v>1</v>
      </c>
      <c r="L30" s="2" t="b">
        <v>0</v>
      </c>
      <c r="M30" s="2">
        <v>0</v>
      </c>
      <c r="N30" s="6">
        <v>6</v>
      </c>
      <c r="O30">
        <f t="shared" si="0"/>
        <v>837</v>
      </c>
      <c r="P30">
        <f t="shared" si="1"/>
        <v>807</v>
      </c>
      <c r="Q30" s="11">
        <f t="shared" ca="1" si="5"/>
        <v>45218</v>
      </c>
      <c r="R30" s="11">
        <f t="shared" ca="1" si="5"/>
        <v>45248</v>
      </c>
    </row>
    <row r="31" spans="1:18" x14ac:dyDescent="0.25">
      <c r="A31" s="2">
        <v>2412</v>
      </c>
      <c r="B31" s="2">
        <v>3620</v>
      </c>
      <c r="C31" s="3">
        <v>40060</v>
      </c>
      <c r="D31" s="4" t="s">
        <v>10</v>
      </c>
      <c r="E31" s="2">
        <v>0</v>
      </c>
      <c r="F31" s="3">
        <f t="shared" si="4"/>
        <v>40090</v>
      </c>
      <c r="G31" s="2">
        <v>0</v>
      </c>
      <c r="H31" s="5">
        <v>0.03</v>
      </c>
      <c r="I31" s="2" t="b">
        <v>1</v>
      </c>
      <c r="J31" s="2">
        <v>1524</v>
      </c>
      <c r="K31" s="2" t="b">
        <v>0</v>
      </c>
      <c r="L31" s="2" t="b">
        <v>0</v>
      </c>
      <c r="M31" s="2">
        <v>0</v>
      </c>
      <c r="N31" s="6">
        <v>6</v>
      </c>
      <c r="O31">
        <f t="shared" si="0"/>
        <v>802</v>
      </c>
      <c r="P31">
        <f t="shared" si="1"/>
        <v>772</v>
      </c>
      <c r="Q31" s="11">
        <f t="shared" ca="1" si="5"/>
        <v>45253</v>
      </c>
      <c r="R31" s="11">
        <f t="shared" ca="1" si="5"/>
        <v>45283</v>
      </c>
    </row>
    <row r="32" spans="1:18" x14ac:dyDescent="0.25">
      <c r="A32" s="2">
        <v>2413</v>
      </c>
      <c r="B32" s="2">
        <v>2421</v>
      </c>
      <c r="C32" s="3">
        <v>40078</v>
      </c>
      <c r="D32" s="4" t="s">
        <v>10</v>
      </c>
      <c r="E32" s="2">
        <v>0</v>
      </c>
      <c r="F32" s="3">
        <f t="shared" si="4"/>
        <v>40108</v>
      </c>
      <c r="G32" s="2">
        <v>0</v>
      </c>
      <c r="H32" s="5">
        <v>0</v>
      </c>
      <c r="I32" s="2" t="b">
        <v>1</v>
      </c>
      <c r="J32" s="2">
        <v>1524</v>
      </c>
      <c r="K32" s="2" t="b">
        <v>0</v>
      </c>
      <c r="L32" s="2" t="b">
        <v>0</v>
      </c>
      <c r="M32" s="2">
        <v>0</v>
      </c>
      <c r="N32" s="6">
        <v>6</v>
      </c>
      <c r="O32">
        <f t="shared" si="0"/>
        <v>784</v>
      </c>
      <c r="P32">
        <f t="shared" si="1"/>
        <v>754</v>
      </c>
      <c r="Q32" s="11">
        <f t="shared" ca="1" si="5"/>
        <v>45271</v>
      </c>
      <c r="R32" s="11">
        <f t="shared" ca="1" si="5"/>
        <v>45301</v>
      </c>
    </row>
    <row r="33" spans="1:18" x14ac:dyDescent="0.25">
      <c r="A33" s="2">
        <v>2414</v>
      </c>
      <c r="B33" s="2">
        <v>3659</v>
      </c>
      <c r="C33" s="3">
        <v>40074</v>
      </c>
      <c r="D33" s="4" t="s">
        <v>10</v>
      </c>
      <c r="E33" s="2">
        <v>0</v>
      </c>
      <c r="F33" s="3">
        <f t="shared" si="4"/>
        <v>40104</v>
      </c>
      <c r="G33" s="2">
        <v>85</v>
      </c>
      <c r="H33" s="5">
        <v>0</v>
      </c>
      <c r="I33" s="2" t="b">
        <v>1</v>
      </c>
      <c r="J33" s="2">
        <v>1524</v>
      </c>
      <c r="K33" s="2" t="b">
        <v>0</v>
      </c>
      <c r="L33" s="2" t="b">
        <v>0</v>
      </c>
      <c r="M33" s="2">
        <v>0</v>
      </c>
      <c r="N33" s="6">
        <v>6</v>
      </c>
      <c r="O33">
        <f t="shared" si="0"/>
        <v>788</v>
      </c>
      <c r="P33">
        <f t="shared" si="1"/>
        <v>758</v>
      </c>
      <c r="Q33" s="11">
        <f t="shared" ca="1" si="5"/>
        <v>45267</v>
      </c>
      <c r="R33" s="11">
        <f t="shared" ca="1" si="5"/>
        <v>45297</v>
      </c>
    </row>
    <row r="34" spans="1:18" x14ac:dyDescent="0.25">
      <c r="A34" s="2">
        <v>2415</v>
      </c>
      <c r="B34" s="2">
        <v>2829</v>
      </c>
      <c r="C34" s="3">
        <v>40088</v>
      </c>
      <c r="D34" s="4" t="s">
        <v>10</v>
      </c>
      <c r="E34" s="2">
        <v>500</v>
      </c>
      <c r="F34" s="3">
        <f t="shared" si="4"/>
        <v>40118</v>
      </c>
      <c r="G34" s="2">
        <v>69</v>
      </c>
      <c r="H34" s="5">
        <v>0</v>
      </c>
      <c r="I34" s="2" t="b">
        <v>1</v>
      </c>
      <c r="J34" s="2">
        <v>1524</v>
      </c>
      <c r="K34" s="2" t="b">
        <v>0</v>
      </c>
      <c r="L34" s="2" t="b">
        <v>0</v>
      </c>
      <c r="M34" s="2">
        <v>0</v>
      </c>
      <c r="N34" s="6">
        <v>6</v>
      </c>
      <c r="O34">
        <f t="shared" si="0"/>
        <v>774</v>
      </c>
      <c r="P34">
        <f t="shared" si="1"/>
        <v>744</v>
      </c>
      <c r="Q34" s="11">
        <f t="shared" ca="1" si="5"/>
        <v>45281</v>
      </c>
      <c r="R34" s="11">
        <f t="shared" ca="1" si="5"/>
        <v>45311</v>
      </c>
    </row>
    <row r="35" spans="1:18" x14ac:dyDescent="0.25">
      <c r="A35" s="2">
        <v>2416</v>
      </c>
      <c r="B35" s="2">
        <v>3660</v>
      </c>
      <c r="C35" s="3">
        <v>40074</v>
      </c>
      <c r="D35" s="4" t="s">
        <v>10</v>
      </c>
      <c r="E35" s="2">
        <v>0</v>
      </c>
      <c r="F35" s="3">
        <f t="shared" si="4"/>
        <v>40104</v>
      </c>
      <c r="G35" s="2">
        <v>25</v>
      </c>
      <c r="H35" s="5">
        <v>0</v>
      </c>
      <c r="I35" s="2" t="b">
        <v>1</v>
      </c>
      <c r="J35" s="2">
        <v>640</v>
      </c>
      <c r="K35" s="2" t="b">
        <v>1</v>
      </c>
      <c r="L35" s="2" t="b">
        <v>0</v>
      </c>
      <c r="M35" s="2">
        <v>0</v>
      </c>
      <c r="N35" s="6">
        <v>6</v>
      </c>
      <c r="O35">
        <f t="shared" si="0"/>
        <v>788</v>
      </c>
      <c r="P35">
        <f t="shared" si="1"/>
        <v>758</v>
      </c>
      <c r="Q35" s="11">
        <f t="shared" ca="1" si="5"/>
        <v>45267</v>
      </c>
      <c r="R35" s="11">
        <f t="shared" ca="1" si="5"/>
        <v>45297</v>
      </c>
    </row>
    <row r="36" spans="1:18" x14ac:dyDescent="0.25">
      <c r="A36" s="2">
        <v>2417</v>
      </c>
      <c r="B36" s="2">
        <v>2478</v>
      </c>
      <c r="C36" s="3">
        <v>40081</v>
      </c>
      <c r="D36" s="4" t="s">
        <v>10</v>
      </c>
      <c r="E36" s="2">
        <v>0</v>
      </c>
      <c r="F36" s="3">
        <f t="shared" si="4"/>
        <v>40111</v>
      </c>
      <c r="G36" s="2">
        <v>14</v>
      </c>
      <c r="H36" s="5">
        <v>0</v>
      </c>
      <c r="I36" s="2" t="b">
        <v>1</v>
      </c>
      <c r="J36" s="2">
        <v>640</v>
      </c>
      <c r="K36" s="2" t="b">
        <v>1</v>
      </c>
      <c r="L36" s="2" t="b">
        <v>0</v>
      </c>
      <c r="M36" s="2">
        <v>0</v>
      </c>
      <c r="N36" s="6">
        <v>6</v>
      </c>
      <c r="O36">
        <f t="shared" si="0"/>
        <v>781</v>
      </c>
      <c r="P36">
        <f t="shared" si="1"/>
        <v>751</v>
      </c>
      <c r="Q36" s="11">
        <f t="shared" ca="1" si="5"/>
        <v>45274</v>
      </c>
      <c r="R36" s="11">
        <f t="shared" ca="1" si="5"/>
        <v>45304</v>
      </c>
    </row>
    <row r="37" spans="1:18" x14ac:dyDescent="0.25">
      <c r="A37" s="2">
        <v>2418</v>
      </c>
      <c r="B37" s="2">
        <v>1546</v>
      </c>
      <c r="C37" s="3">
        <v>40065</v>
      </c>
      <c r="D37" s="4" t="s">
        <v>10</v>
      </c>
      <c r="E37" s="2">
        <v>0</v>
      </c>
      <c r="F37" s="3">
        <f t="shared" si="4"/>
        <v>40095</v>
      </c>
      <c r="G37" s="2">
        <v>92</v>
      </c>
      <c r="H37" s="5">
        <v>0</v>
      </c>
      <c r="I37" s="2" t="b">
        <v>1</v>
      </c>
      <c r="J37" s="2">
        <v>1524</v>
      </c>
      <c r="K37" s="2" t="b">
        <v>0</v>
      </c>
      <c r="L37" s="2" t="b">
        <v>0</v>
      </c>
      <c r="M37" s="2">
        <v>0</v>
      </c>
      <c r="N37" s="6">
        <v>6</v>
      </c>
      <c r="O37">
        <f t="shared" si="0"/>
        <v>797</v>
      </c>
      <c r="P37">
        <f t="shared" si="1"/>
        <v>767</v>
      </c>
      <c r="Q37" s="11">
        <f t="shared" ca="1" si="5"/>
        <v>45258</v>
      </c>
      <c r="R37" s="11">
        <f t="shared" ca="1" si="5"/>
        <v>45288</v>
      </c>
    </row>
    <row r="38" spans="1:18" x14ac:dyDescent="0.25">
      <c r="A38" s="2">
        <v>2419</v>
      </c>
      <c r="B38" s="2">
        <v>720</v>
      </c>
      <c r="C38" s="3">
        <v>40080</v>
      </c>
      <c r="D38" s="4" t="s">
        <v>10</v>
      </c>
      <c r="E38" s="2">
        <v>0</v>
      </c>
      <c r="F38" s="3">
        <f t="shared" si="4"/>
        <v>40110</v>
      </c>
      <c r="G38" s="2">
        <v>32</v>
      </c>
      <c r="H38" s="5">
        <v>0</v>
      </c>
      <c r="I38" s="2" t="b">
        <v>1</v>
      </c>
      <c r="J38" s="2">
        <v>1524</v>
      </c>
      <c r="K38" s="2" t="b">
        <v>0</v>
      </c>
      <c r="L38" s="2" t="b">
        <v>0</v>
      </c>
      <c r="M38" s="2">
        <v>0</v>
      </c>
      <c r="N38" s="6">
        <v>6</v>
      </c>
      <c r="O38">
        <f t="shared" si="0"/>
        <v>782</v>
      </c>
      <c r="P38">
        <f t="shared" si="1"/>
        <v>752</v>
      </c>
      <c r="Q38" s="11">
        <f t="shared" ca="1" si="5"/>
        <v>45273</v>
      </c>
      <c r="R38" s="11">
        <f t="shared" ca="1" si="5"/>
        <v>45303</v>
      </c>
    </row>
    <row r="39" spans="1:18" x14ac:dyDescent="0.25">
      <c r="A39" s="2">
        <v>2420</v>
      </c>
      <c r="B39" s="2">
        <v>1559</v>
      </c>
      <c r="C39" s="3">
        <v>40080</v>
      </c>
      <c r="D39" s="4" t="s">
        <v>10</v>
      </c>
      <c r="E39" s="2">
        <v>0</v>
      </c>
      <c r="F39" s="3">
        <f t="shared" si="4"/>
        <v>40110</v>
      </c>
      <c r="G39" s="2">
        <v>59</v>
      </c>
      <c r="H39" s="5">
        <v>0</v>
      </c>
      <c r="I39" s="2" t="b">
        <v>1</v>
      </c>
      <c r="J39" s="2">
        <v>1524</v>
      </c>
      <c r="K39" s="2" t="b">
        <v>0</v>
      </c>
      <c r="L39" s="2" t="b">
        <v>0</v>
      </c>
      <c r="M39" s="2">
        <v>0</v>
      </c>
      <c r="N39" s="6">
        <v>6</v>
      </c>
      <c r="O39">
        <f t="shared" si="0"/>
        <v>782</v>
      </c>
      <c r="P39">
        <f t="shared" si="1"/>
        <v>752</v>
      </c>
      <c r="Q39" s="11">
        <f t="shared" ca="1" si="5"/>
        <v>45273</v>
      </c>
      <c r="R39" s="11">
        <f t="shared" ca="1" si="5"/>
        <v>45303</v>
      </c>
    </row>
    <row r="40" spans="1:18" x14ac:dyDescent="0.25">
      <c r="A40" s="2">
        <v>2421</v>
      </c>
      <c r="B40" s="2">
        <v>2359</v>
      </c>
      <c r="C40" s="3">
        <v>40078</v>
      </c>
      <c r="D40" s="4" t="s">
        <v>10</v>
      </c>
      <c r="E40" s="2">
        <v>0</v>
      </c>
      <c r="F40" s="3">
        <f t="shared" si="4"/>
        <v>40108</v>
      </c>
      <c r="G40" s="2">
        <v>59</v>
      </c>
      <c r="H40" s="5">
        <v>0.05</v>
      </c>
      <c r="I40" s="2" t="b">
        <v>1</v>
      </c>
      <c r="J40" s="2">
        <v>1524</v>
      </c>
      <c r="K40" s="2" t="b">
        <v>0</v>
      </c>
      <c r="L40" s="2" t="b">
        <v>0</v>
      </c>
      <c r="M40" s="2">
        <v>0</v>
      </c>
      <c r="N40" s="6">
        <v>6</v>
      </c>
      <c r="O40">
        <f t="shared" si="0"/>
        <v>784</v>
      </c>
      <c r="P40">
        <f t="shared" si="1"/>
        <v>754</v>
      </c>
      <c r="Q40" s="11">
        <f t="shared" ca="1" si="5"/>
        <v>45271</v>
      </c>
      <c r="R40" s="11">
        <f t="shared" ca="1" si="5"/>
        <v>45301</v>
      </c>
    </row>
    <row r="41" spans="1:18" x14ac:dyDescent="0.25">
      <c r="A41" s="2">
        <v>2422</v>
      </c>
      <c r="B41" s="2">
        <v>2937</v>
      </c>
      <c r="C41" s="3">
        <v>40074</v>
      </c>
      <c r="D41" s="4" t="s">
        <v>10</v>
      </c>
      <c r="E41" s="2">
        <v>0</v>
      </c>
      <c r="F41" s="3">
        <f t="shared" si="4"/>
        <v>40104</v>
      </c>
      <c r="G41" s="2">
        <v>0</v>
      </c>
      <c r="H41" s="5">
        <v>0</v>
      </c>
      <c r="I41" s="2" t="b">
        <v>1</v>
      </c>
      <c r="J41" s="2">
        <v>1524</v>
      </c>
      <c r="K41" s="2" t="b">
        <v>0</v>
      </c>
      <c r="L41" s="2" t="b">
        <v>0</v>
      </c>
      <c r="M41" s="2">
        <v>0</v>
      </c>
      <c r="N41" s="6">
        <v>6</v>
      </c>
      <c r="O41">
        <f t="shared" si="0"/>
        <v>788</v>
      </c>
      <c r="P41">
        <f t="shared" si="1"/>
        <v>758</v>
      </c>
      <c r="Q41" s="11">
        <f t="shared" ca="1" si="5"/>
        <v>45267</v>
      </c>
      <c r="R41" s="11">
        <f t="shared" ca="1" si="5"/>
        <v>45297</v>
      </c>
    </row>
    <row r="42" spans="1:18" x14ac:dyDescent="0.25">
      <c r="A42" s="2">
        <v>2423</v>
      </c>
      <c r="B42" s="2">
        <v>3661</v>
      </c>
      <c r="C42" s="3">
        <v>40065</v>
      </c>
      <c r="D42" s="4" t="s">
        <v>10</v>
      </c>
      <c r="E42" s="2">
        <v>0</v>
      </c>
      <c r="F42" s="3">
        <f t="shared" si="4"/>
        <v>40095</v>
      </c>
      <c r="G42" s="2">
        <v>95</v>
      </c>
      <c r="H42" s="5">
        <v>0</v>
      </c>
      <c r="I42" s="2" t="b">
        <v>1</v>
      </c>
      <c r="J42" s="2">
        <v>1524</v>
      </c>
      <c r="K42" s="2" t="b">
        <v>0</v>
      </c>
      <c r="L42" s="2" t="b">
        <v>0</v>
      </c>
      <c r="M42" s="2">
        <v>0</v>
      </c>
      <c r="N42" s="6">
        <v>6</v>
      </c>
      <c r="O42">
        <f t="shared" si="0"/>
        <v>797</v>
      </c>
      <c r="P42">
        <f t="shared" si="1"/>
        <v>767</v>
      </c>
      <c r="Q42" s="11">
        <f t="shared" ca="1" si="5"/>
        <v>45258</v>
      </c>
      <c r="R42" s="11">
        <f t="shared" ca="1" si="5"/>
        <v>45288</v>
      </c>
    </row>
    <row r="43" spans="1:18" x14ac:dyDescent="0.25">
      <c r="A43" s="2">
        <v>2424</v>
      </c>
      <c r="B43" s="2">
        <v>3085</v>
      </c>
      <c r="C43" s="3">
        <v>40078</v>
      </c>
      <c r="D43" s="4" t="s">
        <v>10</v>
      </c>
      <c r="E43" s="2">
        <v>393.74</v>
      </c>
      <c r="F43" s="3">
        <f t="shared" si="4"/>
        <v>40108</v>
      </c>
      <c r="G43" s="2">
        <v>35</v>
      </c>
      <c r="H43" s="5">
        <v>0</v>
      </c>
      <c r="I43" s="2" t="b">
        <v>1</v>
      </c>
      <c r="J43" s="2">
        <v>640</v>
      </c>
      <c r="K43" s="2" t="b">
        <v>1</v>
      </c>
      <c r="L43" s="2" t="b">
        <v>0</v>
      </c>
      <c r="M43" s="2">
        <v>0</v>
      </c>
      <c r="N43" s="6">
        <v>6</v>
      </c>
      <c r="O43">
        <f t="shared" si="0"/>
        <v>784</v>
      </c>
      <c r="P43">
        <f t="shared" si="1"/>
        <v>754</v>
      </c>
      <c r="Q43" s="11">
        <f t="shared" ca="1" si="5"/>
        <v>45271</v>
      </c>
      <c r="R43" s="11">
        <f t="shared" ca="1" si="5"/>
        <v>45301</v>
      </c>
    </row>
    <row r="44" spans="1:18" x14ac:dyDescent="0.25">
      <c r="A44" s="2">
        <v>2425</v>
      </c>
      <c r="B44" s="2">
        <v>2974</v>
      </c>
      <c r="C44" s="3">
        <v>40074</v>
      </c>
      <c r="D44" s="4" t="s">
        <v>10</v>
      </c>
      <c r="E44" s="2">
        <v>0</v>
      </c>
      <c r="F44" s="3">
        <f t="shared" si="4"/>
        <v>40104</v>
      </c>
      <c r="G44" s="2">
        <v>15</v>
      </c>
      <c r="H44" s="5">
        <v>0</v>
      </c>
      <c r="I44" s="2" t="b">
        <v>1</v>
      </c>
      <c r="J44" s="2">
        <v>640</v>
      </c>
      <c r="K44" s="2" t="b">
        <v>1</v>
      </c>
      <c r="L44" s="2" t="b">
        <v>0</v>
      </c>
      <c r="M44" s="2">
        <v>0</v>
      </c>
      <c r="N44" s="6">
        <v>6</v>
      </c>
      <c r="O44">
        <f t="shared" si="0"/>
        <v>788</v>
      </c>
      <c r="P44">
        <f t="shared" si="1"/>
        <v>758</v>
      </c>
      <c r="Q44" s="11">
        <f t="shared" ca="1" si="5"/>
        <v>45267</v>
      </c>
      <c r="R44" s="11">
        <f t="shared" ca="1" si="5"/>
        <v>45297</v>
      </c>
    </row>
    <row r="45" spans="1:18" x14ac:dyDescent="0.25">
      <c r="A45" s="2">
        <v>2426</v>
      </c>
      <c r="B45" s="2">
        <v>2997</v>
      </c>
      <c r="C45" s="3">
        <v>40080</v>
      </c>
      <c r="D45" s="4" t="s">
        <v>10</v>
      </c>
      <c r="E45" s="2">
        <v>0</v>
      </c>
      <c r="F45" s="3">
        <f t="shared" si="4"/>
        <v>40110</v>
      </c>
      <c r="G45" s="2">
        <v>49</v>
      </c>
      <c r="H45" s="5">
        <v>0</v>
      </c>
      <c r="I45" s="2" t="b">
        <v>1</v>
      </c>
      <c r="J45" s="2">
        <v>1524</v>
      </c>
      <c r="K45" s="2" t="b">
        <v>0</v>
      </c>
      <c r="L45" s="2" t="b">
        <v>0</v>
      </c>
      <c r="M45" s="2">
        <v>0</v>
      </c>
      <c r="N45" s="6">
        <v>6</v>
      </c>
      <c r="O45">
        <f t="shared" si="0"/>
        <v>782</v>
      </c>
      <c r="P45">
        <f t="shared" si="1"/>
        <v>752</v>
      </c>
      <c r="Q45" s="11">
        <f t="shared" ca="1" si="5"/>
        <v>45273</v>
      </c>
      <c r="R45" s="11">
        <f t="shared" ca="1" si="5"/>
        <v>45303</v>
      </c>
    </row>
    <row r="46" spans="1:18" x14ac:dyDescent="0.25">
      <c r="A46" s="2">
        <v>2427</v>
      </c>
      <c r="B46" s="2">
        <v>861</v>
      </c>
      <c r="C46" s="3">
        <v>40066</v>
      </c>
      <c r="D46" s="4" t="s">
        <v>10</v>
      </c>
      <c r="E46" s="2">
        <v>0</v>
      </c>
      <c r="F46" s="3">
        <f t="shared" si="4"/>
        <v>40096</v>
      </c>
      <c r="G46" s="2">
        <v>0</v>
      </c>
      <c r="H46" s="5">
        <v>0.20330000000000001</v>
      </c>
      <c r="I46" s="2" t="b">
        <v>1</v>
      </c>
      <c r="J46" s="2">
        <v>1524</v>
      </c>
      <c r="K46" s="2" t="b">
        <v>1</v>
      </c>
      <c r="L46" s="2" t="b">
        <v>0</v>
      </c>
      <c r="M46" s="2">
        <v>0</v>
      </c>
      <c r="N46" s="6">
        <v>6</v>
      </c>
      <c r="O46">
        <f t="shared" si="0"/>
        <v>796</v>
      </c>
      <c r="P46">
        <f t="shared" si="1"/>
        <v>766</v>
      </c>
      <c r="Q46" s="11">
        <f t="shared" ca="1" si="5"/>
        <v>45259</v>
      </c>
      <c r="R46" s="11">
        <f t="shared" ca="1" si="5"/>
        <v>45289</v>
      </c>
    </row>
    <row r="47" spans="1:18" x14ac:dyDescent="0.25">
      <c r="A47" s="2">
        <v>2428</v>
      </c>
      <c r="B47" s="2">
        <v>2836</v>
      </c>
      <c r="C47" s="3">
        <v>40066</v>
      </c>
      <c r="D47" s="4" t="s">
        <v>10</v>
      </c>
      <c r="E47" s="2">
        <v>0</v>
      </c>
      <c r="F47" s="3">
        <f t="shared" si="4"/>
        <v>40096</v>
      </c>
      <c r="G47" s="2">
        <v>0</v>
      </c>
      <c r="H47" s="5">
        <v>0</v>
      </c>
      <c r="I47" s="2" t="b">
        <v>1</v>
      </c>
      <c r="J47" s="2">
        <v>640</v>
      </c>
      <c r="K47" s="2" t="b">
        <v>1</v>
      </c>
      <c r="L47" s="2" t="b">
        <v>0</v>
      </c>
      <c r="M47" s="2">
        <v>0</v>
      </c>
      <c r="N47" s="6">
        <v>6</v>
      </c>
      <c r="O47">
        <f t="shared" si="0"/>
        <v>796</v>
      </c>
      <c r="P47">
        <f t="shared" si="1"/>
        <v>766</v>
      </c>
      <c r="Q47" s="11">
        <f t="shared" ca="1" si="5"/>
        <v>45259</v>
      </c>
      <c r="R47" s="11">
        <f t="shared" ca="1" si="5"/>
        <v>45289</v>
      </c>
    </row>
    <row r="48" spans="1:18" x14ac:dyDescent="0.25">
      <c r="A48" s="2">
        <v>2429</v>
      </c>
      <c r="B48" s="2">
        <v>1548</v>
      </c>
      <c r="C48" s="3">
        <v>40071</v>
      </c>
      <c r="D48" s="4" t="s">
        <v>10</v>
      </c>
      <c r="E48" s="2">
        <v>0</v>
      </c>
      <c r="F48" s="3">
        <f t="shared" si="4"/>
        <v>40101</v>
      </c>
      <c r="G48" s="2">
        <v>0</v>
      </c>
      <c r="H48" s="5">
        <v>0.05</v>
      </c>
      <c r="I48" s="2" t="b">
        <v>1</v>
      </c>
      <c r="J48" s="2">
        <v>1524</v>
      </c>
      <c r="K48" s="2" t="b">
        <v>0</v>
      </c>
      <c r="L48" s="2" t="b">
        <v>0</v>
      </c>
      <c r="M48" s="2">
        <v>0</v>
      </c>
      <c r="N48" s="6">
        <v>6</v>
      </c>
      <c r="O48">
        <f t="shared" si="0"/>
        <v>791</v>
      </c>
      <c r="P48">
        <f t="shared" si="1"/>
        <v>761</v>
      </c>
      <c r="Q48" s="11">
        <f t="shared" ca="1" si="5"/>
        <v>45264</v>
      </c>
      <c r="R48" s="11">
        <f t="shared" ca="1" si="5"/>
        <v>45294</v>
      </c>
    </row>
    <row r="49" spans="1:18" x14ac:dyDescent="0.25">
      <c r="A49" s="2">
        <v>2430</v>
      </c>
      <c r="B49" s="2">
        <v>2913</v>
      </c>
      <c r="C49" s="3">
        <v>40071</v>
      </c>
      <c r="D49" s="4" t="s">
        <v>10</v>
      </c>
      <c r="E49" s="2">
        <v>0</v>
      </c>
      <c r="F49" s="3">
        <f t="shared" si="4"/>
        <v>40101</v>
      </c>
      <c r="G49" s="2">
        <v>0</v>
      </c>
      <c r="H49" s="5">
        <v>0.05</v>
      </c>
      <c r="I49" s="2" t="b">
        <v>1</v>
      </c>
      <c r="J49" s="2">
        <v>1524</v>
      </c>
      <c r="K49" s="2" t="b">
        <v>0</v>
      </c>
      <c r="L49" s="2" t="b">
        <v>0</v>
      </c>
      <c r="M49" s="2">
        <v>0</v>
      </c>
      <c r="N49" s="6">
        <v>6</v>
      </c>
      <c r="O49">
        <f t="shared" si="0"/>
        <v>791</v>
      </c>
      <c r="P49">
        <f t="shared" si="1"/>
        <v>761</v>
      </c>
      <c r="Q49" s="11">
        <f t="shared" ca="1" si="5"/>
        <v>45264</v>
      </c>
      <c r="R49" s="11">
        <f t="shared" ca="1" si="5"/>
        <v>45294</v>
      </c>
    </row>
    <row r="50" spans="1:18" x14ac:dyDescent="0.25">
      <c r="A50" s="2">
        <v>2431</v>
      </c>
      <c r="B50" s="2">
        <v>2869</v>
      </c>
      <c r="C50" s="3">
        <v>40071</v>
      </c>
      <c r="D50" s="4" t="s">
        <v>10</v>
      </c>
      <c r="E50" s="2">
        <v>0</v>
      </c>
      <c r="F50" s="3">
        <f t="shared" si="4"/>
        <v>40101</v>
      </c>
      <c r="G50" s="2">
        <v>39</v>
      </c>
      <c r="H50" s="5">
        <v>0.1</v>
      </c>
      <c r="I50" s="2" t="b">
        <v>1</v>
      </c>
      <c r="J50" s="2">
        <v>1524</v>
      </c>
      <c r="K50" s="2" t="b">
        <v>0</v>
      </c>
      <c r="L50" s="2" t="b">
        <v>0</v>
      </c>
      <c r="M50" s="2">
        <v>0</v>
      </c>
      <c r="N50" s="6">
        <v>6</v>
      </c>
      <c r="O50">
        <f t="shared" si="0"/>
        <v>791</v>
      </c>
      <c r="P50">
        <f t="shared" si="1"/>
        <v>761</v>
      </c>
      <c r="Q50" s="11">
        <f t="shared" ca="1" si="5"/>
        <v>45264</v>
      </c>
      <c r="R50" s="11">
        <f t="shared" ca="1" si="5"/>
        <v>45294</v>
      </c>
    </row>
    <row r="51" spans="1:18" x14ac:dyDescent="0.25">
      <c r="A51" s="2">
        <v>2432</v>
      </c>
      <c r="B51" s="2">
        <v>1486</v>
      </c>
      <c r="C51" s="3">
        <v>40071</v>
      </c>
      <c r="D51" s="4" t="s">
        <v>10</v>
      </c>
      <c r="E51" s="2">
        <v>0</v>
      </c>
      <c r="F51" s="3">
        <f t="shared" si="4"/>
        <v>40101</v>
      </c>
      <c r="G51" s="2">
        <v>14</v>
      </c>
      <c r="H51" s="5">
        <v>0</v>
      </c>
      <c r="I51" s="2" t="b">
        <v>1</v>
      </c>
      <c r="J51" s="2">
        <v>640</v>
      </c>
      <c r="K51" s="2" t="b">
        <v>1</v>
      </c>
      <c r="L51" s="2" t="b">
        <v>0</v>
      </c>
      <c r="M51" s="2">
        <v>0</v>
      </c>
      <c r="N51" s="6">
        <v>6</v>
      </c>
      <c r="O51">
        <f t="shared" si="0"/>
        <v>791</v>
      </c>
      <c r="P51">
        <f t="shared" si="1"/>
        <v>761</v>
      </c>
      <c r="Q51" s="11">
        <f t="shared" ca="1" si="5"/>
        <v>45264</v>
      </c>
      <c r="R51" s="11">
        <f t="shared" ca="1" si="5"/>
        <v>45294</v>
      </c>
    </row>
    <row r="52" spans="1:18" x14ac:dyDescent="0.25">
      <c r="A52" s="2">
        <v>2433</v>
      </c>
      <c r="B52" s="2">
        <v>1095</v>
      </c>
      <c r="C52" s="3">
        <v>40080</v>
      </c>
      <c r="D52" s="4" t="s">
        <v>10</v>
      </c>
      <c r="E52" s="2">
        <v>0</v>
      </c>
      <c r="F52" s="3">
        <f t="shared" si="4"/>
        <v>40110</v>
      </c>
      <c r="G52" s="2">
        <v>420</v>
      </c>
      <c r="H52" s="5">
        <v>0</v>
      </c>
      <c r="I52" s="2" t="b">
        <v>1</v>
      </c>
      <c r="J52" s="2">
        <v>1524</v>
      </c>
      <c r="K52" s="2" t="b">
        <v>0</v>
      </c>
      <c r="L52" s="2" t="b">
        <v>0</v>
      </c>
      <c r="M52" s="2">
        <v>0</v>
      </c>
      <c r="N52" s="6">
        <v>6</v>
      </c>
      <c r="O52">
        <f t="shared" si="0"/>
        <v>782</v>
      </c>
      <c r="P52">
        <f t="shared" si="1"/>
        <v>752</v>
      </c>
      <c r="Q52" s="11">
        <f t="shared" ca="1" si="5"/>
        <v>45273</v>
      </c>
      <c r="R52" s="11">
        <f t="shared" ca="1" si="5"/>
        <v>45303</v>
      </c>
    </row>
    <row r="53" spans="1:18" x14ac:dyDescent="0.25">
      <c r="A53" s="2">
        <v>2434</v>
      </c>
      <c r="B53" s="2">
        <v>720</v>
      </c>
      <c r="C53" s="3">
        <v>40074</v>
      </c>
      <c r="D53" s="4" t="s">
        <v>10</v>
      </c>
      <c r="E53" s="2">
        <v>0</v>
      </c>
      <c r="F53" s="3">
        <f t="shared" si="4"/>
        <v>40104</v>
      </c>
      <c r="G53" s="2">
        <v>0</v>
      </c>
      <c r="H53" s="5">
        <v>0</v>
      </c>
      <c r="I53" s="2" t="b">
        <v>1</v>
      </c>
      <c r="J53" s="2">
        <v>640</v>
      </c>
      <c r="K53" s="2" t="b">
        <v>1</v>
      </c>
      <c r="L53" s="2" t="b">
        <v>0</v>
      </c>
      <c r="M53" s="2">
        <v>0</v>
      </c>
      <c r="N53" s="6">
        <v>6</v>
      </c>
      <c r="O53">
        <f t="shared" si="0"/>
        <v>788</v>
      </c>
      <c r="P53">
        <f t="shared" si="1"/>
        <v>758</v>
      </c>
      <c r="Q53" s="11">
        <f t="shared" ca="1" si="5"/>
        <v>45267</v>
      </c>
      <c r="R53" s="11">
        <f t="shared" ca="1" si="5"/>
        <v>45297</v>
      </c>
    </row>
    <row r="54" spans="1:18" x14ac:dyDescent="0.25">
      <c r="A54" s="2">
        <v>2435</v>
      </c>
      <c r="B54" s="2">
        <v>707</v>
      </c>
      <c r="C54" s="3">
        <v>40081</v>
      </c>
      <c r="D54" s="4" t="s">
        <v>10</v>
      </c>
      <c r="E54" s="2">
        <v>0</v>
      </c>
      <c r="F54" s="3">
        <f t="shared" si="4"/>
        <v>40111</v>
      </c>
      <c r="G54" s="2">
        <v>0</v>
      </c>
      <c r="H54" s="5">
        <v>0.05</v>
      </c>
      <c r="I54" s="2" t="b">
        <v>1</v>
      </c>
      <c r="J54" s="2">
        <v>1524</v>
      </c>
      <c r="K54" s="2" t="b">
        <v>0</v>
      </c>
      <c r="L54" s="2" t="b">
        <v>0</v>
      </c>
      <c r="M54" s="2">
        <v>0</v>
      </c>
      <c r="N54" s="6">
        <v>6</v>
      </c>
      <c r="O54">
        <f t="shared" si="0"/>
        <v>781</v>
      </c>
      <c r="P54">
        <f t="shared" si="1"/>
        <v>751</v>
      </c>
      <c r="Q54" s="11">
        <f t="shared" ca="1" si="5"/>
        <v>45274</v>
      </c>
      <c r="R54" s="11">
        <f t="shared" ca="1" si="5"/>
        <v>45304</v>
      </c>
    </row>
    <row r="55" spans="1:18" x14ac:dyDescent="0.25">
      <c r="A55" s="2">
        <v>2436</v>
      </c>
      <c r="B55" s="2">
        <v>1548</v>
      </c>
      <c r="C55" s="3">
        <v>40127</v>
      </c>
      <c r="D55" s="4" t="s">
        <v>10</v>
      </c>
      <c r="E55" s="2">
        <v>0</v>
      </c>
      <c r="F55" s="3">
        <f t="shared" si="4"/>
        <v>40157</v>
      </c>
      <c r="G55" s="2">
        <v>29</v>
      </c>
      <c r="H55" s="5">
        <v>0.03</v>
      </c>
      <c r="I55" s="2" t="b">
        <v>1</v>
      </c>
      <c r="J55" s="2">
        <v>1524</v>
      </c>
      <c r="K55" s="2" t="b">
        <v>0</v>
      </c>
      <c r="L55" s="2" t="b">
        <v>0</v>
      </c>
      <c r="M55" s="2">
        <v>0</v>
      </c>
      <c r="N55" s="6">
        <v>6</v>
      </c>
      <c r="O55">
        <f t="shared" si="0"/>
        <v>735</v>
      </c>
      <c r="P55">
        <f t="shared" si="1"/>
        <v>705</v>
      </c>
      <c r="Q55" s="11">
        <f t="shared" ca="1" si="5"/>
        <v>45320</v>
      </c>
      <c r="R55" s="11">
        <f t="shared" ca="1" si="5"/>
        <v>45350</v>
      </c>
    </row>
    <row r="56" spans="1:18" x14ac:dyDescent="0.25">
      <c r="A56" s="2">
        <v>2437</v>
      </c>
      <c r="B56" s="2">
        <v>1095</v>
      </c>
      <c r="C56" s="3">
        <v>40094</v>
      </c>
      <c r="D56" s="4" t="s">
        <v>10</v>
      </c>
      <c r="E56" s="2">
        <v>0</v>
      </c>
      <c r="F56" s="3">
        <f t="shared" si="4"/>
        <v>40124</v>
      </c>
      <c r="G56" s="2">
        <v>0</v>
      </c>
      <c r="H56" s="5">
        <v>0</v>
      </c>
      <c r="I56" s="2" t="b">
        <v>1</v>
      </c>
      <c r="J56" s="2">
        <v>1524</v>
      </c>
      <c r="K56" s="2" t="b">
        <v>0</v>
      </c>
      <c r="L56" s="2" t="b">
        <v>1</v>
      </c>
      <c r="M56" s="2">
        <v>0</v>
      </c>
      <c r="N56" s="6">
        <v>6</v>
      </c>
      <c r="O56">
        <f t="shared" si="0"/>
        <v>768</v>
      </c>
      <c r="P56">
        <f t="shared" si="1"/>
        <v>738</v>
      </c>
      <c r="Q56" s="11">
        <f t="shared" ca="1" si="5"/>
        <v>45287</v>
      </c>
      <c r="R56" s="11">
        <f t="shared" ca="1" si="5"/>
        <v>45317</v>
      </c>
    </row>
    <row r="57" spans="1:18" x14ac:dyDescent="0.25">
      <c r="A57" s="2">
        <v>2438</v>
      </c>
      <c r="B57" s="2">
        <v>2841</v>
      </c>
      <c r="C57" s="3">
        <v>40107</v>
      </c>
      <c r="D57" s="4" t="s">
        <v>10</v>
      </c>
      <c r="E57" s="2">
        <v>0</v>
      </c>
      <c r="F57" s="3">
        <f t="shared" si="4"/>
        <v>40137</v>
      </c>
      <c r="G57" s="2">
        <v>19</v>
      </c>
      <c r="H57" s="5">
        <v>0</v>
      </c>
      <c r="I57" s="2" t="b">
        <v>1</v>
      </c>
      <c r="J57" s="2">
        <v>640</v>
      </c>
      <c r="K57" s="2" t="b">
        <v>1</v>
      </c>
      <c r="L57" s="2" t="b">
        <v>0</v>
      </c>
      <c r="M57" s="2">
        <v>0</v>
      </c>
      <c r="N57" s="6">
        <v>6</v>
      </c>
      <c r="O57">
        <f t="shared" si="0"/>
        <v>755</v>
      </c>
      <c r="P57">
        <f t="shared" si="1"/>
        <v>725</v>
      </c>
      <c r="Q57" s="11">
        <f t="shared" ca="1" si="5"/>
        <v>45300</v>
      </c>
      <c r="R57" s="11">
        <f t="shared" ca="1" si="5"/>
        <v>45330</v>
      </c>
    </row>
    <row r="58" spans="1:18" x14ac:dyDescent="0.25">
      <c r="A58" s="2">
        <v>2439</v>
      </c>
      <c r="B58" s="2">
        <v>3651</v>
      </c>
      <c r="C58" s="3">
        <v>40106</v>
      </c>
      <c r="D58" s="4" t="s">
        <v>10</v>
      </c>
      <c r="E58" s="2">
        <v>0</v>
      </c>
      <c r="F58" s="3">
        <f t="shared" si="4"/>
        <v>40136</v>
      </c>
      <c r="G58" s="2">
        <v>14</v>
      </c>
      <c r="H58" s="5">
        <v>0</v>
      </c>
      <c r="I58" s="2" t="b">
        <v>1</v>
      </c>
      <c r="J58" s="2">
        <v>640</v>
      </c>
      <c r="K58" s="2" t="b">
        <v>1</v>
      </c>
      <c r="L58" s="2" t="b">
        <v>0</v>
      </c>
      <c r="M58" s="2">
        <v>0</v>
      </c>
      <c r="N58" s="6">
        <v>6</v>
      </c>
      <c r="O58">
        <f t="shared" si="0"/>
        <v>756</v>
      </c>
      <c r="P58">
        <f t="shared" si="1"/>
        <v>726</v>
      </c>
      <c r="Q58" s="11">
        <f t="shared" ca="1" si="5"/>
        <v>45299</v>
      </c>
      <c r="R58" s="11">
        <f t="shared" ca="1" si="5"/>
        <v>45329</v>
      </c>
    </row>
    <row r="59" spans="1:18" x14ac:dyDescent="0.25">
      <c r="A59" s="2">
        <v>2440</v>
      </c>
      <c r="B59" s="2">
        <v>978</v>
      </c>
      <c r="C59" s="3">
        <v>40134</v>
      </c>
      <c r="D59" s="4" t="s">
        <v>10</v>
      </c>
      <c r="E59" s="2">
        <v>0</v>
      </c>
      <c r="F59" s="3">
        <f t="shared" si="4"/>
        <v>40164</v>
      </c>
      <c r="G59" s="2">
        <v>14</v>
      </c>
      <c r="H59" s="5">
        <v>0</v>
      </c>
      <c r="I59" s="2" t="b">
        <v>1</v>
      </c>
      <c r="J59" s="2">
        <v>640</v>
      </c>
      <c r="K59" s="2" t="b">
        <v>1</v>
      </c>
      <c r="L59" s="2" t="b">
        <v>0</v>
      </c>
      <c r="M59" s="2">
        <v>0</v>
      </c>
      <c r="N59" s="6">
        <v>6</v>
      </c>
      <c r="O59">
        <f t="shared" si="0"/>
        <v>728</v>
      </c>
      <c r="P59">
        <f t="shared" si="1"/>
        <v>698</v>
      </c>
      <c r="Q59" s="11">
        <f t="shared" ca="1" si="5"/>
        <v>45327</v>
      </c>
      <c r="R59" s="11">
        <f t="shared" ca="1" si="5"/>
        <v>45357</v>
      </c>
    </row>
    <row r="60" spans="1:18" x14ac:dyDescent="0.25">
      <c r="A60" s="2">
        <v>2441</v>
      </c>
      <c r="B60" s="2">
        <v>3664</v>
      </c>
      <c r="C60" s="3">
        <v>40107</v>
      </c>
      <c r="D60" s="4" t="s">
        <v>10</v>
      </c>
      <c r="E60" s="2">
        <v>0</v>
      </c>
      <c r="F60" s="3">
        <f t="shared" si="4"/>
        <v>40137</v>
      </c>
      <c r="G60" s="2">
        <v>25</v>
      </c>
      <c r="H60" s="5">
        <v>0</v>
      </c>
      <c r="I60" s="2" t="b">
        <v>1</v>
      </c>
      <c r="J60" s="2">
        <v>640</v>
      </c>
      <c r="K60" s="2" t="b">
        <v>1</v>
      </c>
      <c r="L60" s="2" t="b">
        <v>0</v>
      </c>
      <c r="M60" s="2">
        <v>0</v>
      </c>
      <c r="N60" s="6">
        <v>6</v>
      </c>
      <c r="O60">
        <f t="shared" si="0"/>
        <v>755</v>
      </c>
      <c r="P60">
        <f t="shared" si="1"/>
        <v>725</v>
      </c>
      <c r="Q60" s="11">
        <f t="shared" ca="1" si="5"/>
        <v>45300</v>
      </c>
      <c r="R60" s="11">
        <f t="shared" ca="1" si="5"/>
        <v>45330</v>
      </c>
    </row>
    <row r="61" spans="1:18" x14ac:dyDescent="0.25">
      <c r="A61" s="2">
        <v>2442</v>
      </c>
      <c r="B61" s="2">
        <v>3665</v>
      </c>
      <c r="C61" s="3">
        <v>40127</v>
      </c>
      <c r="D61" s="4" t="s">
        <v>10</v>
      </c>
      <c r="E61" s="2">
        <v>0</v>
      </c>
      <c r="F61" s="3">
        <f t="shared" si="4"/>
        <v>40157</v>
      </c>
      <c r="G61" s="2">
        <v>60.25</v>
      </c>
      <c r="H61" s="5">
        <v>0</v>
      </c>
      <c r="I61" s="2" t="b">
        <v>1</v>
      </c>
      <c r="J61" s="2">
        <v>1524</v>
      </c>
      <c r="K61" s="2" t="b">
        <v>0</v>
      </c>
      <c r="L61" s="2" t="b">
        <v>0</v>
      </c>
      <c r="M61" s="2">
        <v>0</v>
      </c>
      <c r="N61" s="6">
        <v>6</v>
      </c>
      <c r="O61">
        <f t="shared" si="0"/>
        <v>735</v>
      </c>
      <c r="P61">
        <f t="shared" si="1"/>
        <v>705</v>
      </c>
      <c r="Q61" s="11">
        <f t="shared" ca="1" si="5"/>
        <v>45320</v>
      </c>
      <c r="R61" s="11">
        <f t="shared" ca="1" si="5"/>
        <v>45350</v>
      </c>
    </row>
    <row r="62" spans="1:18" x14ac:dyDescent="0.25">
      <c r="A62" s="2">
        <v>2443</v>
      </c>
      <c r="B62" s="2">
        <v>1559</v>
      </c>
      <c r="C62" s="3">
        <v>40102</v>
      </c>
      <c r="D62" s="4" t="s">
        <v>10</v>
      </c>
      <c r="E62" s="2">
        <v>0</v>
      </c>
      <c r="F62" s="3">
        <f t="shared" si="4"/>
        <v>40132</v>
      </c>
      <c r="G62" s="2">
        <v>0</v>
      </c>
      <c r="H62" s="5">
        <v>0</v>
      </c>
      <c r="I62" s="2" t="b">
        <v>1</v>
      </c>
      <c r="J62" s="2">
        <v>1524</v>
      </c>
      <c r="K62" s="2" t="b">
        <v>0</v>
      </c>
      <c r="L62" s="2" t="b">
        <v>1</v>
      </c>
      <c r="M62" s="2">
        <v>0</v>
      </c>
      <c r="N62" s="6">
        <v>6</v>
      </c>
      <c r="O62">
        <f t="shared" si="0"/>
        <v>760</v>
      </c>
      <c r="P62">
        <f t="shared" si="1"/>
        <v>730</v>
      </c>
      <c r="Q62" s="11">
        <f t="shared" ca="1" si="5"/>
        <v>45295</v>
      </c>
      <c r="R62" s="11">
        <f t="shared" ca="1" si="5"/>
        <v>45325</v>
      </c>
    </row>
    <row r="63" spans="1:18" x14ac:dyDescent="0.25">
      <c r="A63" s="2">
        <v>2444</v>
      </c>
      <c r="B63" s="2">
        <v>2765</v>
      </c>
      <c r="C63" s="3">
        <v>40107</v>
      </c>
      <c r="D63" s="4" t="s">
        <v>10</v>
      </c>
      <c r="E63" s="2">
        <v>0</v>
      </c>
      <c r="F63" s="3">
        <f t="shared" si="4"/>
        <v>40137</v>
      </c>
      <c r="G63" s="2">
        <v>19</v>
      </c>
      <c r="H63" s="5">
        <v>0</v>
      </c>
      <c r="I63" s="2" t="b">
        <v>1</v>
      </c>
      <c r="J63" s="2">
        <v>1524</v>
      </c>
      <c r="K63" s="2" t="b">
        <v>1</v>
      </c>
      <c r="L63" s="2" t="b">
        <v>0</v>
      </c>
      <c r="M63" s="2">
        <v>0</v>
      </c>
      <c r="N63" s="6">
        <v>6</v>
      </c>
      <c r="O63">
        <f t="shared" si="0"/>
        <v>755</v>
      </c>
      <c r="P63">
        <f t="shared" si="1"/>
        <v>725</v>
      </c>
      <c r="Q63" s="11">
        <f t="shared" ca="1" si="5"/>
        <v>45300</v>
      </c>
      <c r="R63" s="11">
        <f t="shared" ca="1" si="5"/>
        <v>45330</v>
      </c>
    </row>
    <row r="64" spans="1:18" x14ac:dyDescent="0.25">
      <c r="A64" s="2">
        <v>2445</v>
      </c>
      <c r="B64" s="2">
        <v>2857</v>
      </c>
      <c r="C64" s="3">
        <v>40132</v>
      </c>
      <c r="D64" s="4" t="s">
        <v>10</v>
      </c>
      <c r="E64" s="2">
        <v>0</v>
      </c>
      <c r="F64" s="3">
        <f t="shared" si="4"/>
        <v>40162</v>
      </c>
      <c r="G64" s="2">
        <v>14</v>
      </c>
      <c r="H64" s="5">
        <v>0</v>
      </c>
      <c r="I64" s="2" t="b">
        <v>1</v>
      </c>
      <c r="J64" s="2">
        <v>640</v>
      </c>
      <c r="K64" s="2" t="b">
        <v>1</v>
      </c>
      <c r="L64" s="2" t="b">
        <v>0</v>
      </c>
      <c r="M64" s="2">
        <v>0</v>
      </c>
      <c r="N64" s="6">
        <v>6</v>
      </c>
      <c r="O64">
        <f t="shared" si="0"/>
        <v>730</v>
      </c>
      <c r="P64">
        <f t="shared" si="1"/>
        <v>700</v>
      </c>
      <c r="Q64" s="11">
        <f t="shared" ca="1" si="5"/>
        <v>45325</v>
      </c>
      <c r="R64" s="11">
        <f t="shared" ca="1" si="5"/>
        <v>45355</v>
      </c>
    </row>
    <row r="65" spans="1:18" x14ac:dyDescent="0.25">
      <c r="A65" s="2">
        <v>2446</v>
      </c>
      <c r="B65" s="2">
        <v>2912</v>
      </c>
      <c r="C65" s="3">
        <v>40127</v>
      </c>
      <c r="D65" s="4" t="s">
        <v>10</v>
      </c>
      <c r="E65" s="2">
        <v>0</v>
      </c>
      <c r="F65" s="3">
        <f t="shared" si="4"/>
        <v>40157</v>
      </c>
      <c r="G65" s="2">
        <v>80</v>
      </c>
      <c r="H65" s="5">
        <v>0</v>
      </c>
      <c r="I65" s="2" t="b">
        <v>1</v>
      </c>
      <c r="J65" s="2">
        <v>1524</v>
      </c>
      <c r="K65" s="2" t="b">
        <v>0</v>
      </c>
      <c r="L65" s="2" t="b">
        <v>0</v>
      </c>
      <c r="M65" s="2">
        <v>0</v>
      </c>
      <c r="N65" s="6">
        <v>6</v>
      </c>
      <c r="O65">
        <f t="shared" si="0"/>
        <v>735</v>
      </c>
      <c r="P65">
        <f t="shared" si="1"/>
        <v>705</v>
      </c>
      <c r="Q65" s="11">
        <f t="shared" ca="1" si="5"/>
        <v>45320</v>
      </c>
      <c r="R65" s="11">
        <f t="shared" ca="1" si="5"/>
        <v>45350</v>
      </c>
    </row>
    <row r="66" spans="1:18" x14ac:dyDescent="0.25">
      <c r="A66" s="2">
        <v>2447</v>
      </c>
      <c r="B66" s="2">
        <v>2858</v>
      </c>
      <c r="C66" s="3">
        <v>40106</v>
      </c>
      <c r="D66" s="4" t="s">
        <v>10</v>
      </c>
      <c r="E66" s="2">
        <v>0</v>
      </c>
      <c r="F66" s="3">
        <f t="shared" si="4"/>
        <v>40136</v>
      </c>
      <c r="G66" s="2">
        <v>14</v>
      </c>
      <c r="H66" s="5">
        <v>0</v>
      </c>
      <c r="I66" s="2" t="b">
        <v>1</v>
      </c>
      <c r="J66" s="2">
        <v>640</v>
      </c>
      <c r="K66" s="2" t="b">
        <v>1</v>
      </c>
      <c r="L66" s="2" t="b">
        <v>0</v>
      </c>
      <c r="M66" s="2">
        <v>0</v>
      </c>
      <c r="N66" s="6">
        <v>6</v>
      </c>
      <c r="O66">
        <f t="shared" ref="O66:O129" si="6">DATEDIF(C66,DateFin,"d")</f>
        <v>756</v>
      </c>
      <c r="P66">
        <f t="shared" ref="P66:P129" si="7">DATEDIF(F66,DateFin,"d")</f>
        <v>726</v>
      </c>
      <c r="Q66" s="11">
        <f t="shared" ca="1" si="5"/>
        <v>45299</v>
      </c>
      <c r="R66" s="11">
        <f t="shared" ca="1" si="5"/>
        <v>45329</v>
      </c>
    </row>
    <row r="67" spans="1:18" x14ac:dyDescent="0.25">
      <c r="A67" s="2">
        <v>2448</v>
      </c>
      <c r="B67" s="2">
        <v>3608</v>
      </c>
      <c r="C67" s="3">
        <v>40107</v>
      </c>
      <c r="D67" s="4" t="s">
        <v>10</v>
      </c>
      <c r="E67" s="2">
        <v>0</v>
      </c>
      <c r="F67" s="3">
        <f t="shared" si="4"/>
        <v>40137</v>
      </c>
      <c r="G67" s="2">
        <v>24</v>
      </c>
      <c r="H67" s="5">
        <v>0</v>
      </c>
      <c r="I67" s="2" t="b">
        <v>1</v>
      </c>
      <c r="J67" s="2">
        <v>640</v>
      </c>
      <c r="K67" s="2" t="b">
        <v>1</v>
      </c>
      <c r="L67" s="2" t="b">
        <v>0</v>
      </c>
      <c r="M67" s="2">
        <v>0</v>
      </c>
      <c r="N67" s="6">
        <v>6</v>
      </c>
      <c r="O67">
        <f t="shared" si="6"/>
        <v>755</v>
      </c>
      <c r="P67">
        <f t="shared" si="7"/>
        <v>725</v>
      </c>
      <c r="Q67" s="11">
        <f t="shared" ca="1" si="5"/>
        <v>45300</v>
      </c>
      <c r="R67" s="11">
        <f t="shared" ca="1" si="5"/>
        <v>45330</v>
      </c>
    </row>
    <row r="68" spans="1:18" x14ac:dyDescent="0.25">
      <c r="A68" s="2">
        <v>2449</v>
      </c>
      <c r="B68" s="2">
        <v>2818</v>
      </c>
      <c r="C68" s="3">
        <v>40107</v>
      </c>
      <c r="D68" s="4" t="s">
        <v>10</v>
      </c>
      <c r="E68" s="2">
        <v>0</v>
      </c>
      <c r="F68" s="3">
        <f t="shared" si="4"/>
        <v>40137</v>
      </c>
      <c r="G68" s="2">
        <v>20</v>
      </c>
      <c r="H68" s="5">
        <v>0</v>
      </c>
      <c r="I68" s="2" t="b">
        <v>1</v>
      </c>
      <c r="J68" s="2">
        <v>640</v>
      </c>
      <c r="K68" s="2" t="b">
        <v>1</v>
      </c>
      <c r="L68" s="2" t="b">
        <v>0</v>
      </c>
      <c r="M68" s="2">
        <v>0</v>
      </c>
      <c r="N68" s="6">
        <v>6</v>
      </c>
      <c r="O68">
        <f t="shared" si="6"/>
        <v>755</v>
      </c>
      <c r="P68">
        <f t="shared" si="7"/>
        <v>725</v>
      </c>
      <c r="Q68" s="11">
        <f t="shared" ca="1" si="5"/>
        <v>45300</v>
      </c>
      <c r="R68" s="11">
        <f t="shared" ca="1" si="5"/>
        <v>45330</v>
      </c>
    </row>
    <row r="69" spans="1:18" x14ac:dyDescent="0.25">
      <c r="A69" s="2">
        <v>2450</v>
      </c>
      <c r="B69" s="2">
        <v>1271</v>
      </c>
      <c r="C69" s="3">
        <v>40107</v>
      </c>
      <c r="D69" s="4" t="s">
        <v>10</v>
      </c>
      <c r="E69" s="2">
        <v>0</v>
      </c>
      <c r="F69" s="3">
        <f t="shared" si="4"/>
        <v>40137</v>
      </c>
      <c r="G69" s="2">
        <v>0</v>
      </c>
      <c r="H69" s="5">
        <v>0</v>
      </c>
      <c r="I69" s="2" t="b">
        <v>1</v>
      </c>
      <c r="J69" s="2">
        <v>640</v>
      </c>
      <c r="K69" s="2" t="b">
        <v>1</v>
      </c>
      <c r="L69" s="2" t="b">
        <v>0</v>
      </c>
      <c r="M69" s="2">
        <v>0</v>
      </c>
      <c r="N69" s="6">
        <v>6</v>
      </c>
      <c r="O69">
        <f t="shared" si="6"/>
        <v>755</v>
      </c>
      <c r="P69">
        <f t="shared" si="7"/>
        <v>725</v>
      </c>
      <c r="Q69" s="11">
        <f t="shared" ca="1" si="5"/>
        <v>45300</v>
      </c>
      <c r="R69" s="11">
        <f t="shared" ca="1" si="5"/>
        <v>45330</v>
      </c>
    </row>
    <row r="70" spans="1:18" x14ac:dyDescent="0.25">
      <c r="A70" s="2">
        <v>2451</v>
      </c>
      <c r="B70" s="2">
        <v>3667</v>
      </c>
      <c r="C70" s="3">
        <v>40110</v>
      </c>
      <c r="D70" s="4" t="s">
        <v>10</v>
      </c>
      <c r="E70" s="2">
        <v>0</v>
      </c>
      <c r="F70" s="3">
        <f t="shared" si="4"/>
        <v>40140</v>
      </c>
      <c r="G70" s="2">
        <v>0</v>
      </c>
      <c r="H70" s="5">
        <v>0.2</v>
      </c>
      <c r="I70" s="2" t="b">
        <v>1</v>
      </c>
      <c r="J70" s="2">
        <v>1524</v>
      </c>
      <c r="K70" s="2" t="b">
        <v>0</v>
      </c>
      <c r="L70" s="2" t="b">
        <v>0</v>
      </c>
      <c r="M70" s="2">
        <v>0</v>
      </c>
      <c r="N70" s="6">
        <v>6</v>
      </c>
      <c r="O70">
        <f t="shared" si="6"/>
        <v>752</v>
      </c>
      <c r="P70">
        <f t="shared" si="7"/>
        <v>722</v>
      </c>
      <c r="Q70" s="11">
        <f t="shared" ca="1" si="5"/>
        <v>45303</v>
      </c>
      <c r="R70" s="11">
        <f t="shared" ca="1" si="5"/>
        <v>45333</v>
      </c>
    </row>
    <row r="71" spans="1:18" x14ac:dyDescent="0.25">
      <c r="A71" s="2">
        <v>2452</v>
      </c>
      <c r="B71" s="2">
        <v>3668</v>
      </c>
      <c r="C71" s="3">
        <v>40110</v>
      </c>
      <c r="D71" s="4" t="s">
        <v>10</v>
      </c>
      <c r="E71" s="2">
        <v>0</v>
      </c>
      <c r="F71" s="3">
        <f t="shared" si="4"/>
        <v>40140</v>
      </c>
      <c r="G71" s="2">
        <v>0</v>
      </c>
      <c r="H71" s="5">
        <v>0.2</v>
      </c>
      <c r="I71" s="2" t="b">
        <v>1</v>
      </c>
      <c r="J71" s="2">
        <v>1524</v>
      </c>
      <c r="K71" s="2" t="b">
        <v>0</v>
      </c>
      <c r="L71" s="2" t="b">
        <v>0</v>
      </c>
      <c r="M71" s="2">
        <v>0</v>
      </c>
      <c r="N71" s="6">
        <v>6</v>
      </c>
      <c r="O71">
        <f t="shared" si="6"/>
        <v>752</v>
      </c>
      <c r="P71">
        <f t="shared" si="7"/>
        <v>722</v>
      </c>
      <c r="Q71" s="11">
        <f t="shared" ca="1" si="5"/>
        <v>45303</v>
      </c>
      <c r="R71" s="11">
        <f t="shared" ca="1" si="5"/>
        <v>45333</v>
      </c>
    </row>
    <row r="72" spans="1:18" x14ac:dyDescent="0.25">
      <c r="A72" s="2">
        <v>2453</v>
      </c>
      <c r="B72" s="2">
        <v>3669</v>
      </c>
      <c r="C72" s="3">
        <v>40110</v>
      </c>
      <c r="D72" s="4" t="s">
        <v>10</v>
      </c>
      <c r="E72" s="2">
        <v>0</v>
      </c>
      <c r="F72" s="3">
        <f t="shared" si="4"/>
        <v>40140</v>
      </c>
      <c r="G72" s="2">
        <v>0</v>
      </c>
      <c r="H72" s="5">
        <v>0.1</v>
      </c>
      <c r="I72" s="2" t="b">
        <v>1</v>
      </c>
      <c r="J72" s="2">
        <v>1524</v>
      </c>
      <c r="K72" s="2" t="b">
        <v>0</v>
      </c>
      <c r="L72" s="2" t="b">
        <v>0</v>
      </c>
      <c r="M72" s="2">
        <v>0</v>
      </c>
      <c r="N72" s="6">
        <v>6</v>
      </c>
      <c r="O72">
        <f t="shared" si="6"/>
        <v>752</v>
      </c>
      <c r="P72">
        <f t="shared" si="7"/>
        <v>722</v>
      </c>
      <c r="Q72" s="11">
        <f t="shared" ca="1" si="5"/>
        <v>45303</v>
      </c>
      <c r="R72" s="11">
        <f t="shared" ca="1" si="5"/>
        <v>45333</v>
      </c>
    </row>
    <row r="73" spans="1:18" x14ac:dyDescent="0.25">
      <c r="A73" s="2">
        <v>2454</v>
      </c>
      <c r="B73" s="2">
        <v>1745</v>
      </c>
      <c r="C73" s="3">
        <v>40112</v>
      </c>
      <c r="D73" s="4" t="s">
        <v>10</v>
      </c>
      <c r="E73" s="2">
        <v>4000</v>
      </c>
      <c r="F73" s="3">
        <f t="shared" si="4"/>
        <v>40142</v>
      </c>
      <c r="G73" s="2">
        <v>0</v>
      </c>
      <c r="H73" s="5">
        <v>0.2</v>
      </c>
      <c r="I73" s="2" t="b">
        <v>1</v>
      </c>
      <c r="J73" s="2">
        <v>1524</v>
      </c>
      <c r="K73" s="2" t="b">
        <v>0</v>
      </c>
      <c r="L73" s="2" t="b">
        <v>0</v>
      </c>
      <c r="M73" s="2">
        <v>0</v>
      </c>
      <c r="N73" s="6">
        <v>6</v>
      </c>
      <c r="O73">
        <f t="shared" si="6"/>
        <v>750</v>
      </c>
      <c r="P73">
        <f t="shared" si="7"/>
        <v>720</v>
      </c>
      <c r="Q73" s="11">
        <f t="shared" ca="1" si="5"/>
        <v>45305</v>
      </c>
      <c r="R73" s="11">
        <f t="shared" ca="1" si="5"/>
        <v>45335</v>
      </c>
    </row>
    <row r="74" spans="1:18" x14ac:dyDescent="0.25">
      <c r="A74" s="2">
        <v>2455</v>
      </c>
      <c r="B74" s="2">
        <v>2833</v>
      </c>
      <c r="C74" s="3">
        <v>40127</v>
      </c>
      <c r="D74" s="4" t="s">
        <v>10</v>
      </c>
      <c r="E74" s="2">
        <v>0</v>
      </c>
      <c r="F74" s="3">
        <f t="shared" si="4"/>
        <v>40157</v>
      </c>
      <c r="G74" s="2">
        <v>14</v>
      </c>
      <c r="H74" s="5">
        <v>0</v>
      </c>
      <c r="I74" s="2" t="b">
        <v>1</v>
      </c>
      <c r="J74" s="2">
        <v>640</v>
      </c>
      <c r="K74" s="2" t="b">
        <v>1</v>
      </c>
      <c r="L74" s="2" t="b">
        <v>0</v>
      </c>
      <c r="M74" s="2">
        <v>0</v>
      </c>
      <c r="N74" s="6">
        <v>6</v>
      </c>
      <c r="O74">
        <f t="shared" si="6"/>
        <v>735</v>
      </c>
      <c r="P74">
        <f t="shared" si="7"/>
        <v>705</v>
      </c>
      <c r="Q74" s="11">
        <f t="shared" ca="1" si="5"/>
        <v>45320</v>
      </c>
      <c r="R74" s="11">
        <f t="shared" ca="1" si="5"/>
        <v>45350</v>
      </c>
    </row>
    <row r="75" spans="1:18" x14ac:dyDescent="0.25">
      <c r="A75" s="2">
        <v>2456</v>
      </c>
      <c r="B75" s="2">
        <v>2866</v>
      </c>
      <c r="C75" s="3">
        <v>40127</v>
      </c>
      <c r="D75" s="4" t="s">
        <v>10</v>
      </c>
      <c r="E75" s="2">
        <v>0</v>
      </c>
      <c r="F75" s="3">
        <f t="shared" si="4"/>
        <v>40157</v>
      </c>
      <c r="G75" s="2">
        <v>14</v>
      </c>
      <c r="H75" s="5">
        <v>0</v>
      </c>
      <c r="I75" s="2" t="b">
        <v>1</v>
      </c>
      <c r="J75" s="2">
        <v>640</v>
      </c>
      <c r="K75" s="2" t="b">
        <v>1</v>
      </c>
      <c r="L75" s="2" t="b">
        <v>0</v>
      </c>
      <c r="M75" s="2">
        <v>0</v>
      </c>
      <c r="N75" s="6">
        <v>6</v>
      </c>
      <c r="O75">
        <f t="shared" si="6"/>
        <v>735</v>
      </c>
      <c r="P75">
        <f t="shared" si="7"/>
        <v>705</v>
      </c>
      <c r="Q75" s="11">
        <f t="shared" ca="1" si="5"/>
        <v>45320</v>
      </c>
      <c r="R75" s="11">
        <f t="shared" ca="1" si="5"/>
        <v>45350</v>
      </c>
    </row>
    <row r="76" spans="1:18" x14ac:dyDescent="0.25">
      <c r="A76" s="2">
        <v>2457</v>
      </c>
      <c r="B76" s="2">
        <v>1493</v>
      </c>
      <c r="C76" s="3">
        <v>40127</v>
      </c>
      <c r="D76" s="4" t="s">
        <v>10</v>
      </c>
      <c r="E76" s="2">
        <v>0</v>
      </c>
      <c r="F76" s="3">
        <f t="shared" si="4"/>
        <v>40157</v>
      </c>
      <c r="G76" s="2">
        <v>8</v>
      </c>
      <c r="H76" s="5">
        <v>0</v>
      </c>
      <c r="I76" s="2" t="b">
        <v>1</v>
      </c>
      <c r="J76" s="2">
        <v>640</v>
      </c>
      <c r="K76" s="2" t="b">
        <v>1</v>
      </c>
      <c r="L76" s="2" t="b">
        <v>0</v>
      </c>
      <c r="M76" s="2">
        <v>0</v>
      </c>
      <c r="N76" s="6">
        <v>6</v>
      </c>
      <c r="O76">
        <f t="shared" si="6"/>
        <v>735</v>
      </c>
      <c r="P76">
        <f t="shared" si="7"/>
        <v>705</v>
      </c>
      <c r="Q76" s="11">
        <f t="shared" ca="1" si="5"/>
        <v>45320</v>
      </c>
      <c r="R76" s="11">
        <f t="shared" ca="1" si="5"/>
        <v>45350</v>
      </c>
    </row>
    <row r="77" spans="1:18" x14ac:dyDescent="0.25">
      <c r="A77" s="2">
        <v>2458</v>
      </c>
      <c r="B77" s="2">
        <v>1484</v>
      </c>
      <c r="C77" s="3">
        <v>40162</v>
      </c>
      <c r="D77" s="4" t="s">
        <v>10</v>
      </c>
      <c r="E77" s="2">
        <v>0</v>
      </c>
      <c r="F77" s="3">
        <f t="shared" si="4"/>
        <v>40192</v>
      </c>
      <c r="G77" s="2">
        <v>28</v>
      </c>
      <c r="H77" s="5">
        <v>0</v>
      </c>
      <c r="I77" s="2" t="b">
        <v>1</v>
      </c>
      <c r="J77" s="2">
        <v>640</v>
      </c>
      <c r="K77" s="2" t="b">
        <v>1</v>
      </c>
      <c r="L77" s="2" t="b">
        <v>0</v>
      </c>
      <c r="M77" s="2">
        <v>0</v>
      </c>
      <c r="N77" s="6">
        <v>6</v>
      </c>
      <c r="O77">
        <f t="shared" si="6"/>
        <v>700</v>
      </c>
      <c r="P77">
        <f t="shared" si="7"/>
        <v>670</v>
      </c>
      <c r="Q77" s="11">
        <f t="shared" ca="1" si="5"/>
        <v>45355</v>
      </c>
      <c r="R77" s="11">
        <f t="shared" ca="1" si="5"/>
        <v>45385</v>
      </c>
    </row>
    <row r="78" spans="1:18" x14ac:dyDescent="0.25">
      <c r="A78" s="2">
        <v>2459</v>
      </c>
      <c r="B78" s="2">
        <v>2503</v>
      </c>
      <c r="C78" s="3">
        <v>40162</v>
      </c>
      <c r="D78" s="4" t="s">
        <v>10</v>
      </c>
      <c r="E78" s="2">
        <v>0</v>
      </c>
      <c r="F78" s="3">
        <f t="shared" si="4"/>
        <v>40192</v>
      </c>
      <c r="G78" s="2">
        <v>20</v>
      </c>
      <c r="H78" s="5">
        <v>0</v>
      </c>
      <c r="I78" s="2" t="b">
        <v>1</v>
      </c>
      <c r="J78" s="2">
        <v>640</v>
      </c>
      <c r="K78" s="2" t="b">
        <v>1</v>
      </c>
      <c r="L78" s="2" t="b">
        <v>0</v>
      </c>
      <c r="M78" s="2">
        <v>0</v>
      </c>
      <c r="N78" s="6">
        <v>6</v>
      </c>
      <c r="O78">
        <f t="shared" si="6"/>
        <v>700</v>
      </c>
      <c r="P78">
        <f t="shared" si="7"/>
        <v>670</v>
      </c>
      <c r="Q78" s="11">
        <f t="shared" ca="1" si="5"/>
        <v>45355</v>
      </c>
      <c r="R78" s="11">
        <f t="shared" ca="1" si="5"/>
        <v>45385</v>
      </c>
    </row>
    <row r="79" spans="1:18" x14ac:dyDescent="0.25">
      <c r="A79" s="2">
        <v>2460</v>
      </c>
      <c r="B79" s="2">
        <v>2852</v>
      </c>
      <c r="C79" s="3">
        <v>40130</v>
      </c>
      <c r="D79" s="4" t="s">
        <v>10</v>
      </c>
      <c r="E79" s="2">
        <v>0</v>
      </c>
      <c r="F79" s="3">
        <f t="shared" si="4"/>
        <v>40160</v>
      </c>
      <c r="G79" s="2">
        <v>14</v>
      </c>
      <c r="H79" s="5">
        <v>0</v>
      </c>
      <c r="I79" s="2" t="b">
        <v>1</v>
      </c>
      <c r="J79" s="2">
        <v>640</v>
      </c>
      <c r="K79" s="2" t="b">
        <v>1</v>
      </c>
      <c r="L79" s="2" t="b">
        <v>0</v>
      </c>
      <c r="M79" s="2">
        <v>0</v>
      </c>
      <c r="N79" s="6">
        <v>6</v>
      </c>
      <c r="O79">
        <f t="shared" si="6"/>
        <v>732</v>
      </c>
      <c r="P79">
        <f t="shared" si="7"/>
        <v>702</v>
      </c>
      <c r="Q79" s="11">
        <f t="shared" ca="1" si="5"/>
        <v>45323</v>
      </c>
      <c r="R79" s="11">
        <f t="shared" ca="1" si="5"/>
        <v>45353</v>
      </c>
    </row>
    <row r="80" spans="1:18" x14ac:dyDescent="0.25">
      <c r="A80" s="2">
        <v>2461</v>
      </c>
      <c r="B80" s="2">
        <v>2407</v>
      </c>
      <c r="C80" s="3">
        <v>40130</v>
      </c>
      <c r="D80" s="4" t="s">
        <v>10</v>
      </c>
      <c r="E80" s="2">
        <v>0</v>
      </c>
      <c r="F80" s="3">
        <f t="shared" si="4"/>
        <v>40160</v>
      </c>
      <c r="G80" s="2">
        <v>12</v>
      </c>
      <c r="H80" s="5">
        <v>0</v>
      </c>
      <c r="I80" s="2" t="b">
        <v>1</v>
      </c>
      <c r="J80" s="2">
        <v>640</v>
      </c>
      <c r="K80" s="2" t="b">
        <v>1</v>
      </c>
      <c r="L80" s="2" t="b">
        <v>0</v>
      </c>
      <c r="M80" s="2">
        <v>0</v>
      </c>
      <c r="N80" s="6">
        <v>6</v>
      </c>
      <c r="O80">
        <f t="shared" si="6"/>
        <v>732</v>
      </c>
      <c r="P80">
        <f t="shared" si="7"/>
        <v>702</v>
      </c>
      <c r="Q80" s="11">
        <f t="shared" ca="1" si="5"/>
        <v>45323</v>
      </c>
      <c r="R80" s="11">
        <f t="shared" ca="1" si="5"/>
        <v>45353</v>
      </c>
    </row>
    <row r="81" spans="1:18" x14ac:dyDescent="0.25">
      <c r="A81" s="2">
        <v>2462</v>
      </c>
      <c r="B81" s="2">
        <v>2259</v>
      </c>
      <c r="C81" s="3">
        <v>40133</v>
      </c>
      <c r="D81" s="4" t="s">
        <v>10</v>
      </c>
      <c r="E81" s="2">
        <v>0</v>
      </c>
      <c r="F81" s="3">
        <f t="shared" si="4"/>
        <v>40163</v>
      </c>
      <c r="G81" s="2">
        <v>0</v>
      </c>
      <c r="H81" s="5">
        <v>0.03</v>
      </c>
      <c r="I81" s="2" t="b">
        <v>1</v>
      </c>
      <c r="J81" s="2">
        <v>1524</v>
      </c>
      <c r="K81" s="2" t="b">
        <v>0</v>
      </c>
      <c r="L81" s="2" t="b">
        <v>0</v>
      </c>
      <c r="M81" s="2">
        <v>0</v>
      </c>
      <c r="N81" s="6">
        <v>6</v>
      </c>
      <c r="O81">
        <f t="shared" si="6"/>
        <v>729</v>
      </c>
      <c r="P81">
        <f t="shared" si="7"/>
        <v>699</v>
      </c>
      <c r="Q81" s="11">
        <f t="shared" ca="1" si="5"/>
        <v>45326</v>
      </c>
      <c r="R81" s="11">
        <f t="shared" ca="1" si="5"/>
        <v>45356</v>
      </c>
    </row>
    <row r="82" spans="1:18" x14ac:dyDescent="0.25">
      <c r="A82" s="2">
        <v>2463</v>
      </c>
      <c r="B82" s="2">
        <v>1108</v>
      </c>
      <c r="C82" s="3">
        <v>40133</v>
      </c>
      <c r="D82" s="4" t="s">
        <v>10</v>
      </c>
      <c r="E82" s="2">
        <v>0</v>
      </c>
      <c r="F82" s="3">
        <f t="shared" si="4"/>
        <v>40163</v>
      </c>
      <c r="G82" s="2">
        <v>0</v>
      </c>
      <c r="H82" s="5">
        <v>0.1</v>
      </c>
      <c r="I82" s="2" t="b">
        <v>1</v>
      </c>
      <c r="J82" s="2">
        <v>1524</v>
      </c>
      <c r="K82" s="2" t="b">
        <v>0</v>
      </c>
      <c r="L82" s="2" t="b">
        <v>0</v>
      </c>
      <c r="M82" s="2">
        <v>0</v>
      </c>
      <c r="N82" s="6">
        <v>6</v>
      </c>
      <c r="O82">
        <f t="shared" si="6"/>
        <v>729</v>
      </c>
      <c r="P82">
        <f t="shared" si="7"/>
        <v>699</v>
      </c>
      <c r="Q82" s="11">
        <f t="shared" ca="1" si="5"/>
        <v>45326</v>
      </c>
      <c r="R82" s="11">
        <f t="shared" ca="1" si="5"/>
        <v>45356</v>
      </c>
    </row>
    <row r="83" spans="1:18" x14ac:dyDescent="0.25">
      <c r="A83" s="2">
        <v>2464</v>
      </c>
      <c r="B83" s="2">
        <v>3623</v>
      </c>
      <c r="C83" s="3">
        <v>40148</v>
      </c>
      <c r="D83" s="4" t="s">
        <v>10</v>
      </c>
      <c r="E83" s="2">
        <v>0</v>
      </c>
      <c r="F83" s="3">
        <f t="shared" si="4"/>
        <v>40178</v>
      </c>
      <c r="G83" s="2">
        <v>14</v>
      </c>
      <c r="H83" s="5">
        <v>0</v>
      </c>
      <c r="I83" s="2" t="b">
        <v>1</v>
      </c>
      <c r="J83" s="2">
        <v>640</v>
      </c>
      <c r="K83" s="2" t="b">
        <v>1</v>
      </c>
      <c r="L83" s="2" t="b">
        <v>0</v>
      </c>
      <c r="M83" s="2">
        <v>0</v>
      </c>
      <c r="N83" s="6">
        <v>6</v>
      </c>
      <c r="O83">
        <f t="shared" si="6"/>
        <v>714</v>
      </c>
      <c r="P83">
        <f t="shared" si="7"/>
        <v>684</v>
      </c>
      <c r="Q83" s="11">
        <f t="shared" ca="1" si="5"/>
        <v>45341</v>
      </c>
      <c r="R83" s="11">
        <f t="shared" ca="1" si="5"/>
        <v>45371</v>
      </c>
    </row>
    <row r="84" spans="1:18" x14ac:dyDescent="0.25">
      <c r="A84" s="2">
        <v>2465</v>
      </c>
      <c r="B84" s="2">
        <v>3638</v>
      </c>
      <c r="C84" s="3">
        <v>40135</v>
      </c>
      <c r="D84" s="4" t="s">
        <v>10</v>
      </c>
      <c r="E84" s="2">
        <v>0</v>
      </c>
      <c r="F84" s="3">
        <f t="shared" si="4"/>
        <v>40165</v>
      </c>
      <c r="G84" s="2">
        <v>40</v>
      </c>
      <c r="H84" s="5">
        <v>0</v>
      </c>
      <c r="I84" s="2" t="b">
        <v>1</v>
      </c>
      <c r="J84" s="2">
        <v>1524</v>
      </c>
      <c r="K84" s="2" t="b">
        <v>0</v>
      </c>
      <c r="L84" s="2" t="b">
        <v>0</v>
      </c>
      <c r="M84" s="2">
        <v>0</v>
      </c>
      <c r="N84" s="6">
        <v>6</v>
      </c>
      <c r="O84">
        <f t="shared" si="6"/>
        <v>727</v>
      </c>
      <c r="P84">
        <f t="shared" si="7"/>
        <v>697</v>
      </c>
      <c r="Q84" s="11">
        <f t="shared" ca="1" si="5"/>
        <v>45328</v>
      </c>
      <c r="R84" s="11">
        <f t="shared" ca="1" si="5"/>
        <v>45358</v>
      </c>
    </row>
    <row r="85" spans="1:18" x14ac:dyDescent="0.25">
      <c r="A85" s="2">
        <v>2466</v>
      </c>
      <c r="B85" s="2">
        <v>2822</v>
      </c>
      <c r="C85" s="3">
        <v>40142</v>
      </c>
      <c r="D85" s="4" t="s">
        <v>10</v>
      </c>
      <c r="E85" s="2">
        <v>0</v>
      </c>
      <c r="F85" s="3">
        <f t="shared" si="4"/>
        <v>40172</v>
      </c>
      <c r="G85" s="2">
        <v>20</v>
      </c>
      <c r="H85" s="5">
        <v>0</v>
      </c>
      <c r="I85" s="2" t="b">
        <v>1</v>
      </c>
      <c r="J85" s="2">
        <v>640</v>
      </c>
      <c r="K85" s="2" t="b">
        <v>1</v>
      </c>
      <c r="L85" s="2" t="b">
        <v>0</v>
      </c>
      <c r="M85" s="2">
        <v>0</v>
      </c>
      <c r="N85" s="6">
        <v>6</v>
      </c>
      <c r="O85">
        <f t="shared" si="6"/>
        <v>720</v>
      </c>
      <c r="P85">
        <f t="shared" si="7"/>
        <v>690</v>
      </c>
      <c r="Q85" s="11">
        <f t="shared" ca="1" si="5"/>
        <v>45335</v>
      </c>
      <c r="R85" s="11">
        <f t="shared" ca="1" si="5"/>
        <v>45365</v>
      </c>
    </row>
    <row r="86" spans="1:18" x14ac:dyDescent="0.25">
      <c r="A86" s="2">
        <v>2467</v>
      </c>
      <c r="B86" s="2">
        <v>3671</v>
      </c>
      <c r="C86" s="3">
        <v>40138</v>
      </c>
      <c r="D86" s="4" t="s">
        <v>10</v>
      </c>
      <c r="E86" s="2">
        <v>0</v>
      </c>
      <c r="F86" s="3">
        <f t="shared" si="4"/>
        <v>40168</v>
      </c>
      <c r="G86" s="2">
        <v>14</v>
      </c>
      <c r="H86" s="5">
        <v>0</v>
      </c>
      <c r="I86" s="2" t="b">
        <v>1</v>
      </c>
      <c r="J86" s="2">
        <v>640</v>
      </c>
      <c r="K86" s="2" t="b">
        <v>1</v>
      </c>
      <c r="L86" s="2" t="b">
        <v>0</v>
      </c>
      <c r="M86" s="2">
        <v>0</v>
      </c>
      <c r="N86" s="6">
        <v>6</v>
      </c>
      <c r="O86">
        <f t="shared" si="6"/>
        <v>724</v>
      </c>
      <c r="P86">
        <f t="shared" si="7"/>
        <v>694</v>
      </c>
      <c r="Q86" s="11">
        <f t="shared" ca="1" si="5"/>
        <v>45331</v>
      </c>
      <c r="R86" s="11">
        <f t="shared" ca="1" si="5"/>
        <v>45361</v>
      </c>
    </row>
    <row r="87" spans="1:18" x14ac:dyDescent="0.25">
      <c r="A87" s="2">
        <v>2468</v>
      </c>
      <c r="B87" s="2">
        <v>2962</v>
      </c>
      <c r="C87" s="3">
        <v>40140</v>
      </c>
      <c r="D87" s="4" t="s">
        <v>10</v>
      </c>
      <c r="E87" s="2">
        <v>0</v>
      </c>
      <c r="F87" s="3">
        <f t="shared" si="4"/>
        <v>40170</v>
      </c>
      <c r="G87" s="2">
        <v>60</v>
      </c>
      <c r="H87" s="5">
        <v>0</v>
      </c>
      <c r="I87" s="2" t="b">
        <v>1</v>
      </c>
      <c r="J87" s="2">
        <v>1524</v>
      </c>
      <c r="K87" s="2" t="b">
        <v>0</v>
      </c>
      <c r="L87" s="2" t="b">
        <v>0</v>
      </c>
      <c r="M87" s="2">
        <v>0</v>
      </c>
      <c r="N87" s="6">
        <v>6</v>
      </c>
      <c r="O87">
        <f t="shared" si="6"/>
        <v>722</v>
      </c>
      <c r="P87">
        <f t="shared" si="7"/>
        <v>692</v>
      </c>
      <c r="Q87" s="11">
        <f t="shared" ca="1" si="5"/>
        <v>45333</v>
      </c>
      <c r="R87" s="11">
        <f t="shared" ca="1" si="5"/>
        <v>45363</v>
      </c>
    </row>
    <row r="88" spans="1:18" x14ac:dyDescent="0.25">
      <c r="A88" s="2">
        <v>2469</v>
      </c>
      <c r="B88" s="2">
        <v>887</v>
      </c>
      <c r="C88" s="3">
        <v>40140</v>
      </c>
      <c r="D88" s="4" t="s">
        <v>10</v>
      </c>
      <c r="E88" s="2">
        <v>0</v>
      </c>
      <c r="F88" s="3">
        <f t="shared" ref="F88:F151" si="8">C88+30</f>
        <v>40170</v>
      </c>
      <c r="G88" s="2">
        <v>0</v>
      </c>
      <c r="H88" s="5">
        <v>0</v>
      </c>
      <c r="I88" s="2" t="b">
        <v>1</v>
      </c>
      <c r="J88" s="2">
        <v>1524</v>
      </c>
      <c r="K88" s="2" t="b">
        <v>0</v>
      </c>
      <c r="L88" s="2" t="b">
        <v>0</v>
      </c>
      <c r="M88" s="2">
        <v>0</v>
      </c>
      <c r="N88" s="6">
        <v>6</v>
      </c>
      <c r="O88">
        <f t="shared" si="6"/>
        <v>722</v>
      </c>
      <c r="P88">
        <f t="shared" si="7"/>
        <v>692</v>
      </c>
      <c r="Q88" s="11">
        <f t="shared" ref="Q88:R151" ca="1" si="9">TODAY()-O88</f>
        <v>45333</v>
      </c>
      <c r="R88" s="11">
        <f t="shared" ca="1" si="9"/>
        <v>45363</v>
      </c>
    </row>
    <row r="89" spans="1:18" x14ac:dyDescent="0.25">
      <c r="A89" s="2">
        <v>2470</v>
      </c>
      <c r="B89" s="2">
        <v>1548</v>
      </c>
      <c r="C89" s="3">
        <v>40141</v>
      </c>
      <c r="D89" s="4" t="s">
        <v>10</v>
      </c>
      <c r="E89" s="2">
        <v>0</v>
      </c>
      <c r="F89" s="3">
        <f t="shared" si="8"/>
        <v>40171</v>
      </c>
      <c r="G89" s="2">
        <v>0</v>
      </c>
      <c r="H89" s="5">
        <v>0.1</v>
      </c>
      <c r="I89" s="2" t="b">
        <v>1</v>
      </c>
      <c r="J89" s="2">
        <v>1524</v>
      </c>
      <c r="K89" s="2" t="b">
        <v>0</v>
      </c>
      <c r="L89" s="2" t="b">
        <v>0</v>
      </c>
      <c r="M89" s="2">
        <v>0</v>
      </c>
      <c r="N89" s="6">
        <v>6</v>
      </c>
      <c r="O89">
        <f t="shared" si="6"/>
        <v>721</v>
      </c>
      <c r="P89">
        <f t="shared" si="7"/>
        <v>691</v>
      </c>
      <c r="Q89" s="11">
        <f t="shared" ca="1" si="9"/>
        <v>45334</v>
      </c>
      <c r="R89" s="11">
        <f t="shared" ca="1" si="9"/>
        <v>45364</v>
      </c>
    </row>
    <row r="90" spans="1:18" x14ac:dyDescent="0.25">
      <c r="A90" s="2">
        <v>2471</v>
      </c>
      <c r="B90" s="2">
        <v>3620</v>
      </c>
      <c r="C90" s="3">
        <v>40141</v>
      </c>
      <c r="D90" s="4" t="s">
        <v>10</v>
      </c>
      <c r="E90" s="2">
        <v>0</v>
      </c>
      <c r="F90" s="3">
        <f t="shared" si="8"/>
        <v>40171</v>
      </c>
      <c r="G90" s="2">
        <v>0</v>
      </c>
      <c r="H90" s="5">
        <v>0.03</v>
      </c>
      <c r="I90" s="2" t="b">
        <v>1</v>
      </c>
      <c r="J90" s="2">
        <v>1524</v>
      </c>
      <c r="K90" s="2" t="b">
        <v>0</v>
      </c>
      <c r="L90" s="2" t="b">
        <v>0</v>
      </c>
      <c r="M90" s="2">
        <v>0</v>
      </c>
      <c r="N90" s="6">
        <v>6</v>
      </c>
      <c r="O90">
        <f t="shared" si="6"/>
        <v>721</v>
      </c>
      <c r="P90">
        <f t="shared" si="7"/>
        <v>691</v>
      </c>
      <c r="Q90" s="11">
        <f t="shared" ca="1" si="9"/>
        <v>45334</v>
      </c>
      <c r="R90" s="11">
        <f t="shared" ca="1" si="9"/>
        <v>45364</v>
      </c>
    </row>
    <row r="91" spans="1:18" x14ac:dyDescent="0.25">
      <c r="A91" s="2">
        <v>2472</v>
      </c>
      <c r="B91" s="2">
        <v>2399</v>
      </c>
      <c r="C91" s="3">
        <v>40144</v>
      </c>
      <c r="D91" s="4" t="s">
        <v>10</v>
      </c>
      <c r="E91" s="2">
        <v>0</v>
      </c>
      <c r="F91" s="3">
        <f t="shared" si="8"/>
        <v>40174</v>
      </c>
      <c r="G91" s="2">
        <v>0</v>
      </c>
      <c r="H91" s="5">
        <v>0</v>
      </c>
      <c r="I91" s="2" t="b">
        <v>1</v>
      </c>
      <c r="J91" s="2">
        <v>1524</v>
      </c>
      <c r="K91" s="2" t="b">
        <v>0</v>
      </c>
      <c r="L91" s="2" t="b">
        <v>0</v>
      </c>
      <c r="M91" s="2">
        <v>0</v>
      </c>
      <c r="N91" s="6">
        <v>6</v>
      </c>
      <c r="O91">
        <f t="shared" si="6"/>
        <v>718</v>
      </c>
      <c r="P91">
        <f t="shared" si="7"/>
        <v>688</v>
      </c>
      <c r="Q91" s="11">
        <f t="shared" ca="1" si="9"/>
        <v>45337</v>
      </c>
      <c r="R91" s="11">
        <f t="shared" ca="1" si="9"/>
        <v>45367</v>
      </c>
    </row>
    <row r="92" spans="1:18" x14ac:dyDescent="0.25">
      <c r="A92" s="2">
        <v>2473</v>
      </c>
      <c r="B92" s="2">
        <v>2913</v>
      </c>
      <c r="C92" s="3">
        <v>40147</v>
      </c>
      <c r="D92" s="4" t="s">
        <v>10</v>
      </c>
      <c r="E92" s="2">
        <v>1777.25</v>
      </c>
      <c r="F92" s="3">
        <f t="shared" si="8"/>
        <v>40177</v>
      </c>
      <c r="G92" s="2">
        <v>0</v>
      </c>
      <c r="H92" s="5">
        <v>0</v>
      </c>
      <c r="I92" s="2" t="b">
        <v>1</v>
      </c>
      <c r="J92" s="2">
        <v>1524</v>
      </c>
      <c r="K92" s="2" t="b">
        <v>0</v>
      </c>
      <c r="L92" s="2" t="b">
        <v>0</v>
      </c>
      <c r="M92" s="2">
        <v>0</v>
      </c>
      <c r="N92" s="6">
        <v>6</v>
      </c>
      <c r="O92">
        <f t="shared" si="6"/>
        <v>715</v>
      </c>
      <c r="P92">
        <f t="shared" si="7"/>
        <v>685</v>
      </c>
      <c r="Q92" s="11">
        <f t="shared" ca="1" si="9"/>
        <v>45340</v>
      </c>
      <c r="R92" s="11">
        <f t="shared" ca="1" si="9"/>
        <v>45370</v>
      </c>
    </row>
    <row r="93" spans="1:18" x14ac:dyDescent="0.25">
      <c r="A93" s="2">
        <v>2474</v>
      </c>
      <c r="B93" s="2">
        <v>1745</v>
      </c>
      <c r="C93" s="3">
        <v>40147</v>
      </c>
      <c r="D93" s="4" t="s">
        <v>10</v>
      </c>
      <c r="E93" s="2">
        <v>0</v>
      </c>
      <c r="F93" s="3">
        <f t="shared" si="8"/>
        <v>40177</v>
      </c>
      <c r="G93" s="2">
        <v>0</v>
      </c>
      <c r="H93" s="5">
        <v>0</v>
      </c>
      <c r="I93" s="2" t="b">
        <v>1</v>
      </c>
      <c r="J93" s="2">
        <v>1524</v>
      </c>
      <c r="K93" s="2" t="b">
        <v>0</v>
      </c>
      <c r="L93" s="2" t="b">
        <v>0</v>
      </c>
      <c r="M93" s="2">
        <v>0</v>
      </c>
      <c r="N93" s="6">
        <v>6</v>
      </c>
      <c r="O93">
        <f t="shared" si="6"/>
        <v>715</v>
      </c>
      <c r="P93">
        <f t="shared" si="7"/>
        <v>685</v>
      </c>
      <c r="Q93" s="11">
        <f t="shared" ca="1" si="9"/>
        <v>45340</v>
      </c>
      <c r="R93" s="11">
        <f t="shared" ca="1" si="9"/>
        <v>45370</v>
      </c>
    </row>
    <row r="94" spans="1:18" x14ac:dyDescent="0.25">
      <c r="A94" s="2">
        <v>2475</v>
      </c>
      <c r="B94" s="2">
        <v>2319</v>
      </c>
      <c r="C94" s="3">
        <v>40149</v>
      </c>
      <c r="D94" s="4" t="s">
        <v>10</v>
      </c>
      <c r="E94" s="2">
        <v>2000</v>
      </c>
      <c r="F94" s="3">
        <f t="shared" si="8"/>
        <v>40179</v>
      </c>
      <c r="G94" s="2">
        <v>0</v>
      </c>
      <c r="H94" s="5">
        <v>0.1</v>
      </c>
      <c r="I94" s="2" t="b">
        <v>1</v>
      </c>
      <c r="J94" s="2">
        <v>1524</v>
      </c>
      <c r="K94" s="2" t="b">
        <v>0</v>
      </c>
      <c r="L94" s="2" t="b">
        <v>0</v>
      </c>
      <c r="M94" s="2">
        <v>0</v>
      </c>
      <c r="N94" s="6">
        <v>6</v>
      </c>
      <c r="O94">
        <f t="shared" si="6"/>
        <v>713</v>
      </c>
      <c r="P94">
        <f t="shared" si="7"/>
        <v>683</v>
      </c>
      <c r="Q94" s="11">
        <f t="shared" ca="1" si="9"/>
        <v>45342</v>
      </c>
      <c r="R94" s="11">
        <f t="shared" ca="1" si="9"/>
        <v>45372</v>
      </c>
    </row>
    <row r="95" spans="1:18" x14ac:dyDescent="0.25">
      <c r="A95" s="2">
        <v>2476</v>
      </c>
      <c r="B95" s="2">
        <v>2765</v>
      </c>
      <c r="C95" s="3">
        <v>40149</v>
      </c>
      <c r="D95" s="4" t="s">
        <v>10</v>
      </c>
      <c r="E95" s="2">
        <v>0</v>
      </c>
      <c r="F95" s="3">
        <f t="shared" si="8"/>
        <v>40179</v>
      </c>
      <c r="G95" s="2">
        <v>0</v>
      </c>
      <c r="H95" s="5">
        <v>0</v>
      </c>
      <c r="I95" s="2" t="b">
        <v>1</v>
      </c>
      <c r="J95" s="2">
        <v>1524</v>
      </c>
      <c r="K95" s="2" t="b">
        <v>0</v>
      </c>
      <c r="L95" s="2" t="b">
        <v>0</v>
      </c>
      <c r="M95" s="2">
        <v>0</v>
      </c>
      <c r="N95" s="6">
        <v>6</v>
      </c>
      <c r="O95">
        <f t="shared" si="6"/>
        <v>713</v>
      </c>
      <c r="P95">
        <f t="shared" si="7"/>
        <v>683</v>
      </c>
      <c r="Q95" s="11">
        <f t="shared" ca="1" si="9"/>
        <v>45342</v>
      </c>
      <c r="R95" s="11">
        <f t="shared" ca="1" si="9"/>
        <v>45372</v>
      </c>
    </row>
    <row r="96" spans="1:18" x14ac:dyDescent="0.25">
      <c r="A96" s="2">
        <v>2477</v>
      </c>
      <c r="B96" s="2">
        <v>2928</v>
      </c>
      <c r="C96" s="3">
        <v>40153</v>
      </c>
      <c r="D96" s="4" t="s">
        <v>10</v>
      </c>
      <c r="E96" s="2">
        <v>0</v>
      </c>
      <c r="F96" s="3">
        <f t="shared" si="8"/>
        <v>40183</v>
      </c>
      <c r="G96" s="2">
        <v>0</v>
      </c>
      <c r="H96" s="5">
        <v>0.1</v>
      </c>
      <c r="I96" s="2" t="b">
        <v>1</v>
      </c>
      <c r="J96" s="2">
        <v>1524</v>
      </c>
      <c r="K96" s="2" t="b">
        <v>0</v>
      </c>
      <c r="L96" s="2" t="b">
        <v>0</v>
      </c>
      <c r="M96" s="2">
        <v>0</v>
      </c>
      <c r="N96" s="6">
        <v>6</v>
      </c>
      <c r="O96">
        <f t="shared" si="6"/>
        <v>709</v>
      </c>
      <c r="P96">
        <f t="shared" si="7"/>
        <v>679</v>
      </c>
      <c r="Q96" s="11">
        <f t="shared" ca="1" si="9"/>
        <v>45346</v>
      </c>
      <c r="R96" s="11">
        <f t="shared" ca="1" si="9"/>
        <v>45376</v>
      </c>
    </row>
    <row r="97" spans="1:18" x14ac:dyDescent="0.25">
      <c r="A97" s="2">
        <v>2478</v>
      </c>
      <c r="B97" s="2">
        <v>3677</v>
      </c>
      <c r="C97" s="3">
        <v>40155</v>
      </c>
      <c r="D97" s="4" t="s">
        <v>10</v>
      </c>
      <c r="E97" s="2">
        <v>0</v>
      </c>
      <c r="F97" s="3">
        <f t="shared" si="8"/>
        <v>40185</v>
      </c>
      <c r="G97" s="2">
        <v>45</v>
      </c>
      <c r="H97" s="5">
        <v>0</v>
      </c>
      <c r="I97" s="2" t="b">
        <v>1</v>
      </c>
      <c r="J97" s="2">
        <v>1524</v>
      </c>
      <c r="K97" s="2" t="b">
        <v>1</v>
      </c>
      <c r="L97" s="2" t="b">
        <v>0</v>
      </c>
      <c r="M97" s="2">
        <v>0</v>
      </c>
      <c r="N97" s="6">
        <v>6</v>
      </c>
      <c r="O97">
        <f t="shared" si="6"/>
        <v>707</v>
      </c>
      <c r="P97">
        <f t="shared" si="7"/>
        <v>677</v>
      </c>
      <c r="Q97" s="11">
        <f t="shared" ca="1" si="9"/>
        <v>45348</v>
      </c>
      <c r="R97" s="11">
        <f t="shared" ca="1" si="9"/>
        <v>45378</v>
      </c>
    </row>
    <row r="98" spans="1:18" x14ac:dyDescent="0.25">
      <c r="A98" s="2">
        <v>2479</v>
      </c>
      <c r="B98" s="2">
        <v>798</v>
      </c>
      <c r="C98" s="3">
        <v>40158</v>
      </c>
      <c r="D98" s="4" t="s">
        <v>10</v>
      </c>
      <c r="E98" s="2">
        <v>235</v>
      </c>
      <c r="F98" s="3">
        <f t="shared" si="8"/>
        <v>40188</v>
      </c>
      <c r="G98" s="2">
        <v>0</v>
      </c>
      <c r="H98" s="5">
        <v>0</v>
      </c>
      <c r="I98" s="2" t="b">
        <v>1</v>
      </c>
      <c r="J98" s="2">
        <v>1524</v>
      </c>
      <c r="K98" s="2" t="b">
        <v>0</v>
      </c>
      <c r="L98" s="2" t="b">
        <v>0</v>
      </c>
      <c r="M98" s="2">
        <v>0</v>
      </c>
      <c r="N98" s="6">
        <v>6</v>
      </c>
      <c r="O98">
        <f t="shared" si="6"/>
        <v>704</v>
      </c>
      <c r="P98">
        <f t="shared" si="7"/>
        <v>674</v>
      </c>
      <c r="Q98" s="11">
        <f t="shared" ca="1" si="9"/>
        <v>45351</v>
      </c>
      <c r="R98" s="11">
        <f t="shared" ca="1" si="9"/>
        <v>45381</v>
      </c>
    </row>
    <row r="99" spans="1:18" x14ac:dyDescent="0.25">
      <c r="A99" s="2">
        <v>2480</v>
      </c>
      <c r="B99" s="2">
        <v>593</v>
      </c>
      <c r="C99" s="3">
        <v>40162</v>
      </c>
      <c r="D99" s="4" t="s">
        <v>10</v>
      </c>
      <c r="E99" s="2">
        <v>0</v>
      </c>
      <c r="F99" s="3">
        <f t="shared" si="8"/>
        <v>40192</v>
      </c>
      <c r="G99" s="2">
        <v>0</v>
      </c>
      <c r="H99" s="5">
        <v>0</v>
      </c>
      <c r="I99" s="2" t="b">
        <v>1</v>
      </c>
      <c r="J99" s="2">
        <v>1524</v>
      </c>
      <c r="K99" s="2" t="b">
        <v>1</v>
      </c>
      <c r="L99" s="2" t="b">
        <v>0</v>
      </c>
      <c r="M99" s="2">
        <v>0</v>
      </c>
      <c r="N99" s="6">
        <v>6</v>
      </c>
      <c r="O99">
        <f t="shared" si="6"/>
        <v>700</v>
      </c>
      <c r="P99">
        <f t="shared" si="7"/>
        <v>670</v>
      </c>
      <c r="Q99" s="11">
        <f t="shared" ca="1" si="9"/>
        <v>45355</v>
      </c>
      <c r="R99" s="11">
        <f t="shared" ca="1" si="9"/>
        <v>45385</v>
      </c>
    </row>
    <row r="100" spans="1:18" x14ac:dyDescent="0.25">
      <c r="A100" s="2">
        <v>2481</v>
      </c>
      <c r="B100" s="2">
        <v>2974</v>
      </c>
      <c r="C100" s="3">
        <v>40164</v>
      </c>
      <c r="D100" s="4" t="s">
        <v>10</v>
      </c>
      <c r="E100" s="2">
        <v>0</v>
      </c>
      <c r="F100" s="3">
        <f t="shared" si="8"/>
        <v>40194</v>
      </c>
      <c r="G100" s="2">
        <v>14</v>
      </c>
      <c r="H100" s="5">
        <v>0</v>
      </c>
      <c r="I100" s="2" t="b">
        <v>1</v>
      </c>
      <c r="J100" s="2">
        <v>640</v>
      </c>
      <c r="K100" s="2" t="b">
        <v>1</v>
      </c>
      <c r="L100" s="2" t="b">
        <v>0</v>
      </c>
      <c r="M100" s="2">
        <v>0</v>
      </c>
      <c r="N100" s="6">
        <v>6</v>
      </c>
      <c r="O100">
        <f t="shared" si="6"/>
        <v>698</v>
      </c>
      <c r="P100">
        <f t="shared" si="7"/>
        <v>668</v>
      </c>
      <c r="Q100" s="11">
        <f t="shared" ca="1" si="9"/>
        <v>45357</v>
      </c>
      <c r="R100" s="11">
        <f t="shared" ca="1" si="9"/>
        <v>45387</v>
      </c>
    </row>
    <row r="101" spans="1:18" x14ac:dyDescent="0.25">
      <c r="A101" s="2">
        <v>2482</v>
      </c>
      <c r="B101" s="2">
        <v>2818</v>
      </c>
      <c r="C101" s="3">
        <v>40164</v>
      </c>
      <c r="D101" s="4" t="s">
        <v>10</v>
      </c>
      <c r="E101" s="2">
        <v>0</v>
      </c>
      <c r="F101" s="3">
        <f t="shared" si="8"/>
        <v>40194</v>
      </c>
      <c r="G101" s="2">
        <v>14</v>
      </c>
      <c r="H101" s="5">
        <v>0</v>
      </c>
      <c r="I101" s="2" t="b">
        <v>1</v>
      </c>
      <c r="J101" s="2">
        <v>640</v>
      </c>
      <c r="K101" s="2" t="b">
        <v>1</v>
      </c>
      <c r="L101" s="2" t="b">
        <v>0</v>
      </c>
      <c r="M101" s="2">
        <v>0</v>
      </c>
      <c r="N101" s="6">
        <v>6</v>
      </c>
      <c r="O101">
        <f t="shared" si="6"/>
        <v>698</v>
      </c>
      <c r="P101">
        <f t="shared" si="7"/>
        <v>668</v>
      </c>
      <c r="Q101" s="11">
        <f t="shared" ca="1" si="9"/>
        <v>45357</v>
      </c>
      <c r="R101" s="11">
        <f t="shared" ca="1" si="9"/>
        <v>45387</v>
      </c>
    </row>
    <row r="102" spans="1:18" x14ac:dyDescent="0.25">
      <c r="A102" s="2">
        <v>2483</v>
      </c>
      <c r="B102" s="2">
        <v>1745</v>
      </c>
      <c r="C102" s="3">
        <v>40186</v>
      </c>
      <c r="D102" s="4" t="s">
        <v>10</v>
      </c>
      <c r="E102" s="2">
        <v>0</v>
      </c>
      <c r="F102" s="3">
        <f t="shared" si="8"/>
        <v>40216</v>
      </c>
      <c r="G102" s="2">
        <v>0</v>
      </c>
      <c r="H102" s="5">
        <v>0</v>
      </c>
      <c r="I102" s="2" t="b">
        <v>1</v>
      </c>
      <c r="J102" s="2">
        <v>1524</v>
      </c>
      <c r="K102" s="2" t="b">
        <v>0</v>
      </c>
      <c r="L102" s="2" t="b">
        <v>0</v>
      </c>
      <c r="M102" s="2">
        <v>0</v>
      </c>
      <c r="N102" s="6">
        <v>6</v>
      </c>
      <c r="O102">
        <f t="shared" si="6"/>
        <v>676</v>
      </c>
      <c r="P102">
        <f t="shared" si="7"/>
        <v>646</v>
      </c>
      <c r="Q102" s="11">
        <f t="shared" ca="1" si="9"/>
        <v>45379</v>
      </c>
      <c r="R102" s="11">
        <f t="shared" ca="1" si="9"/>
        <v>45409</v>
      </c>
    </row>
    <row r="103" spans="1:18" x14ac:dyDescent="0.25">
      <c r="A103" s="2">
        <v>2484</v>
      </c>
      <c r="B103" s="2">
        <v>2496</v>
      </c>
      <c r="C103" s="3">
        <v>40186</v>
      </c>
      <c r="D103" s="4" t="s">
        <v>10</v>
      </c>
      <c r="E103" s="2">
        <v>0</v>
      </c>
      <c r="F103" s="3">
        <f t="shared" si="8"/>
        <v>40216</v>
      </c>
      <c r="G103" s="2">
        <v>0</v>
      </c>
      <c r="H103" s="5">
        <v>0</v>
      </c>
      <c r="I103" s="2" t="b">
        <v>1</v>
      </c>
      <c r="J103" s="2">
        <v>1524</v>
      </c>
      <c r="K103" s="2" t="b">
        <v>0</v>
      </c>
      <c r="L103" s="2" t="b">
        <v>0</v>
      </c>
      <c r="M103" s="2">
        <v>0</v>
      </c>
      <c r="N103" s="6">
        <v>6</v>
      </c>
      <c r="O103">
        <f t="shared" si="6"/>
        <v>676</v>
      </c>
      <c r="P103">
        <f t="shared" si="7"/>
        <v>646</v>
      </c>
      <c r="Q103" s="11">
        <f t="shared" ca="1" si="9"/>
        <v>45379</v>
      </c>
      <c r="R103" s="11">
        <f t="shared" ca="1" si="9"/>
        <v>45409</v>
      </c>
    </row>
    <row r="104" spans="1:18" x14ac:dyDescent="0.25">
      <c r="A104" s="2">
        <v>2485</v>
      </c>
      <c r="B104" s="2">
        <v>1493</v>
      </c>
      <c r="C104" s="3">
        <v>40192</v>
      </c>
      <c r="D104" s="4" t="s">
        <v>10</v>
      </c>
      <c r="E104" s="2">
        <v>0</v>
      </c>
      <c r="F104" s="3">
        <f t="shared" si="8"/>
        <v>40222</v>
      </c>
      <c r="G104" s="2">
        <v>14</v>
      </c>
      <c r="H104" s="5">
        <v>0</v>
      </c>
      <c r="I104" s="2" t="b">
        <v>1</v>
      </c>
      <c r="J104" s="2">
        <v>640</v>
      </c>
      <c r="K104" s="2" t="b">
        <v>1</v>
      </c>
      <c r="L104" s="2" t="b">
        <v>0</v>
      </c>
      <c r="M104" s="2">
        <v>0</v>
      </c>
      <c r="N104" s="6">
        <v>6</v>
      </c>
      <c r="O104">
        <f t="shared" si="6"/>
        <v>670</v>
      </c>
      <c r="P104">
        <f t="shared" si="7"/>
        <v>640</v>
      </c>
      <c r="Q104" s="11">
        <f t="shared" ca="1" si="9"/>
        <v>45385</v>
      </c>
      <c r="R104" s="11">
        <f t="shared" ca="1" si="9"/>
        <v>45415</v>
      </c>
    </row>
    <row r="105" spans="1:18" x14ac:dyDescent="0.25">
      <c r="A105" s="2">
        <v>2486</v>
      </c>
      <c r="B105" s="2">
        <v>1277</v>
      </c>
      <c r="C105" s="3">
        <v>40200</v>
      </c>
      <c r="D105" s="4" t="s">
        <v>10</v>
      </c>
      <c r="E105" s="2">
        <v>0</v>
      </c>
      <c r="F105" s="3">
        <f t="shared" si="8"/>
        <v>40230</v>
      </c>
      <c r="G105" s="2">
        <v>0</v>
      </c>
      <c r="H105" s="5">
        <v>0.2</v>
      </c>
      <c r="I105" s="2" t="b">
        <v>1</v>
      </c>
      <c r="J105" s="2">
        <v>1524</v>
      </c>
      <c r="K105" s="2" t="b">
        <v>0</v>
      </c>
      <c r="L105" s="2" t="b">
        <v>0</v>
      </c>
      <c r="M105" s="2">
        <v>0</v>
      </c>
      <c r="N105" s="6">
        <v>6</v>
      </c>
      <c r="O105">
        <f t="shared" si="6"/>
        <v>662</v>
      </c>
      <c r="P105">
        <f t="shared" si="7"/>
        <v>632</v>
      </c>
      <c r="Q105" s="11">
        <f t="shared" ca="1" si="9"/>
        <v>45393</v>
      </c>
      <c r="R105" s="11">
        <f t="shared" ca="1" si="9"/>
        <v>45423</v>
      </c>
    </row>
    <row r="106" spans="1:18" x14ac:dyDescent="0.25">
      <c r="A106" s="2">
        <v>2487</v>
      </c>
      <c r="B106" s="2">
        <v>3620</v>
      </c>
      <c r="C106" s="3">
        <v>40200</v>
      </c>
      <c r="D106" s="4" t="s">
        <v>10</v>
      </c>
      <c r="E106" s="2">
        <v>0</v>
      </c>
      <c r="F106" s="3">
        <f t="shared" si="8"/>
        <v>40230</v>
      </c>
      <c r="G106" s="2">
        <v>0</v>
      </c>
      <c r="H106" s="5">
        <v>0.2</v>
      </c>
      <c r="I106" s="2" t="b">
        <v>1</v>
      </c>
      <c r="J106" s="2">
        <v>1524</v>
      </c>
      <c r="K106" s="2" t="b">
        <v>0</v>
      </c>
      <c r="L106" s="2" t="b">
        <v>0</v>
      </c>
      <c r="M106" s="2">
        <v>0</v>
      </c>
      <c r="N106" s="6">
        <v>6</v>
      </c>
      <c r="O106">
        <f t="shared" si="6"/>
        <v>662</v>
      </c>
      <c r="P106">
        <f t="shared" si="7"/>
        <v>632</v>
      </c>
      <c r="Q106" s="11">
        <f t="shared" ca="1" si="9"/>
        <v>45393</v>
      </c>
      <c r="R106" s="11">
        <f t="shared" ca="1" si="9"/>
        <v>45423</v>
      </c>
    </row>
    <row r="107" spans="1:18" x14ac:dyDescent="0.25">
      <c r="A107" s="2">
        <v>2488</v>
      </c>
      <c r="B107" s="2">
        <v>2926</v>
      </c>
      <c r="C107" s="3">
        <v>40200</v>
      </c>
      <c r="D107" s="4" t="s">
        <v>10</v>
      </c>
      <c r="E107" s="2">
        <v>0</v>
      </c>
      <c r="F107" s="3">
        <f t="shared" si="8"/>
        <v>40230</v>
      </c>
      <c r="G107" s="2">
        <v>0</v>
      </c>
      <c r="H107" s="5">
        <v>0</v>
      </c>
      <c r="I107" s="2" t="b">
        <v>1</v>
      </c>
      <c r="J107" s="2">
        <v>640</v>
      </c>
      <c r="K107" s="2" t="b">
        <v>1</v>
      </c>
      <c r="L107" s="2" t="b">
        <v>0</v>
      </c>
      <c r="M107" s="2">
        <v>0</v>
      </c>
      <c r="N107" s="6">
        <v>6</v>
      </c>
      <c r="O107">
        <f t="shared" si="6"/>
        <v>662</v>
      </c>
      <c r="P107">
        <f t="shared" si="7"/>
        <v>632</v>
      </c>
      <c r="Q107" s="11">
        <f t="shared" ca="1" si="9"/>
        <v>45393</v>
      </c>
      <c r="R107" s="11">
        <f t="shared" ca="1" si="9"/>
        <v>45423</v>
      </c>
    </row>
    <row r="108" spans="1:18" x14ac:dyDescent="0.25">
      <c r="A108" s="2">
        <v>2489</v>
      </c>
      <c r="B108" s="2">
        <v>1559</v>
      </c>
      <c r="C108" s="3">
        <v>40201</v>
      </c>
      <c r="D108" s="4" t="s">
        <v>10</v>
      </c>
      <c r="E108" s="2">
        <v>0</v>
      </c>
      <c r="F108" s="3">
        <f t="shared" si="8"/>
        <v>40231</v>
      </c>
      <c r="G108" s="2">
        <v>39</v>
      </c>
      <c r="H108" s="5">
        <v>0.2</v>
      </c>
      <c r="I108" s="2" t="b">
        <v>1</v>
      </c>
      <c r="J108" s="2">
        <v>1524</v>
      </c>
      <c r="K108" s="2" t="b">
        <v>0</v>
      </c>
      <c r="L108" s="2" t="b">
        <v>0</v>
      </c>
      <c r="M108" s="2">
        <v>0</v>
      </c>
      <c r="N108" s="6">
        <v>6</v>
      </c>
      <c r="O108">
        <f t="shared" si="6"/>
        <v>661</v>
      </c>
      <c r="P108">
        <f t="shared" si="7"/>
        <v>631</v>
      </c>
      <c r="Q108" s="11">
        <f t="shared" ca="1" si="9"/>
        <v>45394</v>
      </c>
      <c r="R108" s="11">
        <f t="shared" ca="1" si="9"/>
        <v>45424</v>
      </c>
    </row>
    <row r="109" spans="1:18" x14ac:dyDescent="0.25">
      <c r="A109" s="2">
        <v>2490</v>
      </c>
      <c r="B109" s="2">
        <v>2962</v>
      </c>
      <c r="C109" s="3">
        <v>40204</v>
      </c>
      <c r="D109" s="4" t="s">
        <v>10</v>
      </c>
      <c r="E109" s="2">
        <v>0</v>
      </c>
      <c r="F109" s="3">
        <f t="shared" si="8"/>
        <v>40234</v>
      </c>
      <c r="G109" s="2">
        <v>465</v>
      </c>
      <c r="H109" s="5">
        <v>0</v>
      </c>
      <c r="I109" s="2" t="b">
        <v>1</v>
      </c>
      <c r="J109" s="2">
        <v>1524</v>
      </c>
      <c r="K109" s="2" t="b">
        <v>0</v>
      </c>
      <c r="L109" s="2" t="b">
        <v>0</v>
      </c>
      <c r="M109" s="2">
        <v>0</v>
      </c>
      <c r="N109" s="6">
        <v>6</v>
      </c>
      <c r="O109">
        <f t="shared" si="6"/>
        <v>658</v>
      </c>
      <c r="P109">
        <f t="shared" si="7"/>
        <v>628</v>
      </c>
      <c r="Q109" s="11">
        <f t="shared" ca="1" si="9"/>
        <v>45397</v>
      </c>
      <c r="R109" s="11">
        <f t="shared" ca="1" si="9"/>
        <v>45427</v>
      </c>
    </row>
    <row r="110" spans="1:18" x14ac:dyDescent="0.25">
      <c r="A110" s="2">
        <v>2491</v>
      </c>
      <c r="B110" s="2">
        <v>2913</v>
      </c>
      <c r="C110" s="3">
        <v>40204</v>
      </c>
      <c r="D110" s="4" t="s">
        <v>10</v>
      </c>
      <c r="E110" s="2">
        <v>0</v>
      </c>
      <c r="F110" s="3">
        <f t="shared" si="8"/>
        <v>40234</v>
      </c>
      <c r="G110" s="2">
        <v>0</v>
      </c>
      <c r="H110" s="5">
        <v>0.1</v>
      </c>
      <c r="I110" s="2" t="b">
        <v>1</v>
      </c>
      <c r="J110" s="2">
        <v>1524</v>
      </c>
      <c r="K110" s="2" t="b">
        <v>0</v>
      </c>
      <c r="L110" s="2" t="b">
        <v>0</v>
      </c>
      <c r="M110" s="2">
        <v>0</v>
      </c>
      <c r="N110" s="6">
        <v>6</v>
      </c>
      <c r="O110">
        <f t="shared" si="6"/>
        <v>658</v>
      </c>
      <c r="P110">
        <f t="shared" si="7"/>
        <v>628</v>
      </c>
      <c r="Q110" s="11">
        <f t="shared" ca="1" si="9"/>
        <v>45397</v>
      </c>
      <c r="R110" s="11">
        <f t="shared" ca="1" si="9"/>
        <v>45427</v>
      </c>
    </row>
    <row r="111" spans="1:18" x14ac:dyDescent="0.25">
      <c r="A111" s="2">
        <v>2492</v>
      </c>
      <c r="B111" s="2">
        <v>798</v>
      </c>
      <c r="C111" s="3">
        <v>40204</v>
      </c>
      <c r="D111" s="4" t="s">
        <v>10</v>
      </c>
      <c r="E111" s="2">
        <v>0</v>
      </c>
      <c r="F111" s="3">
        <f t="shared" si="8"/>
        <v>40234</v>
      </c>
      <c r="G111" s="2">
        <v>0</v>
      </c>
      <c r="H111" s="5">
        <v>0.2</v>
      </c>
      <c r="I111" s="2" t="b">
        <v>1</v>
      </c>
      <c r="J111" s="2">
        <v>1524</v>
      </c>
      <c r="K111" s="2" t="b">
        <v>0</v>
      </c>
      <c r="L111" s="2" t="b">
        <v>0</v>
      </c>
      <c r="M111" s="2">
        <v>0</v>
      </c>
      <c r="N111" s="6">
        <v>6</v>
      </c>
      <c r="O111">
        <f t="shared" si="6"/>
        <v>658</v>
      </c>
      <c r="P111">
        <f t="shared" si="7"/>
        <v>628</v>
      </c>
      <c r="Q111" s="11">
        <f t="shared" ca="1" si="9"/>
        <v>45397</v>
      </c>
      <c r="R111" s="11">
        <f t="shared" ca="1" si="9"/>
        <v>45427</v>
      </c>
    </row>
    <row r="112" spans="1:18" x14ac:dyDescent="0.25">
      <c r="A112" s="2">
        <v>2493</v>
      </c>
      <c r="B112" s="2">
        <v>2829</v>
      </c>
      <c r="C112" s="3">
        <v>40206</v>
      </c>
      <c r="D112" s="4" t="s">
        <v>10</v>
      </c>
      <c r="E112" s="2">
        <v>0</v>
      </c>
      <c r="F112" s="3">
        <f t="shared" si="8"/>
        <v>40236</v>
      </c>
      <c r="G112" s="2">
        <v>0</v>
      </c>
      <c r="H112" s="5">
        <v>0.2</v>
      </c>
      <c r="I112" s="2" t="b">
        <v>1</v>
      </c>
      <c r="J112" s="2">
        <v>1524</v>
      </c>
      <c r="K112" s="2" t="b">
        <v>1</v>
      </c>
      <c r="L112" s="2" t="b">
        <v>0</v>
      </c>
      <c r="M112" s="2">
        <v>0</v>
      </c>
      <c r="N112" s="6">
        <v>6</v>
      </c>
      <c r="O112">
        <f t="shared" si="6"/>
        <v>656</v>
      </c>
      <c r="P112">
        <f t="shared" si="7"/>
        <v>626</v>
      </c>
      <c r="Q112" s="11">
        <f t="shared" ca="1" si="9"/>
        <v>45399</v>
      </c>
      <c r="R112" s="11">
        <f t="shared" ca="1" si="9"/>
        <v>45429</v>
      </c>
    </row>
    <row r="113" spans="1:18" x14ac:dyDescent="0.25">
      <c r="A113" s="2">
        <v>2494</v>
      </c>
      <c r="B113" s="2">
        <v>1548</v>
      </c>
      <c r="C113" s="3">
        <v>40207</v>
      </c>
      <c r="D113" s="4" t="s">
        <v>10</v>
      </c>
      <c r="E113" s="2">
        <v>0</v>
      </c>
      <c r="F113" s="3">
        <f t="shared" si="8"/>
        <v>40237</v>
      </c>
      <c r="G113" s="2">
        <v>0</v>
      </c>
      <c r="H113" s="5">
        <v>0.2</v>
      </c>
      <c r="I113" s="2" t="b">
        <v>1</v>
      </c>
      <c r="J113" s="2">
        <v>1524</v>
      </c>
      <c r="K113" s="2" t="b">
        <v>0</v>
      </c>
      <c r="L113" s="2" t="b">
        <v>0</v>
      </c>
      <c r="M113" s="2">
        <v>0</v>
      </c>
      <c r="N113" s="6">
        <v>6</v>
      </c>
      <c r="O113">
        <f t="shared" si="6"/>
        <v>655</v>
      </c>
      <c r="P113">
        <f t="shared" si="7"/>
        <v>625</v>
      </c>
      <c r="Q113" s="11">
        <f t="shared" ca="1" si="9"/>
        <v>45400</v>
      </c>
      <c r="R113" s="11">
        <f t="shared" ca="1" si="9"/>
        <v>45430</v>
      </c>
    </row>
    <row r="114" spans="1:18" x14ac:dyDescent="0.25">
      <c r="A114" s="2">
        <v>2495</v>
      </c>
      <c r="B114" s="2">
        <v>3668</v>
      </c>
      <c r="C114" s="3">
        <v>40208</v>
      </c>
      <c r="D114" s="4" t="s">
        <v>10</v>
      </c>
      <c r="E114" s="2">
        <v>0</v>
      </c>
      <c r="F114" s="3">
        <f t="shared" si="8"/>
        <v>40238</v>
      </c>
      <c r="G114" s="2">
        <v>0</v>
      </c>
      <c r="H114" s="5">
        <v>0</v>
      </c>
      <c r="I114" s="2" t="b">
        <v>1</v>
      </c>
      <c r="J114" s="2">
        <v>1524</v>
      </c>
      <c r="K114" s="2" t="b">
        <v>0</v>
      </c>
      <c r="L114" s="2" t="b">
        <v>0</v>
      </c>
      <c r="M114" s="2">
        <v>0</v>
      </c>
      <c r="N114" s="6">
        <v>6</v>
      </c>
      <c r="O114">
        <f t="shared" si="6"/>
        <v>654</v>
      </c>
      <c r="P114">
        <f t="shared" si="7"/>
        <v>624</v>
      </c>
      <c r="Q114" s="11">
        <f t="shared" ca="1" si="9"/>
        <v>45401</v>
      </c>
      <c r="R114" s="11">
        <f t="shared" ca="1" si="9"/>
        <v>45431</v>
      </c>
    </row>
    <row r="115" spans="1:18" x14ac:dyDescent="0.25">
      <c r="A115" s="2">
        <v>2496</v>
      </c>
      <c r="B115" s="2">
        <v>3633</v>
      </c>
      <c r="C115" s="3">
        <v>40218</v>
      </c>
      <c r="D115" s="4" t="s">
        <v>10</v>
      </c>
      <c r="E115" s="2">
        <v>0</v>
      </c>
      <c r="F115" s="3">
        <f t="shared" si="8"/>
        <v>40248</v>
      </c>
      <c r="G115" s="2">
        <v>0</v>
      </c>
      <c r="H115" s="5">
        <v>0</v>
      </c>
      <c r="I115" s="2" t="b">
        <v>1</v>
      </c>
      <c r="J115" s="2">
        <v>640</v>
      </c>
      <c r="K115" s="2" t="b">
        <v>1</v>
      </c>
      <c r="L115" s="2" t="b">
        <v>0</v>
      </c>
      <c r="M115" s="2">
        <v>0</v>
      </c>
      <c r="N115" s="6">
        <v>6</v>
      </c>
      <c r="O115">
        <f t="shared" si="6"/>
        <v>644</v>
      </c>
      <c r="P115">
        <f t="shared" si="7"/>
        <v>614</v>
      </c>
      <c r="Q115" s="11">
        <f t="shared" ca="1" si="9"/>
        <v>45411</v>
      </c>
      <c r="R115" s="11">
        <f t="shared" ca="1" si="9"/>
        <v>45441</v>
      </c>
    </row>
    <row r="116" spans="1:18" x14ac:dyDescent="0.25">
      <c r="A116" s="2">
        <v>2497</v>
      </c>
      <c r="B116" s="2">
        <v>3680</v>
      </c>
      <c r="C116" s="3">
        <v>40222</v>
      </c>
      <c r="D116" s="4" t="s">
        <v>10</v>
      </c>
      <c r="E116" s="2">
        <v>0</v>
      </c>
      <c r="F116" s="3">
        <f t="shared" si="8"/>
        <v>40252</v>
      </c>
      <c r="G116" s="2">
        <v>0</v>
      </c>
      <c r="H116" s="5">
        <v>0</v>
      </c>
      <c r="I116" s="2" t="b">
        <v>1</v>
      </c>
      <c r="J116" s="2">
        <v>640</v>
      </c>
      <c r="K116" s="2" t="b">
        <v>1</v>
      </c>
      <c r="L116" s="2" t="b">
        <v>0</v>
      </c>
      <c r="M116" s="2">
        <v>0</v>
      </c>
      <c r="N116" s="6">
        <v>6</v>
      </c>
      <c r="O116">
        <f t="shared" si="6"/>
        <v>640</v>
      </c>
      <c r="P116">
        <f t="shared" si="7"/>
        <v>610</v>
      </c>
      <c r="Q116" s="11">
        <f t="shared" ca="1" si="9"/>
        <v>45415</v>
      </c>
      <c r="R116" s="11">
        <f t="shared" ca="1" si="9"/>
        <v>45445</v>
      </c>
    </row>
    <row r="117" spans="1:18" x14ac:dyDescent="0.25">
      <c r="A117" s="2">
        <v>2498</v>
      </c>
      <c r="B117" s="2">
        <v>963</v>
      </c>
      <c r="C117" s="3">
        <v>40246</v>
      </c>
      <c r="D117" s="4" t="s">
        <v>10</v>
      </c>
      <c r="E117" s="2">
        <v>0</v>
      </c>
      <c r="F117" s="3">
        <f t="shared" si="8"/>
        <v>40276</v>
      </c>
      <c r="G117" s="2">
        <v>0</v>
      </c>
      <c r="H117" s="5">
        <v>0</v>
      </c>
      <c r="I117" s="2" t="b">
        <v>1</v>
      </c>
      <c r="J117" s="2">
        <v>1524</v>
      </c>
      <c r="K117" s="2" t="b">
        <v>0</v>
      </c>
      <c r="L117" s="2" t="b">
        <v>0</v>
      </c>
      <c r="M117" s="2">
        <v>0</v>
      </c>
      <c r="N117" s="6">
        <v>6</v>
      </c>
      <c r="O117">
        <f t="shared" si="6"/>
        <v>616</v>
      </c>
      <c r="P117">
        <f t="shared" si="7"/>
        <v>586</v>
      </c>
      <c r="Q117" s="11">
        <f t="shared" ca="1" si="9"/>
        <v>45439</v>
      </c>
      <c r="R117" s="11">
        <f t="shared" ca="1" si="9"/>
        <v>45469</v>
      </c>
    </row>
    <row r="118" spans="1:18" x14ac:dyDescent="0.25">
      <c r="A118" s="2">
        <v>2499</v>
      </c>
      <c r="B118" s="2">
        <v>1095</v>
      </c>
      <c r="C118" s="3">
        <v>40246</v>
      </c>
      <c r="D118" s="4" t="s">
        <v>10</v>
      </c>
      <c r="E118" s="2">
        <v>0</v>
      </c>
      <c r="F118" s="3">
        <f t="shared" si="8"/>
        <v>40276</v>
      </c>
      <c r="G118" s="2">
        <v>400</v>
      </c>
      <c r="H118" s="5">
        <v>0</v>
      </c>
      <c r="I118" s="2" t="b">
        <v>1</v>
      </c>
      <c r="J118" s="2">
        <v>1524</v>
      </c>
      <c r="K118" s="2" t="b">
        <v>0</v>
      </c>
      <c r="L118" s="2" t="b">
        <v>0</v>
      </c>
      <c r="M118" s="2">
        <v>0</v>
      </c>
      <c r="N118" s="6">
        <v>6</v>
      </c>
      <c r="O118">
        <f t="shared" si="6"/>
        <v>616</v>
      </c>
      <c r="P118">
        <f t="shared" si="7"/>
        <v>586</v>
      </c>
      <c r="Q118" s="11">
        <f t="shared" ca="1" si="9"/>
        <v>45439</v>
      </c>
      <c r="R118" s="11">
        <f t="shared" ca="1" si="9"/>
        <v>45469</v>
      </c>
    </row>
    <row r="119" spans="1:18" x14ac:dyDescent="0.25">
      <c r="A119" s="2">
        <v>2500</v>
      </c>
      <c r="B119" s="2">
        <v>1482</v>
      </c>
      <c r="C119" s="3">
        <v>40233</v>
      </c>
      <c r="D119" s="4" t="s">
        <v>10</v>
      </c>
      <c r="E119" s="2">
        <v>0</v>
      </c>
      <c r="F119" s="3">
        <f t="shared" si="8"/>
        <v>40263</v>
      </c>
      <c r="G119" s="2">
        <v>14</v>
      </c>
      <c r="H119" s="5">
        <v>0</v>
      </c>
      <c r="I119" s="2" t="b">
        <v>1</v>
      </c>
      <c r="J119" s="2">
        <v>640</v>
      </c>
      <c r="K119" s="2" t="b">
        <v>1</v>
      </c>
      <c r="L119" s="2" t="b">
        <v>0</v>
      </c>
      <c r="M119" s="2">
        <v>0</v>
      </c>
      <c r="N119" s="6">
        <v>6</v>
      </c>
      <c r="O119">
        <f t="shared" si="6"/>
        <v>629</v>
      </c>
      <c r="P119">
        <f t="shared" si="7"/>
        <v>599</v>
      </c>
      <c r="Q119" s="11">
        <f t="shared" ca="1" si="9"/>
        <v>45426</v>
      </c>
      <c r="R119" s="11">
        <f t="shared" ca="1" si="9"/>
        <v>45456</v>
      </c>
    </row>
    <row r="120" spans="1:18" x14ac:dyDescent="0.25">
      <c r="A120" s="2">
        <v>2501</v>
      </c>
      <c r="B120" s="2">
        <v>1989</v>
      </c>
      <c r="C120" s="3">
        <v>40242</v>
      </c>
      <c r="D120" s="4" t="s">
        <v>10</v>
      </c>
      <c r="E120" s="2">
        <v>0</v>
      </c>
      <c r="F120" s="3">
        <f t="shared" si="8"/>
        <v>40272</v>
      </c>
      <c r="G120" s="2">
        <v>0</v>
      </c>
      <c r="H120" s="5">
        <v>0</v>
      </c>
      <c r="I120" s="2" t="b">
        <v>1</v>
      </c>
      <c r="J120" s="2">
        <v>1524</v>
      </c>
      <c r="K120" s="2" t="b">
        <v>0</v>
      </c>
      <c r="L120" s="2" t="b">
        <v>0</v>
      </c>
      <c r="M120" s="2">
        <v>0</v>
      </c>
      <c r="N120" s="6">
        <v>6</v>
      </c>
      <c r="O120">
        <f t="shared" si="6"/>
        <v>620</v>
      </c>
      <c r="P120">
        <f t="shared" si="7"/>
        <v>590</v>
      </c>
      <c r="Q120" s="11">
        <f t="shared" ca="1" si="9"/>
        <v>45435</v>
      </c>
      <c r="R120" s="11">
        <f t="shared" ca="1" si="9"/>
        <v>45465</v>
      </c>
    </row>
    <row r="121" spans="1:18" x14ac:dyDescent="0.25">
      <c r="A121" s="2">
        <v>2502</v>
      </c>
      <c r="B121" s="2">
        <v>2765</v>
      </c>
      <c r="C121" s="3">
        <v>40248</v>
      </c>
      <c r="D121" s="4" t="s">
        <v>10</v>
      </c>
      <c r="E121" s="2">
        <v>0</v>
      </c>
      <c r="F121" s="3">
        <f t="shared" si="8"/>
        <v>40278</v>
      </c>
      <c r="G121" s="2">
        <v>0</v>
      </c>
      <c r="H121" s="5">
        <v>0</v>
      </c>
      <c r="I121" s="2" t="b">
        <v>1</v>
      </c>
      <c r="J121" s="2">
        <v>1524</v>
      </c>
      <c r="K121" s="2" t="b">
        <v>1</v>
      </c>
      <c r="L121" s="2" t="b">
        <v>0</v>
      </c>
      <c r="M121" s="2">
        <v>0</v>
      </c>
      <c r="N121" s="6">
        <v>6</v>
      </c>
      <c r="O121">
        <f t="shared" si="6"/>
        <v>614</v>
      </c>
      <c r="P121">
        <f t="shared" si="7"/>
        <v>584</v>
      </c>
      <c r="Q121" s="11">
        <f t="shared" ca="1" si="9"/>
        <v>45441</v>
      </c>
      <c r="R121" s="11">
        <f t="shared" ca="1" si="9"/>
        <v>45471</v>
      </c>
    </row>
    <row r="122" spans="1:18" x14ac:dyDescent="0.25">
      <c r="A122" s="2">
        <v>2503</v>
      </c>
      <c r="B122" s="2">
        <v>3681</v>
      </c>
      <c r="C122" s="3">
        <v>40253</v>
      </c>
      <c r="D122" s="4" t="s">
        <v>10</v>
      </c>
      <c r="E122" s="2">
        <v>0</v>
      </c>
      <c r="F122" s="3">
        <f t="shared" si="8"/>
        <v>40283</v>
      </c>
      <c r="G122" s="2">
        <v>0</v>
      </c>
      <c r="H122" s="5">
        <v>0</v>
      </c>
      <c r="I122" s="2" t="b">
        <v>1</v>
      </c>
      <c r="J122" s="2">
        <v>1524</v>
      </c>
      <c r="K122" s="2" t="b">
        <v>1</v>
      </c>
      <c r="L122" s="2" t="b">
        <v>0</v>
      </c>
      <c r="M122" s="2">
        <v>0</v>
      </c>
      <c r="N122" s="6">
        <v>6</v>
      </c>
      <c r="O122">
        <f t="shared" si="6"/>
        <v>609</v>
      </c>
      <c r="P122">
        <f t="shared" si="7"/>
        <v>579</v>
      </c>
      <c r="Q122" s="11">
        <f t="shared" ca="1" si="9"/>
        <v>45446</v>
      </c>
      <c r="R122" s="11">
        <f t="shared" ca="1" si="9"/>
        <v>45476</v>
      </c>
    </row>
    <row r="123" spans="1:18" x14ac:dyDescent="0.25">
      <c r="A123" s="2">
        <v>2504</v>
      </c>
      <c r="B123" s="2">
        <v>1745</v>
      </c>
      <c r="C123" s="3">
        <v>40254</v>
      </c>
      <c r="D123" s="4" t="s">
        <v>10</v>
      </c>
      <c r="E123" s="2">
        <v>2500</v>
      </c>
      <c r="F123" s="3">
        <f t="shared" si="8"/>
        <v>40284</v>
      </c>
      <c r="G123" s="2">
        <v>0</v>
      </c>
      <c r="H123" s="5">
        <v>0</v>
      </c>
      <c r="I123" s="2" t="b">
        <v>1</v>
      </c>
      <c r="J123" s="2">
        <v>1524</v>
      </c>
      <c r="K123" s="2" t="b">
        <v>0</v>
      </c>
      <c r="L123" s="2" t="b">
        <v>0</v>
      </c>
      <c r="M123" s="2">
        <v>0</v>
      </c>
      <c r="N123" s="6">
        <v>6</v>
      </c>
      <c r="O123">
        <f t="shared" si="6"/>
        <v>608</v>
      </c>
      <c r="P123">
        <f t="shared" si="7"/>
        <v>578</v>
      </c>
      <c r="Q123" s="11">
        <f t="shared" ca="1" si="9"/>
        <v>45447</v>
      </c>
      <c r="R123" s="11">
        <f t="shared" ca="1" si="9"/>
        <v>45477</v>
      </c>
    </row>
    <row r="124" spans="1:18" x14ac:dyDescent="0.25">
      <c r="A124" s="2">
        <v>2505</v>
      </c>
      <c r="B124" s="2">
        <v>798</v>
      </c>
      <c r="C124" s="3">
        <v>40261</v>
      </c>
      <c r="D124" s="4" t="s">
        <v>10</v>
      </c>
      <c r="E124" s="2">
        <v>0</v>
      </c>
      <c r="F124" s="3">
        <f t="shared" si="8"/>
        <v>40291</v>
      </c>
      <c r="G124" s="2">
        <v>0</v>
      </c>
      <c r="H124" s="5">
        <v>0</v>
      </c>
      <c r="I124" s="2" t="b">
        <v>1</v>
      </c>
      <c r="J124" s="2">
        <v>1524</v>
      </c>
      <c r="K124" s="2" t="b">
        <v>0</v>
      </c>
      <c r="L124" s="2" t="b">
        <v>0</v>
      </c>
      <c r="M124" s="2">
        <v>0</v>
      </c>
      <c r="N124" s="6">
        <v>6</v>
      </c>
      <c r="O124">
        <f t="shared" si="6"/>
        <v>601</v>
      </c>
      <c r="P124">
        <f t="shared" si="7"/>
        <v>571</v>
      </c>
      <c r="Q124" s="11">
        <f t="shared" ca="1" si="9"/>
        <v>45454</v>
      </c>
      <c r="R124" s="11">
        <f t="shared" ca="1" si="9"/>
        <v>45484</v>
      </c>
    </row>
    <row r="125" spans="1:18" x14ac:dyDescent="0.25">
      <c r="A125" s="2">
        <v>2506</v>
      </c>
      <c r="B125" s="2">
        <v>963</v>
      </c>
      <c r="C125" s="3">
        <v>40263</v>
      </c>
      <c r="D125" s="4" t="s">
        <v>10</v>
      </c>
      <c r="E125" s="2">
        <v>0</v>
      </c>
      <c r="F125" s="3">
        <f t="shared" si="8"/>
        <v>40293</v>
      </c>
      <c r="G125" s="2">
        <v>0</v>
      </c>
      <c r="H125" s="5">
        <v>0</v>
      </c>
      <c r="I125" s="2" t="b">
        <v>1</v>
      </c>
      <c r="J125" s="2">
        <v>1524</v>
      </c>
      <c r="K125" s="2" t="b">
        <v>0</v>
      </c>
      <c r="L125" s="2" t="b">
        <v>1</v>
      </c>
      <c r="M125" s="2">
        <v>0</v>
      </c>
      <c r="N125" s="6">
        <v>6</v>
      </c>
      <c r="O125">
        <f t="shared" si="6"/>
        <v>599</v>
      </c>
      <c r="P125">
        <f t="shared" si="7"/>
        <v>569</v>
      </c>
      <c r="Q125" s="11">
        <f t="shared" ca="1" si="9"/>
        <v>45456</v>
      </c>
      <c r="R125" s="11">
        <f t="shared" ca="1" si="9"/>
        <v>45486</v>
      </c>
    </row>
    <row r="126" spans="1:18" x14ac:dyDescent="0.25">
      <c r="A126" s="2">
        <v>2507</v>
      </c>
      <c r="B126" s="2">
        <v>2912</v>
      </c>
      <c r="C126" s="3">
        <v>40282</v>
      </c>
      <c r="D126" s="4" t="s">
        <v>10</v>
      </c>
      <c r="E126" s="2">
        <v>0</v>
      </c>
      <c r="F126" s="3">
        <f t="shared" si="8"/>
        <v>40312</v>
      </c>
      <c r="G126" s="2">
        <v>85</v>
      </c>
      <c r="H126" s="5">
        <v>0.1</v>
      </c>
      <c r="I126" s="2" t="b">
        <v>1</v>
      </c>
      <c r="J126" s="2">
        <v>1524</v>
      </c>
      <c r="K126" s="2" t="b">
        <v>0</v>
      </c>
      <c r="L126" s="2" t="b">
        <v>0</v>
      </c>
      <c r="M126" s="2">
        <v>0</v>
      </c>
      <c r="N126" s="6">
        <v>6</v>
      </c>
      <c r="O126">
        <f t="shared" si="6"/>
        <v>580</v>
      </c>
      <c r="P126">
        <f t="shared" si="7"/>
        <v>550</v>
      </c>
      <c r="Q126" s="11">
        <f t="shared" ca="1" si="9"/>
        <v>45475</v>
      </c>
      <c r="R126" s="11">
        <f t="shared" ca="1" si="9"/>
        <v>45505</v>
      </c>
    </row>
    <row r="127" spans="1:18" x14ac:dyDescent="0.25">
      <c r="A127" s="2">
        <v>2508</v>
      </c>
      <c r="B127" s="2">
        <v>3637</v>
      </c>
      <c r="C127" s="3">
        <v>40282</v>
      </c>
      <c r="D127" s="4" t="s">
        <v>10</v>
      </c>
      <c r="E127" s="2">
        <v>0</v>
      </c>
      <c r="F127" s="3">
        <f t="shared" si="8"/>
        <v>40312</v>
      </c>
      <c r="G127" s="2">
        <v>49</v>
      </c>
      <c r="H127" s="5">
        <v>0</v>
      </c>
      <c r="I127" s="2" t="b">
        <v>1</v>
      </c>
      <c r="J127" s="2">
        <v>1524</v>
      </c>
      <c r="K127" s="2" t="b">
        <v>0</v>
      </c>
      <c r="L127" s="2" t="b">
        <v>0</v>
      </c>
      <c r="M127" s="2">
        <v>0</v>
      </c>
      <c r="N127" s="6">
        <v>6</v>
      </c>
      <c r="O127">
        <f t="shared" si="6"/>
        <v>580</v>
      </c>
      <c r="P127">
        <f t="shared" si="7"/>
        <v>550</v>
      </c>
      <c r="Q127" s="11">
        <f t="shared" ca="1" si="9"/>
        <v>45475</v>
      </c>
      <c r="R127" s="11">
        <f t="shared" ca="1" si="9"/>
        <v>45505</v>
      </c>
    </row>
    <row r="128" spans="1:18" x14ac:dyDescent="0.25">
      <c r="A128" s="2">
        <v>2509</v>
      </c>
      <c r="B128" s="2">
        <v>1745</v>
      </c>
      <c r="C128" s="3">
        <v>40294</v>
      </c>
      <c r="D128" s="4" t="s">
        <v>10</v>
      </c>
      <c r="E128" s="2">
        <v>0</v>
      </c>
      <c r="F128" s="3">
        <f t="shared" si="8"/>
        <v>40324</v>
      </c>
      <c r="G128" s="2">
        <v>0</v>
      </c>
      <c r="H128" s="5">
        <v>0</v>
      </c>
      <c r="I128" s="2" t="b">
        <v>1</v>
      </c>
      <c r="J128" s="2">
        <v>1524</v>
      </c>
      <c r="K128" s="2" t="b">
        <v>0</v>
      </c>
      <c r="L128" s="2" t="b">
        <v>0</v>
      </c>
      <c r="M128" s="2">
        <v>0</v>
      </c>
      <c r="N128" s="6">
        <v>6</v>
      </c>
      <c r="O128">
        <f t="shared" si="6"/>
        <v>568</v>
      </c>
      <c r="P128">
        <f t="shared" si="7"/>
        <v>538</v>
      </c>
      <c r="Q128" s="11">
        <f t="shared" ca="1" si="9"/>
        <v>45487</v>
      </c>
      <c r="R128" s="11">
        <f t="shared" ca="1" si="9"/>
        <v>45517</v>
      </c>
    </row>
    <row r="129" spans="1:18" x14ac:dyDescent="0.25">
      <c r="A129" s="2">
        <v>2510</v>
      </c>
      <c r="B129" s="2">
        <v>2829</v>
      </c>
      <c r="C129" s="3">
        <v>40281</v>
      </c>
      <c r="D129" s="4" t="s">
        <v>10</v>
      </c>
      <c r="E129" s="2">
        <v>0</v>
      </c>
      <c r="F129" s="3">
        <f t="shared" si="8"/>
        <v>40311</v>
      </c>
      <c r="G129" s="2">
        <v>0</v>
      </c>
      <c r="H129" s="5">
        <v>0</v>
      </c>
      <c r="I129" s="2" t="b">
        <v>1</v>
      </c>
      <c r="J129" s="2">
        <v>1524</v>
      </c>
      <c r="K129" s="2" t="b">
        <v>1</v>
      </c>
      <c r="L129" s="2" t="b">
        <v>1</v>
      </c>
      <c r="M129" s="2">
        <v>0</v>
      </c>
      <c r="N129" s="6">
        <v>6</v>
      </c>
      <c r="O129">
        <f t="shared" si="6"/>
        <v>581</v>
      </c>
      <c r="P129">
        <f t="shared" si="7"/>
        <v>551</v>
      </c>
      <c r="Q129" s="11">
        <f t="shared" ca="1" si="9"/>
        <v>45474</v>
      </c>
      <c r="R129" s="11">
        <f t="shared" ca="1" si="9"/>
        <v>45504</v>
      </c>
    </row>
    <row r="130" spans="1:18" x14ac:dyDescent="0.25">
      <c r="A130" s="2">
        <v>2511</v>
      </c>
      <c r="B130" s="2">
        <v>1559</v>
      </c>
      <c r="C130" s="3">
        <v>40283</v>
      </c>
      <c r="D130" s="4" t="s">
        <v>10</v>
      </c>
      <c r="E130" s="2">
        <v>0</v>
      </c>
      <c r="F130" s="3">
        <f t="shared" si="8"/>
        <v>40313</v>
      </c>
      <c r="G130" s="2">
        <v>28</v>
      </c>
      <c r="H130" s="5">
        <v>0</v>
      </c>
      <c r="I130" s="2" t="b">
        <v>1</v>
      </c>
      <c r="J130" s="2">
        <v>1524</v>
      </c>
      <c r="K130" s="2" t="b">
        <v>0</v>
      </c>
      <c r="L130" s="2" t="b">
        <v>0</v>
      </c>
      <c r="M130" s="2">
        <v>0</v>
      </c>
      <c r="N130" s="6">
        <v>6</v>
      </c>
      <c r="O130">
        <f t="shared" ref="O130:O193" si="10">DATEDIF(C130,DateFin,"d")</f>
        <v>579</v>
      </c>
      <c r="P130">
        <f t="shared" ref="P130:P193" si="11">DATEDIF(F130,DateFin,"d")</f>
        <v>549</v>
      </c>
      <c r="Q130" s="11">
        <f t="shared" ca="1" si="9"/>
        <v>45476</v>
      </c>
      <c r="R130" s="11">
        <f t="shared" ca="1" si="9"/>
        <v>45506</v>
      </c>
    </row>
    <row r="131" spans="1:18" x14ac:dyDescent="0.25">
      <c r="A131" s="2">
        <v>2512</v>
      </c>
      <c r="B131" s="2">
        <v>3682</v>
      </c>
      <c r="C131" s="3">
        <v>40284</v>
      </c>
      <c r="D131" s="4" t="s">
        <v>10</v>
      </c>
      <c r="E131" s="2">
        <v>0</v>
      </c>
      <c r="F131" s="3">
        <f t="shared" si="8"/>
        <v>40314</v>
      </c>
      <c r="G131" s="2">
        <v>0</v>
      </c>
      <c r="H131" s="5">
        <v>0</v>
      </c>
      <c r="I131" s="2" t="b">
        <v>1</v>
      </c>
      <c r="J131" s="2">
        <v>1524</v>
      </c>
      <c r="K131" s="2" t="b">
        <v>0</v>
      </c>
      <c r="L131" s="2" t="b">
        <v>0</v>
      </c>
      <c r="M131" s="2">
        <v>0</v>
      </c>
      <c r="N131" s="6">
        <v>6</v>
      </c>
      <c r="O131">
        <f t="shared" si="10"/>
        <v>578</v>
      </c>
      <c r="P131">
        <f t="shared" si="11"/>
        <v>548</v>
      </c>
      <c r="Q131" s="11">
        <f t="shared" ca="1" si="9"/>
        <v>45477</v>
      </c>
      <c r="R131" s="11">
        <f t="shared" ca="1" si="9"/>
        <v>45507</v>
      </c>
    </row>
    <row r="132" spans="1:18" x14ac:dyDescent="0.25">
      <c r="A132" s="2">
        <v>2513</v>
      </c>
      <c r="B132" s="2">
        <v>1156</v>
      </c>
      <c r="C132" s="3">
        <v>40284</v>
      </c>
      <c r="D132" s="4" t="s">
        <v>10</v>
      </c>
      <c r="E132" s="2">
        <v>0</v>
      </c>
      <c r="F132" s="3">
        <f t="shared" si="8"/>
        <v>40314</v>
      </c>
      <c r="G132" s="2">
        <v>46</v>
      </c>
      <c r="H132" s="5">
        <v>0</v>
      </c>
      <c r="I132" s="2" t="b">
        <v>1</v>
      </c>
      <c r="J132" s="2">
        <v>1524</v>
      </c>
      <c r="K132" s="2" t="b">
        <v>0</v>
      </c>
      <c r="L132" s="2" t="b">
        <v>0</v>
      </c>
      <c r="M132" s="2">
        <v>0</v>
      </c>
      <c r="N132" s="6">
        <v>6</v>
      </c>
      <c r="O132">
        <f t="shared" si="10"/>
        <v>578</v>
      </c>
      <c r="P132">
        <f t="shared" si="11"/>
        <v>548</v>
      </c>
      <c r="Q132" s="11">
        <f t="shared" ca="1" si="9"/>
        <v>45477</v>
      </c>
      <c r="R132" s="11">
        <f t="shared" ca="1" si="9"/>
        <v>45507</v>
      </c>
    </row>
    <row r="133" spans="1:18" x14ac:dyDescent="0.25">
      <c r="A133" s="2">
        <v>2514</v>
      </c>
      <c r="B133" s="2">
        <v>3007</v>
      </c>
      <c r="C133" s="3">
        <v>40286</v>
      </c>
      <c r="D133" s="4" t="s">
        <v>10</v>
      </c>
      <c r="E133" s="2">
        <v>0</v>
      </c>
      <c r="F133" s="3">
        <f t="shared" si="8"/>
        <v>40316</v>
      </c>
      <c r="G133" s="2">
        <v>0</v>
      </c>
      <c r="H133" s="5">
        <v>0</v>
      </c>
      <c r="I133" s="2" t="b">
        <v>1</v>
      </c>
      <c r="J133" s="2">
        <v>1524</v>
      </c>
      <c r="K133" s="2" t="b">
        <v>0</v>
      </c>
      <c r="L133" s="2" t="b">
        <v>0</v>
      </c>
      <c r="M133" s="2">
        <v>0</v>
      </c>
      <c r="N133" s="6">
        <v>6</v>
      </c>
      <c r="O133">
        <f t="shared" si="10"/>
        <v>576</v>
      </c>
      <c r="P133">
        <f t="shared" si="11"/>
        <v>546</v>
      </c>
      <c r="Q133" s="11">
        <f t="shared" ca="1" si="9"/>
        <v>45479</v>
      </c>
      <c r="R133" s="11">
        <f t="shared" ca="1" si="9"/>
        <v>45509</v>
      </c>
    </row>
    <row r="134" spans="1:18" x14ac:dyDescent="0.25">
      <c r="A134" s="2">
        <v>2515</v>
      </c>
      <c r="B134" s="2">
        <v>3635</v>
      </c>
      <c r="C134" s="3">
        <v>40296</v>
      </c>
      <c r="D134" s="4" t="s">
        <v>10</v>
      </c>
      <c r="E134" s="2">
        <v>0</v>
      </c>
      <c r="F134" s="3">
        <f t="shared" si="8"/>
        <v>40326</v>
      </c>
      <c r="G134" s="2">
        <v>49</v>
      </c>
      <c r="H134" s="5">
        <v>0</v>
      </c>
      <c r="I134" s="2" t="b">
        <v>1</v>
      </c>
      <c r="J134" s="2">
        <v>1524</v>
      </c>
      <c r="K134" s="2" t="b">
        <v>0</v>
      </c>
      <c r="L134" s="2" t="b">
        <v>0</v>
      </c>
      <c r="M134" s="2">
        <v>0</v>
      </c>
      <c r="N134" s="6">
        <v>6</v>
      </c>
      <c r="O134">
        <f t="shared" si="10"/>
        <v>566</v>
      </c>
      <c r="P134">
        <f t="shared" si="11"/>
        <v>536</v>
      </c>
      <c r="Q134" s="11">
        <f t="shared" ca="1" si="9"/>
        <v>45489</v>
      </c>
      <c r="R134" s="11">
        <f t="shared" ca="1" si="9"/>
        <v>45519</v>
      </c>
    </row>
    <row r="135" spans="1:18" x14ac:dyDescent="0.25">
      <c r="A135" s="2">
        <v>2516</v>
      </c>
      <c r="B135" s="2">
        <v>3683</v>
      </c>
      <c r="C135" s="3">
        <v>40294</v>
      </c>
      <c r="D135" s="4" t="s">
        <v>10</v>
      </c>
      <c r="E135" s="2">
        <v>0</v>
      </c>
      <c r="F135" s="3">
        <f t="shared" si="8"/>
        <v>40324</v>
      </c>
      <c r="G135" s="2">
        <v>49</v>
      </c>
      <c r="H135" s="5">
        <v>0</v>
      </c>
      <c r="I135" s="2" t="b">
        <v>1</v>
      </c>
      <c r="J135" s="2">
        <v>1524</v>
      </c>
      <c r="K135" s="2" t="b">
        <v>0</v>
      </c>
      <c r="L135" s="2" t="b">
        <v>0</v>
      </c>
      <c r="M135" s="2">
        <v>0</v>
      </c>
      <c r="N135" s="6">
        <v>6</v>
      </c>
      <c r="O135">
        <f t="shared" si="10"/>
        <v>568</v>
      </c>
      <c r="P135">
        <f t="shared" si="11"/>
        <v>538</v>
      </c>
      <c r="Q135" s="11">
        <f t="shared" ca="1" si="9"/>
        <v>45487</v>
      </c>
      <c r="R135" s="11">
        <f t="shared" ca="1" si="9"/>
        <v>45517</v>
      </c>
    </row>
    <row r="136" spans="1:18" x14ac:dyDescent="0.25">
      <c r="A136" s="2">
        <v>2517</v>
      </c>
      <c r="B136" s="2">
        <v>1745</v>
      </c>
      <c r="C136" s="3">
        <v>40294</v>
      </c>
      <c r="D136" s="4" t="s">
        <v>10</v>
      </c>
      <c r="E136" s="2">
        <v>0</v>
      </c>
      <c r="F136" s="3">
        <f t="shared" si="8"/>
        <v>40324</v>
      </c>
      <c r="G136" s="2">
        <v>0</v>
      </c>
      <c r="H136" s="5">
        <v>0.2</v>
      </c>
      <c r="I136" s="2" t="b">
        <v>1</v>
      </c>
      <c r="J136" s="2">
        <v>1524</v>
      </c>
      <c r="K136" s="2" t="b">
        <v>0</v>
      </c>
      <c r="L136" s="2" t="b">
        <v>0</v>
      </c>
      <c r="M136" s="2">
        <v>0</v>
      </c>
      <c r="N136" s="6">
        <v>6</v>
      </c>
      <c r="O136">
        <f t="shared" si="10"/>
        <v>568</v>
      </c>
      <c r="P136">
        <f t="shared" si="11"/>
        <v>538</v>
      </c>
      <c r="Q136" s="11">
        <f t="shared" ca="1" si="9"/>
        <v>45487</v>
      </c>
      <c r="R136" s="11">
        <f t="shared" ca="1" si="9"/>
        <v>45517</v>
      </c>
    </row>
    <row r="137" spans="1:18" x14ac:dyDescent="0.25">
      <c r="A137" s="2">
        <v>2518</v>
      </c>
      <c r="B137" s="2">
        <v>3684</v>
      </c>
      <c r="C137" s="3">
        <v>40311</v>
      </c>
      <c r="D137" s="4" t="s">
        <v>10</v>
      </c>
      <c r="E137" s="2">
        <v>0</v>
      </c>
      <c r="F137" s="3">
        <f t="shared" si="8"/>
        <v>40341</v>
      </c>
      <c r="G137" s="2">
        <v>0</v>
      </c>
      <c r="H137" s="5">
        <v>0</v>
      </c>
      <c r="I137" s="2" t="b">
        <v>1</v>
      </c>
      <c r="J137" s="2">
        <v>1524</v>
      </c>
      <c r="K137" s="2" t="b">
        <v>0</v>
      </c>
      <c r="L137" s="2" t="b">
        <v>0</v>
      </c>
      <c r="M137" s="2">
        <v>0</v>
      </c>
      <c r="N137" s="6">
        <v>6</v>
      </c>
      <c r="O137">
        <f t="shared" si="10"/>
        <v>551</v>
      </c>
      <c r="P137">
        <f t="shared" si="11"/>
        <v>521</v>
      </c>
      <c r="Q137" s="11">
        <f t="shared" ca="1" si="9"/>
        <v>45504</v>
      </c>
      <c r="R137" s="11">
        <f t="shared" ca="1" si="9"/>
        <v>45534</v>
      </c>
    </row>
    <row r="138" spans="1:18" x14ac:dyDescent="0.25">
      <c r="A138" s="2">
        <v>2519</v>
      </c>
      <c r="B138" s="2">
        <v>2818</v>
      </c>
      <c r="C138" s="3">
        <v>40295</v>
      </c>
      <c r="D138" s="4" t="s">
        <v>10</v>
      </c>
      <c r="E138" s="2">
        <v>0</v>
      </c>
      <c r="F138" s="3">
        <f t="shared" si="8"/>
        <v>40325</v>
      </c>
      <c r="G138" s="2">
        <v>14</v>
      </c>
      <c r="H138" s="5">
        <v>0</v>
      </c>
      <c r="I138" s="2" t="b">
        <v>1</v>
      </c>
      <c r="J138" s="2">
        <v>640</v>
      </c>
      <c r="K138" s="2" t="b">
        <v>1</v>
      </c>
      <c r="L138" s="2" t="b">
        <v>0</v>
      </c>
      <c r="M138" s="2">
        <v>0</v>
      </c>
      <c r="N138" s="6">
        <v>6</v>
      </c>
      <c r="O138">
        <f t="shared" si="10"/>
        <v>567</v>
      </c>
      <c r="P138">
        <f t="shared" si="11"/>
        <v>537</v>
      </c>
      <c r="Q138" s="11">
        <f t="shared" ca="1" si="9"/>
        <v>45488</v>
      </c>
      <c r="R138" s="11">
        <f t="shared" ca="1" si="9"/>
        <v>45518</v>
      </c>
    </row>
    <row r="139" spans="1:18" x14ac:dyDescent="0.25">
      <c r="A139" s="2">
        <v>2520</v>
      </c>
      <c r="B139" s="8">
        <v>571</v>
      </c>
      <c r="C139" s="3">
        <v>40296</v>
      </c>
      <c r="D139" s="4" t="s">
        <v>10</v>
      </c>
      <c r="E139" s="2">
        <v>0</v>
      </c>
      <c r="F139" s="3">
        <f t="shared" si="8"/>
        <v>40326</v>
      </c>
      <c r="G139" s="2">
        <v>0</v>
      </c>
      <c r="H139" s="5">
        <v>0</v>
      </c>
      <c r="I139" s="2" t="b">
        <v>1</v>
      </c>
      <c r="J139" s="2">
        <v>1524</v>
      </c>
      <c r="K139" s="2" t="b">
        <v>0</v>
      </c>
      <c r="L139" s="2" t="b">
        <v>0</v>
      </c>
      <c r="M139" s="2">
        <v>0</v>
      </c>
      <c r="N139" s="6">
        <v>6</v>
      </c>
      <c r="O139">
        <f t="shared" si="10"/>
        <v>566</v>
      </c>
      <c r="P139">
        <f t="shared" si="11"/>
        <v>536</v>
      </c>
      <c r="Q139" s="11">
        <f t="shared" ca="1" si="9"/>
        <v>45489</v>
      </c>
      <c r="R139" s="11">
        <f t="shared" ca="1" si="9"/>
        <v>45519</v>
      </c>
    </row>
    <row r="140" spans="1:18" x14ac:dyDescent="0.25">
      <c r="A140" s="2">
        <v>2521</v>
      </c>
      <c r="B140" s="8">
        <v>1003</v>
      </c>
      <c r="C140" s="3">
        <v>40298</v>
      </c>
      <c r="D140" s="4" t="s">
        <v>10</v>
      </c>
      <c r="E140" s="2">
        <v>0</v>
      </c>
      <c r="F140" s="3">
        <f t="shared" si="8"/>
        <v>40328</v>
      </c>
      <c r="G140" s="2">
        <v>0</v>
      </c>
      <c r="H140" s="5">
        <v>0</v>
      </c>
      <c r="I140" s="2" t="b">
        <v>1</v>
      </c>
      <c r="J140" s="2">
        <v>1524</v>
      </c>
      <c r="K140" s="2" t="b">
        <v>0</v>
      </c>
      <c r="L140" s="2" t="b">
        <v>0</v>
      </c>
      <c r="M140" s="2">
        <v>0</v>
      </c>
      <c r="N140" s="6">
        <v>6</v>
      </c>
      <c r="O140">
        <f t="shared" si="10"/>
        <v>564</v>
      </c>
      <c r="P140">
        <f t="shared" si="11"/>
        <v>534</v>
      </c>
      <c r="Q140" s="11">
        <f t="shared" ca="1" si="9"/>
        <v>45491</v>
      </c>
      <c r="R140" s="11">
        <f t="shared" ca="1" si="9"/>
        <v>45521</v>
      </c>
    </row>
    <row r="141" spans="1:18" x14ac:dyDescent="0.25">
      <c r="A141" s="2">
        <v>2522</v>
      </c>
      <c r="B141" s="8">
        <v>1961</v>
      </c>
      <c r="C141" s="3">
        <v>40302</v>
      </c>
      <c r="D141" s="4" t="s">
        <v>10</v>
      </c>
      <c r="E141" s="2">
        <v>0</v>
      </c>
      <c r="F141" s="3">
        <f t="shared" si="8"/>
        <v>40332</v>
      </c>
      <c r="G141" s="2">
        <v>0</v>
      </c>
      <c r="H141" s="5">
        <v>0</v>
      </c>
      <c r="I141" s="2" t="b">
        <v>1</v>
      </c>
      <c r="J141" s="2">
        <v>1524</v>
      </c>
      <c r="K141" s="2" t="b">
        <v>0</v>
      </c>
      <c r="L141" s="2" t="b">
        <v>0</v>
      </c>
      <c r="M141" s="2">
        <v>0</v>
      </c>
      <c r="N141" s="6">
        <v>6</v>
      </c>
      <c r="O141">
        <f t="shared" si="10"/>
        <v>560</v>
      </c>
      <c r="P141">
        <f t="shared" si="11"/>
        <v>530</v>
      </c>
      <c r="Q141" s="11">
        <f t="shared" ca="1" si="9"/>
        <v>45495</v>
      </c>
      <c r="R141" s="11">
        <f t="shared" ca="1" si="9"/>
        <v>45525</v>
      </c>
    </row>
    <row r="142" spans="1:18" x14ac:dyDescent="0.25">
      <c r="A142" s="2">
        <v>2523</v>
      </c>
      <c r="B142" s="8">
        <v>2005</v>
      </c>
      <c r="C142" s="3">
        <v>40302</v>
      </c>
      <c r="D142" s="4" t="s">
        <v>10</v>
      </c>
      <c r="E142" s="2">
        <v>0</v>
      </c>
      <c r="F142" s="3">
        <f t="shared" si="8"/>
        <v>40332</v>
      </c>
      <c r="G142" s="2">
        <v>17</v>
      </c>
      <c r="H142" s="5">
        <v>0</v>
      </c>
      <c r="I142" s="2" t="b">
        <v>1</v>
      </c>
      <c r="J142" s="2">
        <v>1524</v>
      </c>
      <c r="K142" s="2" t="b">
        <v>1</v>
      </c>
      <c r="L142" s="2" t="b">
        <v>0</v>
      </c>
      <c r="M142" s="2">
        <v>0</v>
      </c>
      <c r="N142" s="6">
        <v>6</v>
      </c>
      <c r="O142">
        <f t="shared" si="10"/>
        <v>560</v>
      </c>
      <c r="P142">
        <f t="shared" si="11"/>
        <v>530</v>
      </c>
      <c r="Q142" s="11">
        <f t="shared" ca="1" si="9"/>
        <v>45495</v>
      </c>
      <c r="R142" s="11">
        <f t="shared" ca="1" si="9"/>
        <v>45525</v>
      </c>
    </row>
    <row r="143" spans="1:18" x14ac:dyDescent="0.25">
      <c r="A143" s="2">
        <v>2524</v>
      </c>
      <c r="B143" s="8">
        <v>2320</v>
      </c>
      <c r="C143" s="3">
        <v>40319</v>
      </c>
      <c r="D143" s="4" t="s">
        <v>10</v>
      </c>
      <c r="E143" s="2">
        <v>0</v>
      </c>
      <c r="F143" s="3">
        <f t="shared" si="8"/>
        <v>40349</v>
      </c>
      <c r="G143" s="2">
        <v>0</v>
      </c>
      <c r="H143" s="5">
        <v>0</v>
      </c>
      <c r="I143" s="2" t="b">
        <v>1</v>
      </c>
      <c r="J143" s="2">
        <v>1524</v>
      </c>
      <c r="K143" s="2" t="b">
        <v>0</v>
      </c>
      <c r="L143" s="2" t="b">
        <v>0</v>
      </c>
      <c r="M143" s="2">
        <v>0</v>
      </c>
      <c r="N143" s="6">
        <v>6</v>
      </c>
      <c r="O143">
        <f t="shared" si="10"/>
        <v>543</v>
      </c>
      <c r="P143">
        <f t="shared" si="11"/>
        <v>513</v>
      </c>
      <c r="Q143" s="11">
        <f t="shared" ca="1" si="9"/>
        <v>45512</v>
      </c>
      <c r="R143" s="11">
        <f t="shared" ca="1" si="9"/>
        <v>45542</v>
      </c>
    </row>
    <row r="144" spans="1:18" x14ac:dyDescent="0.25">
      <c r="A144" s="2">
        <v>2525</v>
      </c>
      <c r="B144" s="8">
        <v>2334</v>
      </c>
      <c r="C144" s="3">
        <v>40320</v>
      </c>
      <c r="D144" s="4" t="s">
        <v>10</v>
      </c>
      <c r="E144" s="2">
        <v>4436.3</v>
      </c>
      <c r="F144" s="3">
        <f t="shared" si="8"/>
        <v>40350</v>
      </c>
      <c r="G144" s="2">
        <v>0</v>
      </c>
      <c r="H144" s="5">
        <v>0</v>
      </c>
      <c r="I144" s="2" t="b">
        <v>1</v>
      </c>
      <c r="J144" s="2">
        <v>1524</v>
      </c>
      <c r="K144" s="2" t="b">
        <v>1</v>
      </c>
      <c r="L144" s="2" t="b">
        <v>0</v>
      </c>
      <c r="M144" s="2">
        <v>0</v>
      </c>
      <c r="N144" s="6">
        <v>6</v>
      </c>
      <c r="O144">
        <f t="shared" si="10"/>
        <v>542</v>
      </c>
      <c r="P144">
        <f t="shared" si="11"/>
        <v>512</v>
      </c>
      <c r="Q144" s="11">
        <f t="shared" ca="1" si="9"/>
        <v>45513</v>
      </c>
      <c r="R144" s="11">
        <f t="shared" ca="1" si="9"/>
        <v>45543</v>
      </c>
    </row>
    <row r="145" spans="1:18" x14ac:dyDescent="0.25">
      <c r="A145" s="2">
        <v>2526</v>
      </c>
      <c r="B145" s="8">
        <v>2488</v>
      </c>
      <c r="C145" s="3">
        <v>40324</v>
      </c>
      <c r="D145" s="4" t="s">
        <v>10</v>
      </c>
      <c r="E145" s="2">
        <v>0</v>
      </c>
      <c r="F145" s="3">
        <f t="shared" si="8"/>
        <v>40354</v>
      </c>
      <c r="G145" s="2">
        <v>0</v>
      </c>
      <c r="H145" s="5">
        <v>0</v>
      </c>
      <c r="I145" s="2" t="b">
        <v>1</v>
      </c>
      <c r="J145" s="2">
        <v>1524</v>
      </c>
      <c r="K145" s="2" t="b">
        <v>0</v>
      </c>
      <c r="L145" s="2" t="b">
        <v>0</v>
      </c>
      <c r="M145" s="2">
        <v>0</v>
      </c>
      <c r="N145" s="6">
        <v>6</v>
      </c>
      <c r="O145">
        <f t="shared" si="10"/>
        <v>538</v>
      </c>
      <c r="P145">
        <f t="shared" si="11"/>
        <v>508</v>
      </c>
      <c r="Q145" s="11">
        <f t="shared" ca="1" si="9"/>
        <v>45517</v>
      </c>
      <c r="R145" s="11">
        <f t="shared" ca="1" si="9"/>
        <v>45547</v>
      </c>
    </row>
    <row r="146" spans="1:18" x14ac:dyDescent="0.25">
      <c r="A146" s="2">
        <v>2527</v>
      </c>
      <c r="B146" s="8">
        <v>2782</v>
      </c>
      <c r="C146" s="3">
        <v>40324</v>
      </c>
      <c r="D146" s="4" t="s">
        <v>10</v>
      </c>
      <c r="E146" s="2">
        <v>0</v>
      </c>
      <c r="F146" s="3">
        <f t="shared" si="8"/>
        <v>40354</v>
      </c>
      <c r="G146" s="2">
        <v>0</v>
      </c>
      <c r="H146" s="5">
        <v>0</v>
      </c>
      <c r="I146" s="2" t="b">
        <v>1</v>
      </c>
      <c r="J146" s="2">
        <v>1524</v>
      </c>
      <c r="K146" s="2" t="b">
        <v>1</v>
      </c>
      <c r="L146" s="2" t="b">
        <v>0</v>
      </c>
      <c r="M146" s="2">
        <v>0</v>
      </c>
      <c r="N146" s="6">
        <v>6</v>
      </c>
      <c r="O146">
        <f t="shared" si="10"/>
        <v>538</v>
      </c>
      <c r="P146">
        <f t="shared" si="11"/>
        <v>508</v>
      </c>
      <c r="Q146" s="11">
        <f t="shared" ca="1" si="9"/>
        <v>45517</v>
      </c>
      <c r="R146" s="11">
        <f t="shared" ca="1" si="9"/>
        <v>45547</v>
      </c>
    </row>
    <row r="147" spans="1:18" x14ac:dyDescent="0.25">
      <c r="A147" s="2">
        <v>2528</v>
      </c>
      <c r="B147" s="2">
        <v>2913</v>
      </c>
      <c r="C147" s="3">
        <v>40324</v>
      </c>
      <c r="D147" s="4" t="s">
        <v>10</v>
      </c>
      <c r="E147" s="2">
        <v>0</v>
      </c>
      <c r="F147" s="3">
        <f t="shared" si="8"/>
        <v>40354</v>
      </c>
      <c r="G147" s="2">
        <v>0</v>
      </c>
      <c r="H147" s="5">
        <v>0.1</v>
      </c>
      <c r="I147" s="2" t="b">
        <v>1</v>
      </c>
      <c r="J147" s="2">
        <v>1524</v>
      </c>
      <c r="K147" s="2" t="b">
        <v>0</v>
      </c>
      <c r="L147" s="2" t="b">
        <v>0</v>
      </c>
      <c r="M147" s="2">
        <v>0</v>
      </c>
      <c r="N147" s="6">
        <v>6</v>
      </c>
      <c r="O147">
        <f t="shared" si="10"/>
        <v>538</v>
      </c>
      <c r="P147">
        <f t="shared" si="11"/>
        <v>508</v>
      </c>
      <c r="Q147" s="11">
        <f t="shared" ca="1" si="9"/>
        <v>45517</v>
      </c>
      <c r="R147" s="11">
        <f t="shared" ca="1" si="9"/>
        <v>45547</v>
      </c>
    </row>
    <row r="148" spans="1:18" x14ac:dyDescent="0.25">
      <c r="A148" s="2">
        <v>2529</v>
      </c>
      <c r="B148" s="2">
        <v>3007</v>
      </c>
      <c r="C148" s="3">
        <v>40330</v>
      </c>
      <c r="D148" s="4" t="s">
        <v>10</v>
      </c>
      <c r="E148" s="2">
        <v>0</v>
      </c>
      <c r="F148" s="3">
        <f t="shared" si="8"/>
        <v>40360</v>
      </c>
      <c r="G148" s="2">
        <v>0</v>
      </c>
      <c r="H148" s="5">
        <v>0</v>
      </c>
      <c r="I148" s="2" t="b">
        <v>1</v>
      </c>
      <c r="J148" s="2">
        <v>1524</v>
      </c>
      <c r="K148" s="2" t="b">
        <v>0</v>
      </c>
      <c r="L148" s="2" t="b">
        <v>0</v>
      </c>
      <c r="M148" s="2">
        <v>0</v>
      </c>
      <c r="N148" s="6">
        <v>6</v>
      </c>
      <c r="O148">
        <f t="shared" si="10"/>
        <v>532</v>
      </c>
      <c r="P148">
        <f t="shared" si="11"/>
        <v>502</v>
      </c>
      <c r="Q148" s="11">
        <f t="shared" ca="1" si="9"/>
        <v>45523</v>
      </c>
      <c r="R148" s="11">
        <f t="shared" ca="1" si="9"/>
        <v>45553</v>
      </c>
    </row>
    <row r="149" spans="1:18" x14ac:dyDescent="0.25">
      <c r="A149" s="2">
        <v>2530</v>
      </c>
      <c r="B149" s="2">
        <v>933</v>
      </c>
      <c r="C149" s="3">
        <v>40336</v>
      </c>
      <c r="D149" s="4" t="s">
        <v>10</v>
      </c>
      <c r="E149" s="2">
        <v>0</v>
      </c>
      <c r="F149" s="3">
        <f t="shared" si="8"/>
        <v>40366</v>
      </c>
      <c r="G149" s="2">
        <v>0</v>
      </c>
      <c r="H149" s="5">
        <v>0</v>
      </c>
      <c r="I149" s="2" t="b">
        <v>1</v>
      </c>
      <c r="J149" s="2">
        <v>1524</v>
      </c>
      <c r="K149" s="2" t="b">
        <v>0</v>
      </c>
      <c r="L149" s="2" t="b">
        <v>0</v>
      </c>
      <c r="M149" s="2">
        <v>0</v>
      </c>
      <c r="N149" s="6">
        <v>6</v>
      </c>
      <c r="O149">
        <f t="shared" si="10"/>
        <v>526</v>
      </c>
      <c r="P149">
        <f t="shared" si="11"/>
        <v>496</v>
      </c>
      <c r="Q149" s="11">
        <f t="shared" ca="1" si="9"/>
        <v>45529</v>
      </c>
      <c r="R149" s="11">
        <f t="shared" ca="1" si="9"/>
        <v>45559</v>
      </c>
    </row>
    <row r="150" spans="1:18" x14ac:dyDescent="0.25">
      <c r="A150" s="2">
        <v>2531</v>
      </c>
      <c r="B150" s="2">
        <v>2952</v>
      </c>
      <c r="C150" s="3">
        <v>40337</v>
      </c>
      <c r="D150" s="4" t="s">
        <v>10</v>
      </c>
      <c r="E150" s="2">
        <v>0</v>
      </c>
      <c r="F150" s="3">
        <f t="shared" si="8"/>
        <v>40367</v>
      </c>
      <c r="G150" s="2">
        <v>0</v>
      </c>
      <c r="H150" s="5">
        <v>0</v>
      </c>
      <c r="I150" s="2" t="b">
        <v>1</v>
      </c>
      <c r="J150" s="2">
        <v>1524</v>
      </c>
      <c r="K150" s="2" t="b">
        <v>0</v>
      </c>
      <c r="L150" s="2" t="b">
        <v>0</v>
      </c>
      <c r="M150" s="2">
        <v>0</v>
      </c>
      <c r="N150" s="6">
        <v>6</v>
      </c>
      <c r="O150">
        <f t="shared" si="10"/>
        <v>525</v>
      </c>
      <c r="P150">
        <f t="shared" si="11"/>
        <v>495</v>
      </c>
      <c r="Q150" s="11">
        <f t="shared" ca="1" si="9"/>
        <v>45530</v>
      </c>
      <c r="R150" s="11">
        <f t="shared" ca="1" si="9"/>
        <v>45560</v>
      </c>
    </row>
    <row r="151" spans="1:18" x14ac:dyDescent="0.25">
      <c r="A151" s="2">
        <v>2532</v>
      </c>
      <c r="B151" s="2">
        <v>3657</v>
      </c>
      <c r="C151" s="3">
        <v>40338</v>
      </c>
      <c r="D151" s="4" t="s">
        <v>10</v>
      </c>
      <c r="E151" s="2">
        <v>0</v>
      </c>
      <c r="F151" s="3">
        <f t="shared" si="8"/>
        <v>40368</v>
      </c>
      <c r="G151" s="2">
        <v>46</v>
      </c>
      <c r="H151" s="5">
        <v>0</v>
      </c>
      <c r="I151" s="2" t="b">
        <v>1</v>
      </c>
      <c r="J151" s="2">
        <v>1524</v>
      </c>
      <c r="K151" s="2" t="b">
        <v>0</v>
      </c>
      <c r="L151" s="2" t="b">
        <v>0</v>
      </c>
      <c r="M151" s="2">
        <v>0</v>
      </c>
      <c r="N151" s="6">
        <v>6</v>
      </c>
      <c r="O151">
        <f t="shared" si="10"/>
        <v>524</v>
      </c>
      <c r="P151">
        <f t="shared" si="11"/>
        <v>494</v>
      </c>
      <c r="Q151" s="11">
        <f t="shared" ca="1" si="9"/>
        <v>45531</v>
      </c>
      <c r="R151" s="11">
        <f t="shared" ca="1" si="9"/>
        <v>45561</v>
      </c>
    </row>
    <row r="152" spans="1:18" x14ac:dyDescent="0.25">
      <c r="A152" s="2">
        <v>2533</v>
      </c>
      <c r="B152" s="2">
        <v>2646</v>
      </c>
      <c r="C152" s="3">
        <v>40347</v>
      </c>
      <c r="D152" s="4" t="s">
        <v>10</v>
      </c>
      <c r="E152" s="2">
        <v>0</v>
      </c>
      <c r="F152" s="3">
        <f t="shared" ref="F152:F215" si="12">C152+30</f>
        <v>40377</v>
      </c>
      <c r="G152" s="2">
        <v>0</v>
      </c>
      <c r="H152" s="5">
        <v>0</v>
      </c>
      <c r="I152" s="2" t="b">
        <v>1</v>
      </c>
      <c r="J152" s="2">
        <v>640</v>
      </c>
      <c r="K152" s="2" t="b">
        <v>1</v>
      </c>
      <c r="L152" s="2" t="b">
        <v>0</v>
      </c>
      <c r="M152" s="2">
        <v>0</v>
      </c>
      <c r="N152" s="6">
        <v>6</v>
      </c>
      <c r="O152">
        <f t="shared" si="10"/>
        <v>515</v>
      </c>
      <c r="P152">
        <f t="shared" si="11"/>
        <v>485</v>
      </c>
      <c r="Q152" s="11">
        <f t="shared" ref="Q152:R215" ca="1" si="13">TODAY()-O152</f>
        <v>45540</v>
      </c>
      <c r="R152" s="11">
        <f t="shared" ca="1" si="13"/>
        <v>45570</v>
      </c>
    </row>
    <row r="153" spans="1:18" x14ac:dyDescent="0.25">
      <c r="A153" s="2">
        <v>2534</v>
      </c>
      <c r="B153" s="2">
        <v>3624</v>
      </c>
      <c r="C153" s="3">
        <v>40347</v>
      </c>
      <c r="D153" s="4" t="s">
        <v>10</v>
      </c>
      <c r="E153" s="2">
        <v>0</v>
      </c>
      <c r="F153" s="3">
        <f t="shared" si="12"/>
        <v>40377</v>
      </c>
      <c r="G153" s="2">
        <v>0</v>
      </c>
      <c r="H153" s="5">
        <v>0</v>
      </c>
      <c r="I153" s="2" t="b">
        <v>1</v>
      </c>
      <c r="J153" s="2">
        <v>1524</v>
      </c>
      <c r="K153" s="2" t="b">
        <v>0</v>
      </c>
      <c r="L153" s="2" t="b">
        <v>0</v>
      </c>
      <c r="M153" s="2">
        <v>0</v>
      </c>
      <c r="N153" s="6">
        <v>6</v>
      </c>
      <c r="O153">
        <f t="shared" si="10"/>
        <v>515</v>
      </c>
      <c r="P153">
        <f t="shared" si="11"/>
        <v>485</v>
      </c>
      <c r="Q153" s="11">
        <f t="shared" ca="1" si="13"/>
        <v>45540</v>
      </c>
      <c r="R153" s="11">
        <f t="shared" ca="1" si="13"/>
        <v>45570</v>
      </c>
    </row>
    <row r="154" spans="1:18" x14ac:dyDescent="0.25">
      <c r="A154" s="2">
        <v>2535</v>
      </c>
      <c r="B154" s="2">
        <v>3686</v>
      </c>
      <c r="C154" s="3">
        <v>40357</v>
      </c>
      <c r="D154" s="4" t="s">
        <v>10</v>
      </c>
      <c r="E154" s="2">
        <v>0</v>
      </c>
      <c r="F154" s="3">
        <f t="shared" si="12"/>
        <v>40387</v>
      </c>
      <c r="G154" s="2">
        <v>0</v>
      </c>
      <c r="H154" s="5">
        <v>0.2</v>
      </c>
      <c r="I154" s="2" t="b">
        <v>1</v>
      </c>
      <c r="J154" s="2">
        <v>1524</v>
      </c>
      <c r="K154" s="2" t="b">
        <v>0</v>
      </c>
      <c r="L154" s="2" t="b">
        <v>0</v>
      </c>
      <c r="M154" s="2">
        <v>0</v>
      </c>
      <c r="N154" s="6">
        <v>6</v>
      </c>
      <c r="O154">
        <f t="shared" si="10"/>
        <v>505</v>
      </c>
      <c r="P154">
        <f t="shared" si="11"/>
        <v>475</v>
      </c>
      <c r="Q154" s="11">
        <f t="shared" ca="1" si="13"/>
        <v>45550</v>
      </c>
      <c r="R154" s="11">
        <f t="shared" ca="1" si="13"/>
        <v>45580</v>
      </c>
    </row>
    <row r="155" spans="1:18" x14ac:dyDescent="0.25">
      <c r="A155" s="2">
        <v>2536</v>
      </c>
      <c r="B155" s="2">
        <v>3686</v>
      </c>
      <c r="C155" s="3">
        <v>40357</v>
      </c>
      <c r="D155" s="4" t="s">
        <v>10</v>
      </c>
      <c r="E155" s="2">
        <v>0</v>
      </c>
      <c r="F155" s="3">
        <f t="shared" si="12"/>
        <v>40387</v>
      </c>
      <c r="G155" s="2">
        <v>0</v>
      </c>
      <c r="H155" s="5">
        <v>0</v>
      </c>
      <c r="I155" s="2" t="b">
        <v>1</v>
      </c>
      <c r="J155" s="2">
        <v>1524</v>
      </c>
      <c r="K155" s="2" t="b">
        <v>0</v>
      </c>
      <c r="L155" s="2" t="b">
        <v>0</v>
      </c>
      <c r="M155" s="2">
        <v>0</v>
      </c>
      <c r="N155" s="6">
        <v>6</v>
      </c>
      <c r="O155">
        <f t="shared" si="10"/>
        <v>505</v>
      </c>
      <c r="P155">
        <f t="shared" si="11"/>
        <v>475</v>
      </c>
      <c r="Q155" s="11">
        <f t="shared" ca="1" si="13"/>
        <v>45550</v>
      </c>
      <c r="R155" s="11">
        <f t="shared" ca="1" si="13"/>
        <v>45580</v>
      </c>
    </row>
    <row r="156" spans="1:18" x14ac:dyDescent="0.25">
      <c r="A156" s="2">
        <v>2537</v>
      </c>
      <c r="B156" s="2">
        <v>1277</v>
      </c>
      <c r="C156" s="3">
        <v>40359</v>
      </c>
      <c r="D156" s="4" t="s">
        <v>10</v>
      </c>
      <c r="E156" s="2">
        <v>0</v>
      </c>
      <c r="F156" s="3">
        <f t="shared" si="12"/>
        <v>40389</v>
      </c>
      <c r="G156" s="2">
        <v>0</v>
      </c>
      <c r="H156" s="5">
        <v>0.1</v>
      </c>
      <c r="I156" s="2" t="b">
        <v>1</v>
      </c>
      <c r="J156" s="2">
        <v>1524</v>
      </c>
      <c r="K156" s="2" t="b">
        <v>1</v>
      </c>
      <c r="L156" s="2" t="b">
        <v>0</v>
      </c>
      <c r="M156" s="2">
        <v>0</v>
      </c>
      <c r="N156" s="6">
        <v>6</v>
      </c>
      <c r="O156">
        <f t="shared" si="10"/>
        <v>503</v>
      </c>
      <c r="P156">
        <f t="shared" si="11"/>
        <v>473</v>
      </c>
      <c r="Q156" s="11">
        <f t="shared" ca="1" si="13"/>
        <v>45552</v>
      </c>
      <c r="R156" s="11">
        <f t="shared" ca="1" si="13"/>
        <v>45582</v>
      </c>
    </row>
    <row r="157" spans="1:18" x14ac:dyDescent="0.25">
      <c r="A157" s="2">
        <v>2538</v>
      </c>
      <c r="B157" s="2">
        <v>2928</v>
      </c>
      <c r="C157" s="3">
        <v>40359</v>
      </c>
      <c r="D157" s="4" t="s">
        <v>10</v>
      </c>
      <c r="E157" s="2">
        <v>0</v>
      </c>
      <c r="F157" s="3">
        <f t="shared" si="12"/>
        <v>40389</v>
      </c>
      <c r="G157" s="2">
        <v>0</v>
      </c>
      <c r="H157" s="5">
        <v>0</v>
      </c>
      <c r="I157" s="2" t="b">
        <v>1</v>
      </c>
      <c r="J157" s="2">
        <v>1524</v>
      </c>
      <c r="K157" s="2" t="b">
        <v>1</v>
      </c>
      <c r="L157" s="2" t="b">
        <v>0</v>
      </c>
      <c r="M157" s="2">
        <v>0</v>
      </c>
      <c r="N157" s="6">
        <v>6</v>
      </c>
      <c r="O157">
        <f t="shared" si="10"/>
        <v>503</v>
      </c>
      <c r="P157">
        <f t="shared" si="11"/>
        <v>473</v>
      </c>
      <c r="Q157" s="11">
        <f t="shared" ca="1" si="13"/>
        <v>45552</v>
      </c>
      <c r="R157" s="11">
        <f t="shared" ca="1" si="13"/>
        <v>45582</v>
      </c>
    </row>
    <row r="158" spans="1:18" x14ac:dyDescent="0.25">
      <c r="A158" s="2">
        <v>2539</v>
      </c>
      <c r="B158" s="2">
        <v>2937</v>
      </c>
      <c r="C158" s="3">
        <v>40359</v>
      </c>
      <c r="D158" s="4" t="s">
        <v>10</v>
      </c>
      <c r="E158" s="2">
        <v>0</v>
      </c>
      <c r="F158" s="3">
        <f t="shared" si="12"/>
        <v>40389</v>
      </c>
      <c r="G158" s="2">
        <v>0</v>
      </c>
      <c r="H158" s="5">
        <v>0</v>
      </c>
      <c r="I158" s="2" t="b">
        <v>1</v>
      </c>
      <c r="J158" s="2">
        <v>1524</v>
      </c>
      <c r="K158" s="2" t="b">
        <v>1</v>
      </c>
      <c r="L158" s="2" t="b">
        <v>0</v>
      </c>
      <c r="M158" s="2">
        <v>0</v>
      </c>
      <c r="N158" s="6">
        <v>6</v>
      </c>
      <c r="O158">
        <f t="shared" si="10"/>
        <v>503</v>
      </c>
      <c r="P158">
        <f t="shared" si="11"/>
        <v>473</v>
      </c>
      <c r="Q158" s="11">
        <f t="shared" ca="1" si="13"/>
        <v>45552</v>
      </c>
      <c r="R158" s="11">
        <f t="shared" ca="1" si="13"/>
        <v>45582</v>
      </c>
    </row>
    <row r="159" spans="1:18" x14ac:dyDescent="0.25">
      <c r="A159" s="2">
        <v>2540</v>
      </c>
      <c r="B159" s="2">
        <v>3686</v>
      </c>
      <c r="C159" s="3">
        <v>40359</v>
      </c>
      <c r="D159" s="4" t="s">
        <v>10</v>
      </c>
      <c r="E159" s="2">
        <v>0</v>
      </c>
      <c r="F159" s="3">
        <f t="shared" si="12"/>
        <v>40389</v>
      </c>
      <c r="G159" s="2">
        <v>75</v>
      </c>
      <c r="H159" s="5">
        <v>0.2</v>
      </c>
      <c r="I159" s="2" t="b">
        <v>1</v>
      </c>
      <c r="J159" s="2">
        <v>1524</v>
      </c>
      <c r="K159" s="2" t="b">
        <v>1</v>
      </c>
      <c r="L159" s="2" t="b">
        <v>0</v>
      </c>
      <c r="M159" s="2">
        <v>0</v>
      </c>
      <c r="N159" s="6">
        <v>6</v>
      </c>
      <c r="O159">
        <f t="shared" si="10"/>
        <v>503</v>
      </c>
      <c r="P159">
        <f t="shared" si="11"/>
        <v>473</v>
      </c>
      <c r="Q159" s="11">
        <f t="shared" ca="1" si="13"/>
        <v>45552</v>
      </c>
      <c r="R159" s="11">
        <f t="shared" ca="1" si="13"/>
        <v>45582</v>
      </c>
    </row>
    <row r="160" spans="1:18" x14ac:dyDescent="0.25">
      <c r="A160" s="2">
        <v>2541</v>
      </c>
      <c r="B160" s="2">
        <v>1745</v>
      </c>
      <c r="C160" s="3">
        <v>40359</v>
      </c>
      <c r="D160" s="4" t="s">
        <v>10</v>
      </c>
      <c r="E160" s="2">
        <v>0</v>
      </c>
      <c r="F160" s="3">
        <f t="shared" si="12"/>
        <v>40389</v>
      </c>
      <c r="G160" s="2">
        <v>50</v>
      </c>
      <c r="H160" s="5">
        <v>0</v>
      </c>
      <c r="I160" s="2" t="b">
        <v>1</v>
      </c>
      <c r="J160" s="2">
        <v>1524</v>
      </c>
      <c r="K160" s="2" t="b">
        <v>1</v>
      </c>
      <c r="L160" s="2" t="b">
        <v>0</v>
      </c>
      <c r="M160" s="2">
        <v>0</v>
      </c>
      <c r="N160" s="6">
        <v>6</v>
      </c>
      <c r="O160">
        <f t="shared" si="10"/>
        <v>503</v>
      </c>
      <c r="P160">
        <f t="shared" si="11"/>
        <v>473</v>
      </c>
      <c r="Q160" s="11">
        <f t="shared" ca="1" si="13"/>
        <v>45552</v>
      </c>
      <c r="R160" s="11">
        <f t="shared" ca="1" si="13"/>
        <v>45582</v>
      </c>
    </row>
    <row r="161" spans="1:18" x14ac:dyDescent="0.25">
      <c r="A161" s="2">
        <v>2542</v>
      </c>
      <c r="B161" s="2">
        <v>3686</v>
      </c>
      <c r="C161" s="3">
        <v>40359</v>
      </c>
      <c r="D161" s="4" t="s">
        <v>10</v>
      </c>
      <c r="E161" s="2">
        <v>0</v>
      </c>
      <c r="F161" s="3">
        <f t="shared" si="12"/>
        <v>40389</v>
      </c>
      <c r="G161" s="2">
        <v>0</v>
      </c>
      <c r="H161" s="5">
        <v>0</v>
      </c>
      <c r="I161" s="2" t="b">
        <v>1</v>
      </c>
      <c r="J161" s="2">
        <v>1524</v>
      </c>
      <c r="K161" s="2" t="b">
        <v>1</v>
      </c>
      <c r="L161" s="2" t="b">
        <v>0</v>
      </c>
      <c r="M161" s="2">
        <v>0</v>
      </c>
      <c r="N161" s="6">
        <v>6</v>
      </c>
      <c r="O161">
        <f t="shared" si="10"/>
        <v>503</v>
      </c>
      <c r="P161">
        <f t="shared" si="11"/>
        <v>473</v>
      </c>
      <c r="Q161" s="11">
        <f t="shared" ca="1" si="13"/>
        <v>45552</v>
      </c>
      <c r="R161" s="11">
        <f t="shared" ca="1" si="13"/>
        <v>45582</v>
      </c>
    </row>
    <row r="162" spans="1:18" x14ac:dyDescent="0.25">
      <c r="A162" s="2">
        <v>2543</v>
      </c>
      <c r="B162" s="2">
        <v>3685</v>
      </c>
      <c r="C162" s="3">
        <v>40359</v>
      </c>
      <c r="D162" s="4" t="s">
        <v>10</v>
      </c>
      <c r="E162" s="2">
        <v>0</v>
      </c>
      <c r="F162" s="3">
        <f t="shared" si="12"/>
        <v>40389</v>
      </c>
      <c r="G162" s="2">
        <v>0</v>
      </c>
      <c r="H162" s="5">
        <v>0</v>
      </c>
      <c r="I162" s="2" t="b">
        <v>1</v>
      </c>
      <c r="J162" s="2">
        <v>1524</v>
      </c>
      <c r="K162" s="2" t="b">
        <v>1</v>
      </c>
      <c r="L162" s="2" t="b">
        <v>0</v>
      </c>
      <c r="M162" s="2">
        <v>0</v>
      </c>
      <c r="N162" s="6">
        <v>6</v>
      </c>
      <c r="O162">
        <f t="shared" si="10"/>
        <v>503</v>
      </c>
      <c r="P162">
        <f t="shared" si="11"/>
        <v>473</v>
      </c>
      <c r="Q162" s="11">
        <f t="shared" ca="1" si="13"/>
        <v>45552</v>
      </c>
      <c r="R162" s="11">
        <f t="shared" ca="1" si="13"/>
        <v>45582</v>
      </c>
    </row>
    <row r="163" spans="1:18" x14ac:dyDescent="0.25">
      <c r="A163" s="2">
        <v>2544</v>
      </c>
      <c r="B163" s="2">
        <v>3687</v>
      </c>
      <c r="C163" s="3">
        <v>40330</v>
      </c>
      <c r="D163" s="4" t="s">
        <v>10</v>
      </c>
      <c r="E163" s="2">
        <v>0</v>
      </c>
      <c r="F163" s="3">
        <f t="shared" si="12"/>
        <v>40360</v>
      </c>
      <c r="G163" s="2">
        <v>0</v>
      </c>
      <c r="H163" s="5">
        <v>0</v>
      </c>
      <c r="I163" s="2" t="b">
        <v>0</v>
      </c>
      <c r="J163" s="2">
        <v>1524</v>
      </c>
      <c r="K163" s="2" t="b">
        <v>0</v>
      </c>
      <c r="L163" s="2" t="b">
        <v>0</v>
      </c>
      <c r="M163" s="2">
        <v>0</v>
      </c>
      <c r="N163" s="6">
        <v>6</v>
      </c>
      <c r="O163">
        <f t="shared" si="10"/>
        <v>532</v>
      </c>
      <c r="P163">
        <f t="shared" si="11"/>
        <v>502</v>
      </c>
      <c r="Q163" s="11">
        <f t="shared" ca="1" si="13"/>
        <v>45523</v>
      </c>
      <c r="R163" s="11">
        <f t="shared" ca="1" si="13"/>
        <v>45553</v>
      </c>
    </row>
    <row r="164" spans="1:18" x14ac:dyDescent="0.25">
      <c r="A164" s="2">
        <v>2545</v>
      </c>
      <c r="B164">
        <v>3686</v>
      </c>
      <c r="C164" s="11">
        <v>40337</v>
      </c>
      <c r="D164" t="s">
        <v>10</v>
      </c>
      <c r="E164">
        <v>0</v>
      </c>
      <c r="F164" s="3">
        <f t="shared" si="12"/>
        <v>40367</v>
      </c>
      <c r="G164">
        <v>0</v>
      </c>
      <c r="H164">
        <v>0.3</v>
      </c>
      <c r="I164" t="b">
        <v>1</v>
      </c>
      <c r="J164">
        <v>1524</v>
      </c>
      <c r="K164" t="b">
        <v>0</v>
      </c>
      <c r="L164" t="b">
        <v>0</v>
      </c>
      <c r="M164">
        <v>0</v>
      </c>
      <c r="N164">
        <v>6</v>
      </c>
      <c r="O164">
        <f t="shared" si="10"/>
        <v>525</v>
      </c>
      <c r="P164">
        <f t="shared" si="11"/>
        <v>495</v>
      </c>
      <c r="Q164" s="11">
        <f t="shared" ca="1" si="13"/>
        <v>45530</v>
      </c>
      <c r="R164" s="11">
        <f t="shared" ca="1" si="13"/>
        <v>45560</v>
      </c>
    </row>
    <row r="165" spans="1:18" x14ac:dyDescent="0.25">
      <c r="A165" s="2">
        <v>2546</v>
      </c>
      <c r="B165">
        <v>3686</v>
      </c>
      <c r="C165" s="11">
        <v>40344</v>
      </c>
      <c r="D165" t="s">
        <v>10</v>
      </c>
      <c r="E165">
        <v>0</v>
      </c>
      <c r="F165" s="3">
        <f t="shared" si="12"/>
        <v>40374</v>
      </c>
      <c r="G165">
        <v>0</v>
      </c>
      <c r="H165">
        <v>0</v>
      </c>
      <c r="I165" t="b">
        <v>1</v>
      </c>
      <c r="J165">
        <v>1524</v>
      </c>
      <c r="K165" t="b">
        <v>0</v>
      </c>
      <c r="L165" t="b">
        <v>0</v>
      </c>
      <c r="M165">
        <v>0</v>
      </c>
      <c r="N165">
        <v>6</v>
      </c>
      <c r="O165">
        <f t="shared" si="10"/>
        <v>518</v>
      </c>
      <c r="P165">
        <f t="shared" si="11"/>
        <v>488</v>
      </c>
      <c r="Q165" s="11">
        <f t="shared" ca="1" si="13"/>
        <v>45537</v>
      </c>
      <c r="R165" s="11">
        <f t="shared" ca="1" si="13"/>
        <v>45567</v>
      </c>
    </row>
    <row r="166" spans="1:18" x14ac:dyDescent="0.25">
      <c r="A166" s="2">
        <v>2547</v>
      </c>
      <c r="B166">
        <v>3688</v>
      </c>
      <c r="C166" s="11">
        <v>40351</v>
      </c>
      <c r="D166" t="s">
        <v>10</v>
      </c>
      <c r="E166">
        <v>0</v>
      </c>
      <c r="F166" s="3">
        <f t="shared" si="12"/>
        <v>40381</v>
      </c>
      <c r="G166">
        <v>450</v>
      </c>
      <c r="H166">
        <v>0.3</v>
      </c>
      <c r="I166" t="b">
        <v>1</v>
      </c>
      <c r="J166">
        <v>1524</v>
      </c>
      <c r="K166" t="b">
        <v>0</v>
      </c>
      <c r="L166" t="b">
        <v>0</v>
      </c>
      <c r="M166">
        <v>0</v>
      </c>
      <c r="N166">
        <v>6</v>
      </c>
      <c r="O166">
        <f t="shared" si="10"/>
        <v>511</v>
      </c>
      <c r="P166">
        <f t="shared" si="11"/>
        <v>481</v>
      </c>
      <c r="Q166" s="11">
        <f t="shared" ca="1" si="13"/>
        <v>45544</v>
      </c>
      <c r="R166" s="11">
        <f t="shared" ca="1" si="13"/>
        <v>45574</v>
      </c>
    </row>
    <row r="167" spans="1:18" x14ac:dyDescent="0.25">
      <c r="A167" s="2">
        <v>2548</v>
      </c>
      <c r="B167">
        <v>2771</v>
      </c>
      <c r="C167" s="11">
        <v>40358</v>
      </c>
      <c r="D167" t="s">
        <v>10</v>
      </c>
      <c r="E167">
        <v>0</v>
      </c>
      <c r="F167" s="3">
        <f t="shared" si="12"/>
        <v>40388</v>
      </c>
      <c r="G167">
        <v>58.95</v>
      </c>
      <c r="H167">
        <v>0</v>
      </c>
      <c r="I167" t="b">
        <v>1</v>
      </c>
      <c r="J167">
        <v>1524</v>
      </c>
      <c r="K167" t="b">
        <v>0</v>
      </c>
      <c r="L167" t="b">
        <v>0</v>
      </c>
      <c r="M167">
        <v>0</v>
      </c>
      <c r="N167">
        <v>6</v>
      </c>
      <c r="O167">
        <f t="shared" si="10"/>
        <v>504</v>
      </c>
      <c r="P167">
        <f t="shared" si="11"/>
        <v>474</v>
      </c>
      <c r="Q167" s="11">
        <f t="shared" ca="1" si="13"/>
        <v>45551</v>
      </c>
      <c r="R167" s="11">
        <f t="shared" ca="1" si="13"/>
        <v>45581</v>
      </c>
    </row>
    <row r="168" spans="1:18" x14ac:dyDescent="0.25">
      <c r="A168" s="2">
        <v>2549</v>
      </c>
      <c r="B168">
        <v>798</v>
      </c>
      <c r="C168" s="11">
        <v>40365</v>
      </c>
      <c r="D168" t="s">
        <v>10</v>
      </c>
      <c r="E168">
        <v>3324.5</v>
      </c>
      <c r="F168" s="3">
        <f t="shared" si="12"/>
        <v>40395</v>
      </c>
      <c r="G168">
        <v>0</v>
      </c>
      <c r="H168">
        <v>0.3</v>
      </c>
      <c r="I168" t="b">
        <v>1</v>
      </c>
      <c r="J168">
        <v>1524</v>
      </c>
      <c r="K168" t="b">
        <v>0</v>
      </c>
      <c r="L168" t="b">
        <v>0</v>
      </c>
      <c r="M168">
        <v>0</v>
      </c>
      <c r="N168">
        <v>6</v>
      </c>
      <c r="O168">
        <f t="shared" si="10"/>
        <v>497</v>
      </c>
      <c r="P168">
        <f t="shared" si="11"/>
        <v>467</v>
      </c>
      <c r="Q168" s="11">
        <f t="shared" ca="1" si="13"/>
        <v>45558</v>
      </c>
      <c r="R168" s="11">
        <f t="shared" ca="1" si="13"/>
        <v>45588</v>
      </c>
    </row>
    <row r="169" spans="1:18" x14ac:dyDescent="0.25">
      <c r="A169" s="2">
        <v>2550</v>
      </c>
      <c r="B169">
        <v>798</v>
      </c>
      <c r="C169" s="11">
        <v>40372</v>
      </c>
      <c r="D169" t="s">
        <v>10</v>
      </c>
      <c r="E169">
        <v>0</v>
      </c>
      <c r="F169" s="3">
        <f t="shared" si="12"/>
        <v>40402</v>
      </c>
      <c r="G169">
        <v>0</v>
      </c>
      <c r="H169">
        <v>0</v>
      </c>
      <c r="I169" t="b">
        <v>1</v>
      </c>
      <c r="J169">
        <v>1524</v>
      </c>
      <c r="K169" t="b">
        <v>0</v>
      </c>
      <c r="L169" t="b">
        <v>0</v>
      </c>
      <c r="M169">
        <v>0</v>
      </c>
      <c r="N169">
        <v>6</v>
      </c>
      <c r="O169">
        <f t="shared" si="10"/>
        <v>490</v>
      </c>
      <c r="P169">
        <f t="shared" si="11"/>
        <v>460</v>
      </c>
      <c r="Q169" s="11">
        <f t="shared" ca="1" si="13"/>
        <v>45565</v>
      </c>
      <c r="R169" s="11">
        <f t="shared" ca="1" si="13"/>
        <v>45595</v>
      </c>
    </row>
    <row r="170" spans="1:18" x14ac:dyDescent="0.25">
      <c r="A170" s="2">
        <v>2551</v>
      </c>
      <c r="B170">
        <v>3683</v>
      </c>
      <c r="C170" s="11">
        <v>40379</v>
      </c>
      <c r="D170" t="s">
        <v>10</v>
      </c>
      <c r="E170">
        <v>0</v>
      </c>
      <c r="F170" s="3">
        <f t="shared" si="12"/>
        <v>40409</v>
      </c>
      <c r="G170">
        <v>0</v>
      </c>
      <c r="H170">
        <v>0.15</v>
      </c>
      <c r="I170" t="b">
        <v>1</v>
      </c>
      <c r="J170">
        <v>1524</v>
      </c>
      <c r="K170" t="b">
        <v>0</v>
      </c>
      <c r="L170" t="b">
        <v>0</v>
      </c>
      <c r="M170">
        <v>0</v>
      </c>
      <c r="N170">
        <v>6</v>
      </c>
      <c r="O170">
        <f t="shared" si="10"/>
        <v>483</v>
      </c>
      <c r="P170">
        <f t="shared" si="11"/>
        <v>453</v>
      </c>
      <c r="Q170" s="11">
        <f t="shared" ca="1" si="13"/>
        <v>45572</v>
      </c>
      <c r="R170" s="11">
        <f t="shared" ca="1" si="13"/>
        <v>45602</v>
      </c>
    </row>
    <row r="171" spans="1:18" x14ac:dyDescent="0.25">
      <c r="A171" s="2">
        <v>2552</v>
      </c>
      <c r="B171">
        <v>933</v>
      </c>
      <c r="C171" s="11">
        <v>40386</v>
      </c>
      <c r="D171" t="s">
        <v>10</v>
      </c>
      <c r="E171">
        <v>0</v>
      </c>
      <c r="F171" s="3">
        <f t="shared" si="12"/>
        <v>40416</v>
      </c>
      <c r="G171">
        <v>0</v>
      </c>
      <c r="H171">
        <v>0.3</v>
      </c>
      <c r="I171" t="b">
        <v>1</v>
      </c>
      <c r="J171">
        <v>1524</v>
      </c>
      <c r="K171" t="b">
        <v>0</v>
      </c>
      <c r="L171" t="b">
        <v>0</v>
      </c>
      <c r="M171">
        <v>0</v>
      </c>
      <c r="N171">
        <v>6</v>
      </c>
      <c r="O171">
        <f t="shared" si="10"/>
        <v>476</v>
      </c>
      <c r="P171">
        <f t="shared" si="11"/>
        <v>446</v>
      </c>
      <c r="Q171" s="11">
        <f t="shared" ca="1" si="13"/>
        <v>45579</v>
      </c>
      <c r="R171" s="11">
        <f t="shared" ca="1" si="13"/>
        <v>45609</v>
      </c>
    </row>
    <row r="172" spans="1:18" x14ac:dyDescent="0.25">
      <c r="A172" s="2">
        <v>2553</v>
      </c>
      <c r="B172">
        <v>2913</v>
      </c>
      <c r="C172" s="11">
        <v>40393</v>
      </c>
      <c r="D172" t="s">
        <v>10</v>
      </c>
      <c r="E172">
        <v>0</v>
      </c>
      <c r="F172" s="3">
        <f t="shared" si="12"/>
        <v>40423</v>
      </c>
      <c r="G172">
        <v>0</v>
      </c>
      <c r="H172">
        <v>0.15</v>
      </c>
      <c r="I172" t="b">
        <v>1</v>
      </c>
      <c r="J172">
        <v>1524</v>
      </c>
      <c r="K172" t="b">
        <v>0</v>
      </c>
      <c r="L172" t="b">
        <v>0</v>
      </c>
      <c r="M172">
        <v>0</v>
      </c>
      <c r="N172">
        <v>6</v>
      </c>
      <c r="O172">
        <f t="shared" si="10"/>
        <v>469</v>
      </c>
      <c r="P172">
        <f t="shared" si="11"/>
        <v>439</v>
      </c>
      <c r="Q172" s="11">
        <f t="shared" ca="1" si="13"/>
        <v>45586</v>
      </c>
      <c r="R172" s="11">
        <f t="shared" ca="1" si="13"/>
        <v>45616</v>
      </c>
    </row>
    <row r="173" spans="1:18" x14ac:dyDescent="0.25">
      <c r="A173" s="2">
        <v>2554</v>
      </c>
      <c r="B173">
        <v>2928</v>
      </c>
      <c r="C173" s="11">
        <v>40400</v>
      </c>
      <c r="D173" t="s">
        <v>10</v>
      </c>
      <c r="E173">
        <v>0</v>
      </c>
      <c r="F173" s="3">
        <f t="shared" si="12"/>
        <v>40430</v>
      </c>
      <c r="G173">
        <v>0</v>
      </c>
      <c r="H173">
        <v>0.15</v>
      </c>
      <c r="I173" t="b">
        <v>1</v>
      </c>
      <c r="J173">
        <v>1524</v>
      </c>
      <c r="K173" t="b">
        <v>0</v>
      </c>
      <c r="L173" t="b">
        <v>0</v>
      </c>
      <c r="M173">
        <v>0</v>
      </c>
      <c r="N173">
        <v>6</v>
      </c>
      <c r="O173">
        <f t="shared" si="10"/>
        <v>462</v>
      </c>
      <c r="P173">
        <f t="shared" si="11"/>
        <v>432</v>
      </c>
      <c r="Q173" s="11">
        <f t="shared" ca="1" si="13"/>
        <v>45593</v>
      </c>
      <c r="R173" s="11">
        <f t="shared" ca="1" si="13"/>
        <v>45623</v>
      </c>
    </row>
    <row r="174" spans="1:18" x14ac:dyDescent="0.25">
      <c r="A174" s="2">
        <v>2555</v>
      </c>
      <c r="B174">
        <v>2421</v>
      </c>
      <c r="C174" s="11">
        <v>40407</v>
      </c>
      <c r="D174" t="s">
        <v>10</v>
      </c>
      <c r="E174">
        <v>0</v>
      </c>
      <c r="F174" s="3">
        <f t="shared" si="12"/>
        <v>40437</v>
      </c>
      <c r="G174">
        <v>390</v>
      </c>
      <c r="H174">
        <v>0.3</v>
      </c>
      <c r="I174" t="b">
        <v>1</v>
      </c>
      <c r="J174">
        <v>1524</v>
      </c>
      <c r="K174" t="b">
        <v>0</v>
      </c>
      <c r="L174" t="b">
        <v>0</v>
      </c>
      <c r="M174">
        <v>0</v>
      </c>
      <c r="N174">
        <v>6</v>
      </c>
      <c r="O174">
        <f t="shared" si="10"/>
        <v>455</v>
      </c>
      <c r="P174">
        <f t="shared" si="11"/>
        <v>425</v>
      </c>
      <c r="Q174" s="11">
        <f t="shared" ca="1" si="13"/>
        <v>45600</v>
      </c>
      <c r="R174" s="11">
        <f t="shared" ca="1" si="13"/>
        <v>45630</v>
      </c>
    </row>
    <row r="175" spans="1:18" x14ac:dyDescent="0.25">
      <c r="A175" s="2">
        <v>2556</v>
      </c>
      <c r="B175">
        <v>1548</v>
      </c>
      <c r="C175" s="11">
        <v>40414</v>
      </c>
      <c r="D175" t="s">
        <v>10</v>
      </c>
      <c r="E175">
        <v>0</v>
      </c>
      <c r="F175" s="3">
        <f t="shared" si="12"/>
        <v>40444</v>
      </c>
      <c r="G175">
        <v>0</v>
      </c>
      <c r="H175">
        <v>0.05</v>
      </c>
      <c r="I175" t="b">
        <v>1</v>
      </c>
      <c r="J175">
        <v>1524</v>
      </c>
      <c r="K175" t="b">
        <v>0</v>
      </c>
      <c r="L175" t="b">
        <v>0</v>
      </c>
      <c r="M175">
        <v>0</v>
      </c>
      <c r="N175">
        <v>6</v>
      </c>
      <c r="O175">
        <f t="shared" si="10"/>
        <v>448</v>
      </c>
      <c r="P175">
        <f t="shared" si="11"/>
        <v>418</v>
      </c>
      <c r="Q175" s="11">
        <f t="shared" ca="1" si="13"/>
        <v>45607</v>
      </c>
      <c r="R175" s="11">
        <f t="shared" ca="1" si="13"/>
        <v>45637</v>
      </c>
    </row>
    <row r="176" spans="1:18" x14ac:dyDescent="0.25">
      <c r="A176" s="2">
        <v>2557</v>
      </c>
      <c r="B176">
        <v>3686</v>
      </c>
      <c r="C176" s="11">
        <v>40421</v>
      </c>
      <c r="D176" t="s">
        <v>10</v>
      </c>
      <c r="E176">
        <v>0</v>
      </c>
      <c r="F176" s="3">
        <f t="shared" si="12"/>
        <v>40451</v>
      </c>
      <c r="G176">
        <v>29</v>
      </c>
      <c r="H176">
        <v>0</v>
      </c>
      <c r="I176" t="b">
        <v>1</v>
      </c>
      <c r="J176">
        <v>640</v>
      </c>
      <c r="K176" t="b">
        <v>1</v>
      </c>
      <c r="L176" t="b">
        <v>0</v>
      </c>
      <c r="M176">
        <v>0</v>
      </c>
      <c r="N176">
        <v>6</v>
      </c>
      <c r="O176">
        <f t="shared" si="10"/>
        <v>441</v>
      </c>
      <c r="P176">
        <f t="shared" si="11"/>
        <v>411</v>
      </c>
      <c r="Q176" s="11">
        <f t="shared" ca="1" si="13"/>
        <v>45614</v>
      </c>
      <c r="R176" s="11">
        <f t="shared" ca="1" si="13"/>
        <v>45644</v>
      </c>
    </row>
    <row r="177" spans="1:18" x14ac:dyDescent="0.25">
      <c r="A177" s="2">
        <v>2558</v>
      </c>
      <c r="B177">
        <v>1745</v>
      </c>
      <c r="C177" s="11">
        <v>40428</v>
      </c>
      <c r="D177" t="s">
        <v>10</v>
      </c>
      <c r="E177">
        <v>0</v>
      </c>
      <c r="F177" s="3">
        <f t="shared" si="12"/>
        <v>40458</v>
      </c>
      <c r="G177">
        <v>0</v>
      </c>
      <c r="H177">
        <v>0.3</v>
      </c>
      <c r="I177" t="b">
        <v>1</v>
      </c>
      <c r="J177">
        <v>1524</v>
      </c>
      <c r="K177" t="b">
        <v>0</v>
      </c>
      <c r="L177" t="b">
        <v>0</v>
      </c>
      <c r="M177">
        <v>0</v>
      </c>
      <c r="N177">
        <v>6</v>
      </c>
      <c r="O177">
        <f t="shared" si="10"/>
        <v>434</v>
      </c>
      <c r="P177">
        <f t="shared" si="11"/>
        <v>404</v>
      </c>
      <c r="Q177" s="11">
        <f t="shared" ca="1" si="13"/>
        <v>45621</v>
      </c>
      <c r="R177" s="11">
        <f t="shared" ca="1" si="13"/>
        <v>45651</v>
      </c>
    </row>
    <row r="178" spans="1:18" x14ac:dyDescent="0.25">
      <c r="A178" s="2">
        <v>2559</v>
      </c>
      <c r="B178">
        <v>7</v>
      </c>
      <c r="C178" s="11">
        <v>40435</v>
      </c>
      <c r="D178" t="s">
        <v>10</v>
      </c>
      <c r="E178">
        <v>0</v>
      </c>
      <c r="F178" s="3">
        <f t="shared" si="12"/>
        <v>40465</v>
      </c>
      <c r="G178">
        <v>0</v>
      </c>
      <c r="H178">
        <v>0</v>
      </c>
      <c r="I178" t="b">
        <v>1</v>
      </c>
      <c r="J178">
        <v>1524</v>
      </c>
      <c r="K178" t="b">
        <v>0</v>
      </c>
      <c r="L178" t="b">
        <v>0</v>
      </c>
      <c r="M178">
        <v>0</v>
      </c>
      <c r="N178">
        <v>6</v>
      </c>
      <c r="O178">
        <f t="shared" si="10"/>
        <v>427</v>
      </c>
      <c r="P178">
        <f t="shared" si="11"/>
        <v>397</v>
      </c>
      <c r="Q178" s="11">
        <f t="shared" ca="1" si="13"/>
        <v>45628</v>
      </c>
      <c r="R178" s="11">
        <f t="shared" ca="1" si="13"/>
        <v>45658</v>
      </c>
    </row>
    <row r="179" spans="1:18" x14ac:dyDescent="0.25">
      <c r="A179" s="2">
        <v>2560</v>
      </c>
      <c r="B179">
        <v>2818</v>
      </c>
      <c r="C179" s="11">
        <v>40442</v>
      </c>
      <c r="D179" t="s">
        <v>10</v>
      </c>
      <c r="E179">
        <v>0</v>
      </c>
      <c r="F179" s="3">
        <f t="shared" si="12"/>
        <v>40472</v>
      </c>
      <c r="G179">
        <v>13.5</v>
      </c>
      <c r="H179">
        <v>0</v>
      </c>
      <c r="I179" t="b">
        <v>1</v>
      </c>
      <c r="J179">
        <v>640</v>
      </c>
      <c r="K179" t="b">
        <v>1</v>
      </c>
      <c r="L179" t="b">
        <v>0</v>
      </c>
      <c r="M179">
        <v>0</v>
      </c>
      <c r="N179">
        <v>6</v>
      </c>
      <c r="O179">
        <f t="shared" si="10"/>
        <v>420</v>
      </c>
      <c r="P179">
        <f t="shared" si="11"/>
        <v>390</v>
      </c>
      <c r="Q179" s="11">
        <f t="shared" ca="1" si="13"/>
        <v>45635</v>
      </c>
      <c r="R179" s="11">
        <f t="shared" ca="1" si="13"/>
        <v>45665</v>
      </c>
    </row>
    <row r="180" spans="1:18" x14ac:dyDescent="0.25">
      <c r="A180" s="2">
        <v>2561</v>
      </c>
      <c r="B180">
        <v>963</v>
      </c>
      <c r="C180" s="11">
        <v>40449</v>
      </c>
      <c r="D180" t="s">
        <v>10</v>
      </c>
      <c r="E180">
        <v>0</v>
      </c>
      <c r="F180" s="3">
        <f t="shared" si="12"/>
        <v>40479</v>
      </c>
      <c r="G180">
        <v>0</v>
      </c>
      <c r="H180">
        <v>0</v>
      </c>
      <c r="I180" t="b">
        <v>1</v>
      </c>
      <c r="J180">
        <v>1524</v>
      </c>
      <c r="K180" t="b">
        <v>0</v>
      </c>
      <c r="L180" t="b">
        <v>0</v>
      </c>
      <c r="M180">
        <v>0</v>
      </c>
      <c r="N180">
        <v>6</v>
      </c>
      <c r="O180">
        <f t="shared" si="10"/>
        <v>413</v>
      </c>
      <c r="P180">
        <f t="shared" si="11"/>
        <v>383</v>
      </c>
      <c r="Q180" s="11">
        <f t="shared" ca="1" si="13"/>
        <v>45642</v>
      </c>
      <c r="R180" s="11">
        <f t="shared" ca="1" si="13"/>
        <v>45672</v>
      </c>
    </row>
    <row r="181" spans="1:18" x14ac:dyDescent="0.25">
      <c r="A181" s="2">
        <v>2562</v>
      </c>
      <c r="B181">
        <v>2765</v>
      </c>
      <c r="C181" s="11">
        <v>40456</v>
      </c>
      <c r="D181" t="s">
        <v>10</v>
      </c>
      <c r="E181">
        <v>0</v>
      </c>
      <c r="F181" s="3">
        <f t="shared" si="12"/>
        <v>40486</v>
      </c>
      <c r="G181">
        <v>29</v>
      </c>
      <c r="H181">
        <v>0</v>
      </c>
      <c r="I181" t="b">
        <v>1</v>
      </c>
      <c r="J181">
        <v>640</v>
      </c>
      <c r="K181" t="b">
        <v>1</v>
      </c>
      <c r="L181" t="b">
        <v>0</v>
      </c>
      <c r="M181">
        <v>0</v>
      </c>
      <c r="N181">
        <v>6</v>
      </c>
      <c r="O181">
        <f t="shared" si="10"/>
        <v>406</v>
      </c>
      <c r="P181">
        <f t="shared" si="11"/>
        <v>376</v>
      </c>
      <c r="Q181" s="11">
        <f t="shared" ca="1" si="13"/>
        <v>45649</v>
      </c>
      <c r="R181" s="11">
        <f t="shared" ca="1" si="13"/>
        <v>45679</v>
      </c>
    </row>
    <row r="182" spans="1:18" x14ac:dyDescent="0.25">
      <c r="A182" s="2">
        <v>2563</v>
      </c>
      <c r="B182">
        <v>12</v>
      </c>
      <c r="C182" s="11">
        <v>40463</v>
      </c>
      <c r="D182" t="s">
        <v>10</v>
      </c>
      <c r="E182">
        <v>0</v>
      </c>
      <c r="F182" s="3">
        <f t="shared" si="12"/>
        <v>40493</v>
      </c>
      <c r="G182">
        <v>0</v>
      </c>
      <c r="H182">
        <v>0.3</v>
      </c>
      <c r="I182" t="b">
        <v>1</v>
      </c>
      <c r="J182">
        <v>1524</v>
      </c>
      <c r="K182" t="b">
        <v>0</v>
      </c>
      <c r="L182" t="b">
        <v>0</v>
      </c>
      <c r="M182">
        <v>0</v>
      </c>
      <c r="N182">
        <v>6</v>
      </c>
      <c r="O182">
        <f t="shared" si="10"/>
        <v>399</v>
      </c>
      <c r="P182">
        <f t="shared" si="11"/>
        <v>369</v>
      </c>
      <c r="Q182" s="11">
        <f t="shared" ca="1" si="13"/>
        <v>45656</v>
      </c>
      <c r="R182" s="11">
        <f t="shared" ca="1" si="13"/>
        <v>45686</v>
      </c>
    </row>
    <row r="183" spans="1:18" x14ac:dyDescent="0.25">
      <c r="A183" s="2">
        <v>2564</v>
      </c>
      <c r="B183">
        <v>2937</v>
      </c>
      <c r="C183" s="11">
        <v>40470</v>
      </c>
      <c r="D183" t="s">
        <v>10</v>
      </c>
      <c r="E183">
        <v>0</v>
      </c>
      <c r="F183" s="3">
        <f t="shared" si="12"/>
        <v>40500</v>
      </c>
      <c r="G183">
        <v>0</v>
      </c>
      <c r="H183">
        <v>0.4</v>
      </c>
      <c r="I183" t="b">
        <v>1</v>
      </c>
      <c r="J183">
        <v>1524</v>
      </c>
      <c r="K183" t="b">
        <v>0</v>
      </c>
      <c r="L183" t="b">
        <v>0</v>
      </c>
      <c r="M183">
        <v>0</v>
      </c>
      <c r="N183">
        <v>6</v>
      </c>
      <c r="O183">
        <f t="shared" si="10"/>
        <v>392</v>
      </c>
      <c r="P183">
        <f t="shared" si="11"/>
        <v>362</v>
      </c>
      <c r="Q183" s="11">
        <f t="shared" ca="1" si="13"/>
        <v>45663</v>
      </c>
      <c r="R183" s="11">
        <f t="shared" ca="1" si="13"/>
        <v>45693</v>
      </c>
    </row>
    <row r="184" spans="1:18" x14ac:dyDescent="0.25">
      <c r="A184" s="2">
        <v>2565</v>
      </c>
      <c r="B184">
        <v>2937</v>
      </c>
      <c r="C184" s="11">
        <v>40477</v>
      </c>
      <c r="D184" t="s">
        <v>10</v>
      </c>
      <c r="E184">
        <v>0</v>
      </c>
      <c r="F184" s="3">
        <f t="shared" si="12"/>
        <v>40507</v>
      </c>
      <c r="G184">
        <v>0</v>
      </c>
      <c r="H184">
        <v>0.05</v>
      </c>
      <c r="I184" t="b">
        <v>1</v>
      </c>
      <c r="J184">
        <v>1524</v>
      </c>
      <c r="K184" t="b">
        <v>0</v>
      </c>
      <c r="L184" t="b">
        <v>0</v>
      </c>
      <c r="M184">
        <v>0</v>
      </c>
      <c r="N184">
        <v>6</v>
      </c>
      <c r="O184">
        <f t="shared" si="10"/>
        <v>385</v>
      </c>
      <c r="P184">
        <f t="shared" si="11"/>
        <v>355</v>
      </c>
      <c r="Q184" s="11">
        <f t="shared" ca="1" si="13"/>
        <v>45670</v>
      </c>
      <c r="R184" s="11">
        <f t="shared" ca="1" si="13"/>
        <v>45700</v>
      </c>
    </row>
    <row r="185" spans="1:18" x14ac:dyDescent="0.25">
      <c r="A185" s="2">
        <v>2566</v>
      </c>
      <c r="B185">
        <v>2937</v>
      </c>
      <c r="C185" s="11">
        <v>40484</v>
      </c>
      <c r="D185" t="s">
        <v>10</v>
      </c>
      <c r="E185">
        <v>0</v>
      </c>
      <c r="F185" s="3">
        <f t="shared" si="12"/>
        <v>40514</v>
      </c>
      <c r="G185">
        <v>0</v>
      </c>
      <c r="H185">
        <v>0</v>
      </c>
      <c r="I185" t="b">
        <v>1</v>
      </c>
      <c r="J185">
        <v>1524</v>
      </c>
      <c r="K185" t="b">
        <v>0</v>
      </c>
      <c r="L185" t="b">
        <v>0</v>
      </c>
      <c r="M185">
        <v>0</v>
      </c>
      <c r="N185">
        <v>6</v>
      </c>
      <c r="O185">
        <f t="shared" si="10"/>
        <v>378</v>
      </c>
      <c r="P185">
        <f t="shared" si="11"/>
        <v>348</v>
      </c>
      <c r="Q185" s="11">
        <f t="shared" ca="1" si="13"/>
        <v>45677</v>
      </c>
      <c r="R185" s="11">
        <f t="shared" ca="1" si="13"/>
        <v>45707</v>
      </c>
    </row>
    <row r="186" spans="1:18" x14ac:dyDescent="0.25">
      <c r="A186" s="2">
        <v>2567</v>
      </c>
      <c r="B186">
        <v>22</v>
      </c>
      <c r="C186" s="11">
        <v>40491</v>
      </c>
      <c r="D186" t="s">
        <v>10</v>
      </c>
      <c r="E186">
        <v>0</v>
      </c>
      <c r="F186" s="3">
        <f t="shared" si="12"/>
        <v>40521</v>
      </c>
      <c r="G186">
        <v>0</v>
      </c>
      <c r="H186">
        <v>0</v>
      </c>
      <c r="I186" t="b">
        <v>1</v>
      </c>
      <c r="J186">
        <v>1524</v>
      </c>
      <c r="K186" t="b">
        <v>0</v>
      </c>
      <c r="L186" t="b">
        <v>0</v>
      </c>
      <c r="M186">
        <v>0</v>
      </c>
      <c r="N186">
        <v>6</v>
      </c>
      <c r="O186">
        <f t="shared" si="10"/>
        <v>371</v>
      </c>
      <c r="P186">
        <f t="shared" si="11"/>
        <v>341</v>
      </c>
      <c r="Q186" s="11">
        <f t="shared" ca="1" si="13"/>
        <v>45684</v>
      </c>
      <c r="R186" s="11">
        <f t="shared" ca="1" si="13"/>
        <v>45714</v>
      </c>
    </row>
    <row r="187" spans="1:18" x14ac:dyDescent="0.25">
      <c r="A187" s="2">
        <v>2568</v>
      </c>
      <c r="B187">
        <v>3005</v>
      </c>
      <c r="C187" s="11">
        <v>40498</v>
      </c>
      <c r="D187" t="s">
        <v>10</v>
      </c>
      <c r="E187">
        <v>100</v>
      </c>
      <c r="F187" s="3">
        <f t="shared" si="12"/>
        <v>40528</v>
      </c>
      <c r="G187">
        <v>105</v>
      </c>
      <c r="H187">
        <v>0</v>
      </c>
      <c r="I187" t="b">
        <v>1</v>
      </c>
      <c r="J187">
        <v>1524</v>
      </c>
      <c r="K187" t="b">
        <v>0</v>
      </c>
      <c r="L187" t="b">
        <v>0</v>
      </c>
      <c r="M187">
        <v>0</v>
      </c>
      <c r="N187">
        <v>6</v>
      </c>
      <c r="O187">
        <f t="shared" si="10"/>
        <v>364</v>
      </c>
      <c r="P187">
        <f t="shared" si="11"/>
        <v>334</v>
      </c>
      <c r="Q187" s="11">
        <f t="shared" ca="1" si="13"/>
        <v>45691</v>
      </c>
      <c r="R187" s="11">
        <f t="shared" ca="1" si="13"/>
        <v>45721</v>
      </c>
    </row>
    <row r="188" spans="1:18" x14ac:dyDescent="0.25">
      <c r="A188" s="2">
        <v>2569</v>
      </c>
      <c r="B188">
        <v>963</v>
      </c>
      <c r="C188" s="11">
        <v>40505</v>
      </c>
      <c r="D188" t="s">
        <v>10</v>
      </c>
      <c r="E188">
        <v>0</v>
      </c>
      <c r="F188" s="3">
        <f t="shared" si="12"/>
        <v>40535</v>
      </c>
      <c r="G188">
        <v>0</v>
      </c>
      <c r="H188">
        <v>0</v>
      </c>
      <c r="I188" t="b">
        <v>1</v>
      </c>
      <c r="J188">
        <v>1524</v>
      </c>
      <c r="K188" t="b">
        <v>0</v>
      </c>
      <c r="L188" t="b">
        <v>1</v>
      </c>
      <c r="M188">
        <v>0</v>
      </c>
      <c r="N188">
        <v>6</v>
      </c>
      <c r="O188">
        <f t="shared" si="10"/>
        <v>357</v>
      </c>
      <c r="P188">
        <f t="shared" si="11"/>
        <v>327</v>
      </c>
      <c r="Q188" s="11">
        <f t="shared" ca="1" si="13"/>
        <v>45698</v>
      </c>
      <c r="R188" s="11">
        <f t="shared" ca="1" si="13"/>
        <v>45728</v>
      </c>
    </row>
    <row r="189" spans="1:18" x14ac:dyDescent="0.25">
      <c r="A189" s="2">
        <v>2570</v>
      </c>
      <c r="B189">
        <v>2407</v>
      </c>
      <c r="C189" s="11">
        <v>40512</v>
      </c>
      <c r="D189" t="s">
        <v>10</v>
      </c>
      <c r="E189">
        <v>0</v>
      </c>
      <c r="F189" s="3">
        <f t="shared" si="12"/>
        <v>40542</v>
      </c>
      <c r="G189">
        <v>14</v>
      </c>
      <c r="H189">
        <v>0</v>
      </c>
      <c r="I189" t="b">
        <v>1</v>
      </c>
      <c r="J189">
        <v>640</v>
      </c>
      <c r="K189" t="b">
        <v>1</v>
      </c>
      <c r="L189" t="b">
        <v>0</v>
      </c>
      <c r="M189">
        <v>0</v>
      </c>
      <c r="N189">
        <v>6</v>
      </c>
      <c r="O189">
        <f t="shared" si="10"/>
        <v>350</v>
      </c>
      <c r="P189">
        <f t="shared" si="11"/>
        <v>320</v>
      </c>
      <c r="Q189" s="11">
        <f t="shared" ca="1" si="13"/>
        <v>45705</v>
      </c>
      <c r="R189" s="11">
        <f t="shared" ca="1" si="13"/>
        <v>45735</v>
      </c>
    </row>
    <row r="190" spans="1:18" x14ac:dyDescent="0.25">
      <c r="A190" s="2">
        <v>2571</v>
      </c>
      <c r="B190">
        <v>1478</v>
      </c>
      <c r="C190" s="11">
        <v>40519</v>
      </c>
      <c r="D190" t="s">
        <v>10</v>
      </c>
      <c r="E190">
        <v>0</v>
      </c>
      <c r="F190" s="3">
        <f t="shared" si="12"/>
        <v>40549</v>
      </c>
      <c r="G190">
        <v>19</v>
      </c>
      <c r="H190">
        <v>0</v>
      </c>
      <c r="I190" t="b">
        <v>1</v>
      </c>
      <c r="J190">
        <v>640</v>
      </c>
      <c r="K190" t="b">
        <v>1</v>
      </c>
      <c r="L190" t="b">
        <v>0</v>
      </c>
      <c r="M190">
        <v>0</v>
      </c>
      <c r="N190">
        <v>6</v>
      </c>
      <c r="O190">
        <f t="shared" si="10"/>
        <v>343</v>
      </c>
      <c r="P190">
        <f t="shared" si="11"/>
        <v>313</v>
      </c>
      <c r="Q190" s="11">
        <f t="shared" ca="1" si="13"/>
        <v>45712</v>
      </c>
      <c r="R190" s="11">
        <f t="shared" ca="1" si="13"/>
        <v>45742</v>
      </c>
    </row>
    <row r="191" spans="1:18" x14ac:dyDescent="0.25">
      <c r="A191" s="2">
        <v>2572</v>
      </c>
      <c r="B191">
        <v>2857</v>
      </c>
      <c r="C191" s="11">
        <v>40526</v>
      </c>
      <c r="D191" t="s">
        <v>10</v>
      </c>
      <c r="E191">
        <v>0</v>
      </c>
      <c r="F191" s="3">
        <f t="shared" si="12"/>
        <v>40556</v>
      </c>
      <c r="G191">
        <v>14</v>
      </c>
      <c r="H191">
        <v>0</v>
      </c>
      <c r="I191" t="b">
        <v>1</v>
      </c>
      <c r="J191">
        <v>640</v>
      </c>
      <c r="K191" t="b">
        <v>1</v>
      </c>
      <c r="L191" t="b">
        <v>0</v>
      </c>
      <c r="M191">
        <v>0</v>
      </c>
      <c r="N191">
        <v>6</v>
      </c>
      <c r="O191">
        <f t="shared" si="10"/>
        <v>336</v>
      </c>
      <c r="P191">
        <f t="shared" si="11"/>
        <v>306</v>
      </c>
      <c r="Q191" s="11">
        <f t="shared" ca="1" si="13"/>
        <v>45719</v>
      </c>
      <c r="R191" s="11">
        <f t="shared" ca="1" si="13"/>
        <v>45749</v>
      </c>
    </row>
    <row r="192" spans="1:18" x14ac:dyDescent="0.25">
      <c r="A192" s="2">
        <v>2573</v>
      </c>
      <c r="B192">
        <v>3095</v>
      </c>
      <c r="C192" s="11">
        <v>40533</v>
      </c>
      <c r="D192" t="s">
        <v>10</v>
      </c>
      <c r="E192">
        <v>0</v>
      </c>
      <c r="F192" s="3">
        <f t="shared" si="12"/>
        <v>40563</v>
      </c>
      <c r="G192">
        <v>46</v>
      </c>
      <c r="H192">
        <v>0</v>
      </c>
      <c r="I192" t="b">
        <v>1</v>
      </c>
      <c r="J192">
        <v>640</v>
      </c>
      <c r="K192" t="b">
        <v>1</v>
      </c>
      <c r="L192" t="b">
        <v>0</v>
      </c>
      <c r="M192">
        <v>0</v>
      </c>
      <c r="N192">
        <v>6</v>
      </c>
      <c r="O192">
        <f t="shared" si="10"/>
        <v>329</v>
      </c>
      <c r="P192">
        <f t="shared" si="11"/>
        <v>299</v>
      </c>
      <c r="Q192" s="11">
        <f t="shared" ca="1" si="13"/>
        <v>45726</v>
      </c>
      <c r="R192" s="11">
        <f t="shared" ca="1" si="13"/>
        <v>45756</v>
      </c>
    </row>
    <row r="193" spans="1:18" x14ac:dyDescent="0.25">
      <c r="A193" s="2">
        <v>2574</v>
      </c>
      <c r="B193">
        <v>3686</v>
      </c>
      <c r="C193" s="11">
        <v>40540</v>
      </c>
      <c r="D193" t="s">
        <v>10</v>
      </c>
      <c r="E193">
        <v>0</v>
      </c>
      <c r="F193" s="3">
        <f t="shared" si="12"/>
        <v>40570</v>
      </c>
      <c r="G193">
        <v>0</v>
      </c>
      <c r="H193">
        <v>0.5</v>
      </c>
      <c r="I193" t="b">
        <v>1</v>
      </c>
      <c r="J193">
        <v>1524</v>
      </c>
      <c r="K193" t="b">
        <v>0</v>
      </c>
      <c r="L193" t="b">
        <v>0</v>
      </c>
      <c r="M193">
        <v>0</v>
      </c>
      <c r="N193">
        <v>6</v>
      </c>
      <c r="O193">
        <f t="shared" si="10"/>
        <v>322</v>
      </c>
      <c r="P193">
        <f t="shared" si="11"/>
        <v>292</v>
      </c>
      <c r="Q193" s="11">
        <f t="shared" ca="1" si="13"/>
        <v>45733</v>
      </c>
      <c r="R193" s="11">
        <f t="shared" ca="1" si="13"/>
        <v>45763</v>
      </c>
    </row>
    <row r="194" spans="1:18" x14ac:dyDescent="0.25">
      <c r="A194" s="2">
        <v>2575</v>
      </c>
      <c r="B194">
        <v>3686</v>
      </c>
      <c r="C194" s="11">
        <v>40547</v>
      </c>
      <c r="D194" t="s">
        <v>10</v>
      </c>
      <c r="E194">
        <v>0</v>
      </c>
      <c r="F194" s="3">
        <f t="shared" si="12"/>
        <v>40577</v>
      </c>
      <c r="G194">
        <v>0</v>
      </c>
      <c r="H194">
        <v>0</v>
      </c>
      <c r="I194" t="b">
        <v>1</v>
      </c>
      <c r="J194">
        <v>1524</v>
      </c>
      <c r="K194" t="b">
        <v>0</v>
      </c>
      <c r="L194" t="b">
        <v>0</v>
      </c>
      <c r="M194">
        <v>0</v>
      </c>
      <c r="N194">
        <v>6</v>
      </c>
      <c r="O194">
        <f t="shared" ref="O194:O239" si="14">DATEDIF(C194,DateFin,"d")</f>
        <v>315</v>
      </c>
      <c r="P194">
        <f t="shared" ref="P194:P232" si="15">DATEDIF(F194,DateFin,"d")</f>
        <v>285</v>
      </c>
      <c r="Q194" s="11">
        <f t="shared" ca="1" si="13"/>
        <v>45740</v>
      </c>
      <c r="R194" s="11">
        <f t="shared" ca="1" si="13"/>
        <v>45770</v>
      </c>
    </row>
    <row r="195" spans="1:18" x14ac:dyDescent="0.25">
      <c r="A195" s="2">
        <v>2576</v>
      </c>
      <c r="B195">
        <v>720</v>
      </c>
      <c r="C195" s="11">
        <v>40554</v>
      </c>
      <c r="D195" t="s">
        <v>10</v>
      </c>
      <c r="E195">
        <v>174.02</v>
      </c>
      <c r="F195" s="3">
        <f t="shared" si="12"/>
        <v>40584</v>
      </c>
      <c r="G195">
        <v>14</v>
      </c>
      <c r="H195">
        <v>0</v>
      </c>
      <c r="I195" t="b">
        <v>1</v>
      </c>
      <c r="J195">
        <v>640</v>
      </c>
      <c r="K195" t="b">
        <v>1</v>
      </c>
      <c r="L195" t="b">
        <v>0</v>
      </c>
      <c r="M195">
        <v>0</v>
      </c>
      <c r="N195">
        <v>6</v>
      </c>
      <c r="O195">
        <f t="shared" si="14"/>
        <v>308</v>
      </c>
      <c r="P195">
        <f t="shared" si="15"/>
        <v>278</v>
      </c>
      <c r="Q195" s="11">
        <f t="shared" ca="1" si="13"/>
        <v>45747</v>
      </c>
      <c r="R195" s="11">
        <f t="shared" ca="1" si="13"/>
        <v>45777</v>
      </c>
    </row>
    <row r="196" spans="1:18" x14ac:dyDescent="0.25">
      <c r="A196" s="2">
        <v>2577</v>
      </c>
      <c r="B196">
        <v>2503</v>
      </c>
      <c r="C196" s="11">
        <v>40561</v>
      </c>
      <c r="D196" t="s">
        <v>10</v>
      </c>
      <c r="E196">
        <v>0</v>
      </c>
      <c r="F196" s="3">
        <f t="shared" si="12"/>
        <v>40591</v>
      </c>
      <c r="G196">
        <v>14</v>
      </c>
      <c r="H196">
        <v>0</v>
      </c>
      <c r="I196" t="b">
        <v>1</v>
      </c>
      <c r="J196">
        <v>640</v>
      </c>
      <c r="K196" t="b">
        <v>1</v>
      </c>
      <c r="L196" t="b">
        <v>0</v>
      </c>
      <c r="M196">
        <v>0</v>
      </c>
      <c r="N196">
        <v>6</v>
      </c>
      <c r="O196">
        <f t="shared" si="14"/>
        <v>301</v>
      </c>
      <c r="P196">
        <f t="shared" si="15"/>
        <v>271</v>
      </c>
      <c r="Q196" s="11">
        <f t="shared" ca="1" si="13"/>
        <v>45754</v>
      </c>
      <c r="R196" s="11">
        <f t="shared" ca="1" si="13"/>
        <v>45784</v>
      </c>
    </row>
    <row r="197" spans="1:18" x14ac:dyDescent="0.25">
      <c r="A197" s="2">
        <v>2578</v>
      </c>
      <c r="B197">
        <v>2818</v>
      </c>
      <c r="C197" s="11">
        <v>40568</v>
      </c>
      <c r="D197" t="s">
        <v>10</v>
      </c>
      <c r="E197">
        <v>0</v>
      </c>
      <c r="F197" s="3">
        <f t="shared" si="12"/>
        <v>40598</v>
      </c>
      <c r="G197">
        <v>0</v>
      </c>
      <c r="H197">
        <v>0</v>
      </c>
      <c r="I197" t="b">
        <v>1</v>
      </c>
      <c r="J197">
        <v>640</v>
      </c>
      <c r="K197" t="b">
        <v>1</v>
      </c>
      <c r="L197" t="b">
        <v>0</v>
      </c>
      <c r="M197">
        <v>0</v>
      </c>
      <c r="N197">
        <v>6</v>
      </c>
      <c r="O197">
        <f t="shared" si="14"/>
        <v>294</v>
      </c>
      <c r="P197">
        <f t="shared" si="15"/>
        <v>264</v>
      </c>
      <c r="Q197" s="11">
        <f t="shared" ca="1" si="13"/>
        <v>45761</v>
      </c>
      <c r="R197" s="11">
        <f t="shared" ca="1" si="13"/>
        <v>45791</v>
      </c>
    </row>
    <row r="198" spans="1:18" x14ac:dyDescent="0.25">
      <c r="A198" s="2">
        <v>2579</v>
      </c>
      <c r="B198">
        <v>2965</v>
      </c>
      <c r="C198" s="11">
        <v>40575</v>
      </c>
      <c r="D198" t="s">
        <v>10</v>
      </c>
      <c r="E198">
        <v>0</v>
      </c>
      <c r="F198" s="3">
        <f t="shared" si="12"/>
        <v>40605</v>
      </c>
      <c r="G198">
        <v>49</v>
      </c>
      <c r="H198">
        <v>0</v>
      </c>
      <c r="I198" t="b">
        <v>1</v>
      </c>
      <c r="J198">
        <v>1524</v>
      </c>
      <c r="K198" t="b">
        <v>0</v>
      </c>
      <c r="L198" t="b">
        <v>0</v>
      </c>
      <c r="M198">
        <v>0</v>
      </c>
      <c r="N198">
        <v>6</v>
      </c>
      <c r="O198">
        <f t="shared" si="14"/>
        <v>287</v>
      </c>
      <c r="P198">
        <f t="shared" si="15"/>
        <v>257</v>
      </c>
      <c r="Q198" s="11">
        <f t="shared" ca="1" si="13"/>
        <v>45768</v>
      </c>
      <c r="R198" s="11">
        <f t="shared" ca="1" si="13"/>
        <v>45798</v>
      </c>
    </row>
    <row r="199" spans="1:18" x14ac:dyDescent="0.25">
      <c r="A199" s="2">
        <v>2580</v>
      </c>
      <c r="B199">
        <v>2771</v>
      </c>
      <c r="C199" s="11">
        <v>40582</v>
      </c>
      <c r="D199" t="s">
        <v>10</v>
      </c>
      <c r="E199">
        <v>0</v>
      </c>
      <c r="F199" s="3">
        <f t="shared" si="12"/>
        <v>40612</v>
      </c>
      <c r="G199">
        <v>33</v>
      </c>
      <c r="H199">
        <v>0</v>
      </c>
      <c r="I199" t="b">
        <v>1</v>
      </c>
      <c r="J199">
        <v>1524</v>
      </c>
      <c r="K199" t="b">
        <v>0</v>
      </c>
      <c r="L199" t="b">
        <v>0</v>
      </c>
      <c r="M199">
        <v>0</v>
      </c>
      <c r="N199">
        <v>6</v>
      </c>
      <c r="O199">
        <f t="shared" si="14"/>
        <v>280</v>
      </c>
      <c r="P199">
        <f t="shared" si="15"/>
        <v>250</v>
      </c>
      <c r="Q199" s="11">
        <f t="shared" ca="1" si="13"/>
        <v>45775</v>
      </c>
      <c r="R199" s="11">
        <f t="shared" ca="1" si="13"/>
        <v>45805</v>
      </c>
    </row>
    <row r="200" spans="1:18" x14ac:dyDescent="0.25">
      <c r="A200" s="2">
        <v>2581</v>
      </c>
      <c r="B200">
        <v>1482</v>
      </c>
      <c r="C200" s="11">
        <v>40589</v>
      </c>
      <c r="D200" t="s">
        <v>10</v>
      </c>
      <c r="E200">
        <v>0</v>
      </c>
      <c r="F200" s="3">
        <f t="shared" si="12"/>
        <v>40619</v>
      </c>
      <c r="G200">
        <v>19</v>
      </c>
      <c r="H200">
        <v>0</v>
      </c>
      <c r="I200" t="b">
        <v>1</v>
      </c>
      <c r="J200">
        <v>640</v>
      </c>
      <c r="K200" t="b">
        <v>1</v>
      </c>
      <c r="L200" t="b">
        <v>0</v>
      </c>
      <c r="M200">
        <v>0</v>
      </c>
      <c r="N200">
        <v>6</v>
      </c>
      <c r="O200">
        <f t="shared" si="14"/>
        <v>273</v>
      </c>
      <c r="P200">
        <f t="shared" si="15"/>
        <v>243</v>
      </c>
      <c r="Q200" s="11">
        <f t="shared" ca="1" si="13"/>
        <v>45782</v>
      </c>
      <c r="R200" s="11">
        <f t="shared" ca="1" si="13"/>
        <v>45812</v>
      </c>
    </row>
    <row r="201" spans="1:18" x14ac:dyDescent="0.25">
      <c r="A201" s="2">
        <v>2582</v>
      </c>
      <c r="B201">
        <v>3686</v>
      </c>
      <c r="C201" s="11">
        <v>40596</v>
      </c>
      <c r="D201" t="s">
        <v>10</v>
      </c>
      <c r="E201">
        <v>0</v>
      </c>
      <c r="F201" s="3">
        <f t="shared" si="12"/>
        <v>40626</v>
      </c>
      <c r="G201">
        <v>0</v>
      </c>
      <c r="H201">
        <v>0.3</v>
      </c>
      <c r="I201" t="b">
        <v>1</v>
      </c>
      <c r="J201">
        <v>1524</v>
      </c>
      <c r="K201" t="b">
        <v>0</v>
      </c>
      <c r="L201" t="b">
        <v>0</v>
      </c>
      <c r="M201">
        <v>0</v>
      </c>
      <c r="N201">
        <v>6</v>
      </c>
      <c r="O201">
        <f t="shared" si="14"/>
        <v>266</v>
      </c>
      <c r="P201">
        <f t="shared" si="15"/>
        <v>236</v>
      </c>
      <c r="Q201" s="11">
        <f t="shared" ca="1" si="13"/>
        <v>45789</v>
      </c>
      <c r="R201" s="11">
        <f t="shared" ca="1" si="13"/>
        <v>45819</v>
      </c>
    </row>
    <row r="202" spans="1:18" x14ac:dyDescent="0.25">
      <c r="A202" s="2">
        <v>2583</v>
      </c>
      <c r="B202">
        <v>2974</v>
      </c>
      <c r="C202" s="11">
        <v>40603</v>
      </c>
      <c r="D202" t="s">
        <v>10</v>
      </c>
      <c r="E202">
        <v>380.76</v>
      </c>
      <c r="F202" s="3">
        <f t="shared" si="12"/>
        <v>40633</v>
      </c>
      <c r="G202">
        <v>19</v>
      </c>
      <c r="H202">
        <v>0</v>
      </c>
      <c r="I202" t="b">
        <v>1</v>
      </c>
      <c r="J202">
        <v>640</v>
      </c>
      <c r="K202" t="b">
        <v>1</v>
      </c>
      <c r="L202" t="b">
        <v>0</v>
      </c>
      <c r="M202">
        <v>0</v>
      </c>
      <c r="N202">
        <v>6</v>
      </c>
      <c r="O202">
        <f t="shared" si="14"/>
        <v>259</v>
      </c>
      <c r="P202">
        <f t="shared" si="15"/>
        <v>229</v>
      </c>
      <c r="Q202" s="11">
        <f t="shared" ca="1" si="13"/>
        <v>45796</v>
      </c>
      <c r="R202" s="11">
        <f t="shared" ca="1" si="13"/>
        <v>45826</v>
      </c>
    </row>
    <row r="203" spans="1:18" x14ac:dyDescent="0.25">
      <c r="A203" s="2">
        <v>2584</v>
      </c>
      <c r="B203">
        <v>2937</v>
      </c>
      <c r="C203" s="11">
        <v>40610</v>
      </c>
      <c r="D203" t="s">
        <v>10</v>
      </c>
      <c r="E203">
        <v>0</v>
      </c>
      <c r="F203" s="3">
        <f t="shared" si="12"/>
        <v>40640</v>
      </c>
      <c r="G203">
        <v>0</v>
      </c>
      <c r="H203">
        <v>0.4</v>
      </c>
      <c r="I203" t="b">
        <v>1</v>
      </c>
      <c r="J203">
        <v>1524</v>
      </c>
      <c r="K203" t="b">
        <v>0</v>
      </c>
      <c r="L203" t="b">
        <v>0</v>
      </c>
      <c r="M203">
        <v>0</v>
      </c>
      <c r="N203">
        <v>6</v>
      </c>
      <c r="O203">
        <f t="shared" si="14"/>
        <v>252</v>
      </c>
      <c r="P203">
        <f t="shared" si="15"/>
        <v>222</v>
      </c>
      <c r="Q203" s="11">
        <f t="shared" ca="1" si="13"/>
        <v>45803</v>
      </c>
      <c r="R203" s="11">
        <f t="shared" ca="1" si="13"/>
        <v>45833</v>
      </c>
    </row>
    <row r="204" spans="1:18" x14ac:dyDescent="0.25">
      <c r="A204" s="2">
        <v>2585</v>
      </c>
      <c r="B204">
        <v>2937</v>
      </c>
      <c r="C204" s="11">
        <v>40617</v>
      </c>
      <c r="D204" t="s">
        <v>10</v>
      </c>
      <c r="E204">
        <v>0</v>
      </c>
      <c r="F204" s="3">
        <f t="shared" si="12"/>
        <v>40647</v>
      </c>
      <c r="G204">
        <v>0</v>
      </c>
      <c r="H204">
        <v>0</v>
      </c>
      <c r="I204" t="b">
        <v>1</v>
      </c>
      <c r="J204">
        <v>1524</v>
      </c>
      <c r="K204" t="b">
        <v>0</v>
      </c>
      <c r="L204" t="b">
        <v>0</v>
      </c>
      <c r="M204">
        <v>0</v>
      </c>
      <c r="N204">
        <v>6</v>
      </c>
      <c r="O204">
        <f t="shared" si="14"/>
        <v>245</v>
      </c>
      <c r="P204">
        <f t="shared" si="15"/>
        <v>215</v>
      </c>
      <c r="Q204" s="11">
        <f t="shared" ca="1" si="13"/>
        <v>45810</v>
      </c>
      <c r="R204" s="11">
        <f t="shared" ca="1" si="13"/>
        <v>45840</v>
      </c>
    </row>
    <row r="205" spans="1:18" x14ac:dyDescent="0.25">
      <c r="A205" s="2">
        <v>2586</v>
      </c>
      <c r="B205">
        <v>2913</v>
      </c>
      <c r="C205" s="11">
        <v>40624</v>
      </c>
      <c r="D205" t="s">
        <v>10</v>
      </c>
      <c r="E205">
        <v>0</v>
      </c>
      <c r="F205" s="3">
        <f t="shared" si="12"/>
        <v>40654</v>
      </c>
      <c r="G205">
        <v>0</v>
      </c>
      <c r="H205">
        <v>0.3</v>
      </c>
      <c r="I205" t="b">
        <v>1</v>
      </c>
      <c r="J205">
        <v>1524</v>
      </c>
      <c r="K205" t="b">
        <v>0</v>
      </c>
      <c r="L205" t="b">
        <v>0</v>
      </c>
      <c r="M205">
        <v>0</v>
      </c>
      <c r="N205">
        <v>6</v>
      </c>
      <c r="O205">
        <f t="shared" si="14"/>
        <v>238</v>
      </c>
      <c r="P205">
        <f t="shared" si="15"/>
        <v>208</v>
      </c>
      <c r="Q205" s="11">
        <f t="shared" ca="1" si="13"/>
        <v>45817</v>
      </c>
      <c r="R205" s="11">
        <f t="shared" ca="1" si="13"/>
        <v>45847</v>
      </c>
    </row>
    <row r="206" spans="1:18" x14ac:dyDescent="0.25">
      <c r="A206" s="2">
        <v>2587</v>
      </c>
      <c r="B206">
        <v>2771</v>
      </c>
      <c r="C206" s="11">
        <v>40631</v>
      </c>
      <c r="D206" t="s">
        <v>10</v>
      </c>
      <c r="E206">
        <v>0</v>
      </c>
      <c r="F206" s="3">
        <f t="shared" si="12"/>
        <v>40661</v>
      </c>
      <c r="G206">
        <v>0</v>
      </c>
      <c r="H206">
        <v>0.3</v>
      </c>
      <c r="I206" t="b">
        <v>1</v>
      </c>
      <c r="J206">
        <v>1524</v>
      </c>
      <c r="K206" t="b">
        <v>0</v>
      </c>
      <c r="L206" t="b">
        <v>0</v>
      </c>
      <c r="M206">
        <v>0</v>
      </c>
      <c r="N206">
        <v>6</v>
      </c>
      <c r="O206">
        <f t="shared" si="14"/>
        <v>231</v>
      </c>
      <c r="P206">
        <f t="shared" si="15"/>
        <v>201</v>
      </c>
      <c r="Q206" s="11">
        <f t="shared" ca="1" si="13"/>
        <v>45824</v>
      </c>
      <c r="R206" s="11">
        <f t="shared" ca="1" si="13"/>
        <v>45854</v>
      </c>
    </row>
    <row r="207" spans="1:18" x14ac:dyDescent="0.25">
      <c r="A207" s="2">
        <v>2588</v>
      </c>
      <c r="B207">
        <v>2962</v>
      </c>
      <c r="C207" s="11">
        <v>40638</v>
      </c>
      <c r="D207" t="s">
        <v>10</v>
      </c>
      <c r="E207">
        <v>0</v>
      </c>
      <c r="F207" s="3">
        <f t="shared" si="12"/>
        <v>40668</v>
      </c>
      <c r="G207">
        <v>160</v>
      </c>
      <c r="H207">
        <v>0.2</v>
      </c>
      <c r="I207" t="b">
        <v>1</v>
      </c>
      <c r="J207">
        <v>1524</v>
      </c>
      <c r="K207" t="b">
        <v>0</v>
      </c>
      <c r="L207" t="b">
        <v>0</v>
      </c>
      <c r="M207">
        <v>0</v>
      </c>
      <c r="N207">
        <v>6</v>
      </c>
      <c r="O207">
        <f t="shared" si="14"/>
        <v>224</v>
      </c>
      <c r="P207">
        <f t="shared" si="15"/>
        <v>194</v>
      </c>
      <c r="Q207" s="11">
        <f t="shared" ca="1" si="13"/>
        <v>45831</v>
      </c>
      <c r="R207" s="11">
        <f t="shared" ca="1" si="13"/>
        <v>45861</v>
      </c>
    </row>
    <row r="208" spans="1:18" x14ac:dyDescent="0.25">
      <c r="A208" s="2">
        <v>2589</v>
      </c>
      <c r="B208">
        <v>2421</v>
      </c>
      <c r="C208" s="11">
        <v>40645</v>
      </c>
      <c r="D208" t="s">
        <v>10</v>
      </c>
      <c r="E208">
        <v>5156.43</v>
      </c>
      <c r="F208" s="3">
        <f t="shared" si="12"/>
        <v>40675</v>
      </c>
      <c r="G208">
        <v>390</v>
      </c>
      <c r="H208">
        <v>0.3</v>
      </c>
      <c r="I208" t="b">
        <v>1</v>
      </c>
      <c r="J208">
        <v>1524</v>
      </c>
      <c r="K208" t="b">
        <v>0</v>
      </c>
      <c r="L208" t="b">
        <v>0</v>
      </c>
      <c r="M208">
        <v>0</v>
      </c>
      <c r="N208">
        <v>6</v>
      </c>
      <c r="O208">
        <f t="shared" si="14"/>
        <v>217</v>
      </c>
      <c r="P208">
        <f t="shared" si="15"/>
        <v>187</v>
      </c>
      <c r="Q208" s="11">
        <f t="shared" ca="1" si="13"/>
        <v>45838</v>
      </c>
      <c r="R208" s="11">
        <f t="shared" ca="1" si="13"/>
        <v>45868</v>
      </c>
    </row>
    <row r="209" spans="1:18" x14ac:dyDescent="0.25">
      <c r="A209" s="2">
        <v>2590</v>
      </c>
      <c r="B209">
        <v>2421</v>
      </c>
      <c r="C209" s="11">
        <v>40652</v>
      </c>
      <c r="D209" t="s">
        <v>10</v>
      </c>
      <c r="E209">
        <v>3081</v>
      </c>
      <c r="F209" s="3">
        <f t="shared" si="12"/>
        <v>40682</v>
      </c>
      <c r="G209">
        <v>80</v>
      </c>
      <c r="H209">
        <v>0.3</v>
      </c>
      <c r="I209" t="b">
        <v>1</v>
      </c>
      <c r="J209">
        <v>1524</v>
      </c>
      <c r="K209" t="b">
        <v>0</v>
      </c>
      <c r="L209" t="b">
        <v>0</v>
      </c>
      <c r="M209">
        <v>0</v>
      </c>
      <c r="N209">
        <v>6</v>
      </c>
      <c r="O209">
        <f t="shared" si="14"/>
        <v>210</v>
      </c>
      <c r="P209">
        <f t="shared" si="15"/>
        <v>180</v>
      </c>
      <c r="Q209" s="11">
        <f t="shared" ca="1" si="13"/>
        <v>45845</v>
      </c>
      <c r="R209" s="11">
        <f t="shared" ca="1" si="13"/>
        <v>45875</v>
      </c>
    </row>
    <row r="210" spans="1:18" x14ac:dyDescent="0.25">
      <c r="A210" s="2">
        <v>2591</v>
      </c>
      <c r="B210">
        <v>798</v>
      </c>
      <c r="C210" s="11">
        <v>40659</v>
      </c>
      <c r="D210" t="s">
        <v>10</v>
      </c>
      <c r="E210">
        <v>0</v>
      </c>
      <c r="F210" s="3">
        <f t="shared" si="12"/>
        <v>40689</v>
      </c>
      <c r="G210">
        <v>0</v>
      </c>
      <c r="H210">
        <v>0.1</v>
      </c>
      <c r="I210" t="b">
        <v>1</v>
      </c>
      <c r="J210">
        <v>1524</v>
      </c>
      <c r="K210" t="b">
        <v>0</v>
      </c>
      <c r="L210" t="b">
        <v>0</v>
      </c>
      <c r="M210">
        <v>0</v>
      </c>
      <c r="N210">
        <v>6</v>
      </c>
      <c r="O210">
        <f t="shared" si="14"/>
        <v>203</v>
      </c>
      <c r="P210">
        <f t="shared" si="15"/>
        <v>173</v>
      </c>
      <c r="Q210" s="11">
        <f t="shared" ca="1" si="13"/>
        <v>45852</v>
      </c>
      <c r="R210" s="11">
        <f t="shared" ca="1" si="13"/>
        <v>45882</v>
      </c>
    </row>
    <row r="211" spans="1:18" x14ac:dyDescent="0.25">
      <c r="A211" s="2">
        <v>2592</v>
      </c>
      <c r="B211">
        <v>2937</v>
      </c>
      <c r="C211" s="11">
        <v>40666</v>
      </c>
      <c r="D211" t="s">
        <v>10</v>
      </c>
      <c r="E211">
        <v>0</v>
      </c>
      <c r="F211" s="3">
        <f t="shared" si="12"/>
        <v>40696</v>
      </c>
      <c r="G211">
        <v>0</v>
      </c>
      <c r="H211">
        <v>0</v>
      </c>
      <c r="I211" t="b">
        <v>1</v>
      </c>
      <c r="J211">
        <v>1524</v>
      </c>
      <c r="K211" t="b">
        <v>0</v>
      </c>
      <c r="L211" t="b">
        <v>0</v>
      </c>
      <c r="M211">
        <v>0</v>
      </c>
      <c r="N211">
        <v>6</v>
      </c>
      <c r="O211">
        <f t="shared" si="14"/>
        <v>196</v>
      </c>
      <c r="P211">
        <f t="shared" si="15"/>
        <v>166</v>
      </c>
      <c r="Q211" s="11">
        <f t="shared" ca="1" si="13"/>
        <v>45859</v>
      </c>
      <c r="R211" s="11">
        <f t="shared" ca="1" si="13"/>
        <v>45889</v>
      </c>
    </row>
    <row r="212" spans="1:18" x14ac:dyDescent="0.25">
      <c r="A212" s="2">
        <v>2593</v>
      </c>
      <c r="B212">
        <v>2771</v>
      </c>
      <c r="C212" s="11">
        <v>40673</v>
      </c>
      <c r="D212" t="s">
        <v>10</v>
      </c>
      <c r="E212">
        <v>0</v>
      </c>
      <c r="F212" s="3">
        <f t="shared" si="12"/>
        <v>40703</v>
      </c>
      <c r="G212">
        <v>94</v>
      </c>
      <c r="H212">
        <v>0.3</v>
      </c>
      <c r="I212" t="b">
        <v>1</v>
      </c>
      <c r="J212">
        <v>1524</v>
      </c>
      <c r="K212" t="b">
        <v>0</v>
      </c>
      <c r="L212" t="b">
        <v>0</v>
      </c>
      <c r="M212">
        <v>0</v>
      </c>
      <c r="N212">
        <v>6</v>
      </c>
      <c r="O212">
        <f t="shared" si="14"/>
        <v>189</v>
      </c>
      <c r="P212">
        <f t="shared" si="15"/>
        <v>159</v>
      </c>
      <c r="Q212" s="11">
        <f t="shared" ca="1" si="13"/>
        <v>45866</v>
      </c>
      <c r="R212" s="11">
        <f t="shared" ca="1" si="13"/>
        <v>45896</v>
      </c>
    </row>
    <row r="213" spans="1:18" x14ac:dyDescent="0.25">
      <c r="A213" s="2">
        <v>2594</v>
      </c>
      <c r="B213">
        <v>2913</v>
      </c>
      <c r="C213" s="11">
        <v>40680</v>
      </c>
      <c r="D213" t="s">
        <v>10</v>
      </c>
      <c r="E213">
        <v>5030.7299999999996</v>
      </c>
      <c r="F213" s="3">
        <f t="shared" si="12"/>
        <v>40710</v>
      </c>
      <c r="G213">
        <v>600</v>
      </c>
      <c r="H213">
        <v>0.3</v>
      </c>
      <c r="I213" t="b">
        <v>1</v>
      </c>
      <c r="J213">
        <v>1524</v>
      </c>
      <c r="K213" t="b">
        <v>0</v>
      </c>
      <c r="L213" t="b">
        <v>0</v>
      </c>
      <c r="M213">
        <v>0</v>
      </c>
      <c r="N213">
        <v>6</v>
      </c>
      <c r="O213">
        <f t="shared" si="14"/>
        <v>182</v>
      </c>
      <c r="P213">
        <f t="shared" si="15"/>
        <v>152</v>
      </c>
      <c r="Q213" s="11">
        <f t="shared" ca="1" si="13"/>
        <v>45873</v>
      </c>
      <c r="R213" s="11">
        <f t="shared" ca="1" si="13"/>
        <v>45903</v>
      </c>
    </row>
    <row r="214" spans="1:18" x14ac:dyDescent="0.25">
      <c r="A214" s="2">
        <v>2595</v>
      </c>
      <c r="B214">
        <v>2319</v>
      </c>
      <c r="C214" s="11">
        <v>40687</v>
      </c>
      <c r="D214" t="s">
        <v>10</v>
      </c>
      <c r="E214">
        <v>0</v>
      </c>
      <c r="F214" s="3">
        <f t="shared" si="12"/>
        <v>40717</v>
      </c>
      <c r="G214">
        <v>400</v>
      </c>
      <c r="H214">
        <v>0.3</v>
      </c>
      <c r="I214" t="b">
        <v>1</v>
      </c>
      <c r="J214">
        <v>1524</v>
      </c>
      <c r="K214" t="b">
        <v>0</v>
      </c>
      <c r="L214" t="b">
        <v>0</v>
      </c>
      <c r="M214">
        <v>0</v>
      </c>
      <c r="N214">
        <v>6</v>
      </c>
      <c r="O214">
        <f t="shared" si="14"/>
        <v>175</v>
      </c>
      <c r="P214">
        <f t="shared" si="15"/>
        <v>145</v>
      </c>
      <c r="Q214" s="11">
        <f t="shared" ca="1" si="13"/>
        <v>45880</v>
      </c>
      <c r="R214" s="11">
        <f t="shared" ca="1" si="13"/>
        <v>45910</v>
      </c>
    </row>
    <row r="215" spans="1:18" x14ac:dyDescent="0.25">
      <c r="A215" s="2">
        <v>2596</v>
      </c>
      <c r="B215">
        <v>798</v>
      </c>
      <c r="C215" s="11">
        <v>40694</v>
      </c>
      <c r="D215" t="s">
        <v>10</v>
      </c>
      <c r="E215">
        <v>0</v>
      </c>
      <c r="F215" s="3">
        <f t="shared" si="12"/>
        <v>40724</v>
      </c>
      <c r="G215">
        <v>0</v>
      </c>
      <c r="H215">
        <v>0.3</v>
      </c>
      <c r="I215" t="b">
        <v>1</v>
      </c>
      <c r="J215">
        <v>1524</v>
      </c>
      <c r="K215" t="b">
        <v>1</v>
      </c>
      <c r="L215" t="b">
        <v>0</v>
      </c>
      <c r="M215">
        <v>0</v>
      </c>
      <c r="N215">
        <v>6</v>
      </c>
      <c r="O215">
        <f t="shared" si="14"/>
        <v>168</v>
      </c>
      <c r="P215">
        <f t="shared" si="15"/>
        <v>138</v>
      </c>
      <c r="Q215" s="11">
        <f t="shared" ca="1" si="13"/>
        <v>45887</v>
      </c>
      <c r="R215" s="11">
        <f t="shared" ca="1" si="13"/>
        <v>45917</v>
      </c>
    </row>
    <row r="216" spans="1:18" x14ac:dyDescent="0.25">
      <c r="A216" s="2">
        <v>2597</v>
      </c>
      <c r="B216">
        <v>798</v>
      </c>
      <c r="C216" s="11">
        <v>40701</v>
      </c>
      <c r="D216" t="s">
        <v>10</v>
      </c>
      <c r="E216">
        <v>0</v>
      </c>
      <c r="F216" s="3">
        <f t="shared" ref="F216:F239" si="16">C216+30</f>
        <v>40731</v>
      </c>
      <c r="G216">
        <v>0</v>
      </c>
      <c r="H216">
        <v>0.3</v>
      </c>
      <c r="I216" t="b">
        <v>1</v>
      </c>
      <c r="J216">
        <v>1524</v>
      </c>
      <c r="K216" t="b">
        <v>0</v>
      </c>
      <c r="L216" t="b">
        <v>0</v>
      </c>
      <c r="M216">
        <v>0</v>
      </c>
      <c r="N216">
        <v>6</v>
      </c>
      <c r="O216">
        <f t="shared" si="14"/>
        <v>161</v>
      </c>
      <c r="P216">
        <f t="shared" si="15"/>
        <v>131</v>
      </c>
      <c r="Q216" s="11">
        <f t="shared" ref="Q216:R239" ca="1" si="17">TODAY()-O216</f>
        <v>45894</v>
      </c>
      <c r="R216" s="11">
        <f t="shared" ca="1" si="17"/>
        <v>45924</v>
      </c>
    </row>
    <row r="217" spans="1:18" x14ac:dyDescent="0.25">
      <c r="A217" s="2">
        <v>2598</v>
      </c>
      <c r="B217">
        <v>798</v>
      </c>
      <c r="C217" s="11">
        <v>40708</v>
      </c>
      <c r="D217" t="s">
        <v>10</v>
      </c>
      <c r="E217">
        <v>0</v>
      </c>
      <c r="F217" s="3">
        <f t="shared" si="16"/>
        <v>40738</v>
      </c>
      <c r="G217">
        <v>0</v>
      </c>
      <c r="H217">
        <v>0.3</v>
      </c>
      <c r="I217" t="b">
        <v>1</v>
      </c>
      <c r="J217">
        <v>1524</v>
      </c>
      <c r="K217" t="b">
        <v>0</v>
      </c>
      <c r="L217" t="b">
        <v>0</v>
      </c>
      <c r="M217">
        <v>0</v>
      </c>
      <c r="N217">
        <v>6</v>
      </c>
      <c r="O217">
        <f t="shared" si="14"/>
        <v>154</v>
      </c>
      <c r="P217">
        <f t="shared" si="15"/>
        <v>124</v>
      </c>
      <c r="Q217" s="11">
        <f t="shared" ca="1" si="17"/>
        <v>45901</v>
      </c>
      <c r="R217" s="11">
        <f t="shared" ca="1" si="17"/>
        <v>45931</v>
      </c>
    </row>
    <row r="218" spans="1:18" x14ac:dyDescent="0.25">
      <c r="A218" s="2">
        <v>2599</v>
      </c>
      <c r="B218">
        <v>798</v>
      </c>
      <c r="C218" s="11">
        <v>40715</v>
      </c>
      <c r="D218" t="s">
        <v>10</v>
      </c>
      <c r="E218">
        <v>0</v>
      </c>
      <c r="F218" s="3">
        <f t="shared" si="16"/>
        <v>40745</v>
      </c>
      <c r="G218">
        <v>0</v>
      </c>
      <c r="H218">
        <v>0</v>
      </c>
      <c r="I218" t="b">
        <v>1</v>
      </c>
      <c r="J218">
        <v>1524</v>
      </c>
      <c r="K218" t="b">
        <v>0</v>
      </c>
      <c r="L218" t="b">
        <v>0</v>
      </c>
      <c r="M218">
        <v>0</v>
      </c>
      <c r="N218">
        <v>6</v>
      </c>
      <c r="O218">
        <f t="shared" si="14"/>
        <v>147</v>
      </c>
      <c r="P218">
        <f t="shared" si="15"/>
        <v>117</v>
      </c>
      <c r="Q218" s="11">
        <f t="shared" ca="1" si="17"/>
        <v>45908</v>
      </c>
      <c r="R218" s="11">
        <f t="shared" ca="1" si="17"/>
        <v>45938</v>
      </c>
    </row>
    <row r="219" spans="1:18" x14ac:dyDescent="0.25">
      <c r="A219" s="2">
        <v>2600</v>
      </c>
      <c r="B219">
        <v>2818</v>
      </c>
      <c r="C219" s="11">
        <v>40722</v>
      </c>
      <c r="D219" t="s">
        <v>10</v>
      </c>
      <c r="E219">
        <v>0</v>
      </c>
      <c r="F219" s="3">
        <f t="shared" si="16"/>
        <v>40752</v>
      </c>
      <c r="G219">
        <v>13.5</v>
      </c>
      <c r="H219">
        <v>0</v>
      </c>
      <c r="I219" t="b">
        <v>1</v>
      </c>
      <c r="J219">
        <v>640</v>
      </c>
      <c r="K219" t="b">
        <v>0</v>
      </c>
      <c r="L219" t="b">
        <v>0</v>
      </c>
      <c r="M219">
        <v>0</v>
      </c>
      <c r="N219">
        <v>6</v>
      </c>
      <c r="O219">
        <f t="shared" si="14"/>
        <v>140</v>
      </c>
      <c r="P219">
        <f t="shared" si="15"/>
        <v>110</v>
      </c>
      <c r="Q219" s="11">
        <f t="shared" ca="1" si="17"/>
        <v>45915</v>
      </c>
      <c r="R219" s="11">
        <f t="shared" ca="1" si="17"/>
        <v>45945</v>
      </c>
    </row>
    <row r="220" spans="1:18" x14ac:dyDescent="0.25">
      <c r="A220" s="2">
        <v>2601</v>
      </c>
      <c r="B220">
        <v>933</v>
      </c>
      <c r="C220" s="11">
        <v>40729</v>
      </c>
      <c r="D220" t="s">
        <v>10</v>
      </c>
      <c r="E220">
        <v>0</v>
      </c>
      <c r="F220" s="3">
        <f t="shared" si="16"/>
        <v>40759</v>
      </c>
      <c r="G220">
        <v>0</v>
      </c>
      <c r="H220">
        <v>0.3</v>
      </c>
      <c r="I220" t="b">
        <v>1</v>
      </c>
      <c r="J220">
        <v>1524</v>
      </c>
      <c r="K220" t="b">
        <v>0</v>
      </c>
      <c r="L220" t="b">
        <v>0</v>
      </c>
      <c r="M220">
        <v>0</v>
      </c>
      <c r="N220">
        <v>6</v>
      </c>
      <c r="O220">
        <f t="shared" si="14"/>
        <v>133</v>
      </c>
      <c r="P220">
        <f t="shared" si="15"/>
        <v>103</v>
      </c>
      <c r="Q220" s="11">
        <f t="shared" ca="1" si="17"/>
        <v>45922</v>
      </c>
      <c r="R220" s="11">
        <f t="shared" ca="1" si="17"/>
        <v>45952</v>
      </c>
    </row>
    <row r="221" spans="1:18" x14ac:dyDescent="0.25">
      <c r="A221" s="2">
        <v>2602</v>
      </c>
      <c r="B221">
        <v>1482</v>
      </c>
      <c r="C221" s="11">
        <v>40736</v>
      </c>
      <c r="D221" t="s">
        <v>10</v>
      </c>
      <c r="E221">
        <v>0</v>
      </c>
      <c r="F221" s="3">
        <f t="shared" si="16"/>
        <v>40766</v>
      </c>
      <c r="G221">
        <v>13.5</v>
      </c>
      <c r="H221">
        <v>0</v>
      </c>
      <c r="I221" t="b">
        <v>1</v>
      </c>
      <c r="J221">
        <v>640</v>
      </c>
      <c r="K221" t="b">
        <v>0</v>
      </c>
      <c r="L221" t="b">
        <v>0</v>
      </c>
      <c r="M221">
        <v>0</v>
      </c>
      <c r="N221">
        <v>6</v>
      </c>
      <c r="O221">
        <f t="shared" si="14"/>
        <v>126</v>
      </c>
      <c r="P221">
        <f t="shared" si="15"/>
        <v>96</v>
      </c>
      <c r="Q221" s="11">
        <f t="shared" ca="1" si="17"/>
        <v>45929</v>
      </c>
      <c r="R221" s="11">
        <f t="shared" ca="1" si="17"/>
        <v>45959</v>
      </c>
    </row>
    <row r="222" spans="1:18" x14ac:dyDescent="0.25">
      <c r="A222" s="2">
        <v>2603</v>
      </c>
      <c r="B222">
        <v>2913</v>
      </c>
      <c r="C222" s="11">
        <v>40743</v>
      </c>
      <c r="D222" t="s">
        <v>10</v>
      </c>
      <c r="E222">
        <v>0</v>
      </c>
      <c r="F222" s="3">
        <f t="shared" si="16"/>
        <v>40773</v>
      </c>
      <c r="G222">
        <v>0</v>
      </c>
      <c r="H222">
        <v>0.3</v>
      </c>
      <c r="I222" t="b">
        <v>1</v>
      </c>
      <c r="J222">
        <v>1524</v>
      </c>
      <c r="K222" t="b">
        <v>0</v>
      </c>
      <c r="L222" t="b">
        <v>0</v>
      </c>
      <c r="M222">
        <v>0</v>
      </c>
      <c r="N222">
        <v>6</v>
      </c>
      <c r="O222">
        <f t="shared" si="14"/>
        <v>119</v>
      </c>
      <c r="P222">
        <f t="shared" si="15"/>
        <v>89</v>
      </c>
      <c r="Q222" s="11">
        <f t="shared" ca="1" si="17"/>
        <v>45936</v>
      </c>
      <c r="R222" s="11">
        <f t="shared" ca="1" si="17"/>
        <v>45966</v>
      </c>
    </row>
    <row r="223" spans="1:18" x14ac:dyDescent="0.25">
      <c r="A223" s="2">
        <v>2604</v>
      </c>
      <c r="B223">
        <v>2818</v>
      </c>
      <c r="C223" s="11">
        <v>40750</v>
      </c>
      <c r="D223" t="s">
        <v>10</v>
      </c>
      <c r="E223">
        <v>0</v>
      </c>
      <c r="F223" s="3">
        <f t="shared" si="16"/>
        <v>40780</v>
      </c>
      <c r="G223">
        <v>0</v>
      </c>
      <c r="H223">
        <v>0</v>
      </c>
      <c r="I223" t="b">
        <v>1</v>
      </c>
      <c r="J223">
        <v>640</v>
      </c>
      <c r="K223" t="b">
        <v>0</v>
      </c>
      <c r="L223" t="b">
        <v>0</v>
      </c>
      <c r="M223">
        <v>0</v>
      </c>
      <c r="N223">
        <v>6</v>
      </c>
      <c r="O223">
        <f t="shared" si="14"/>
        <v>112</v>
      </c>
      <c r="P223">
        <f t="shared" si="15"/>
        <v>82</v>
      </c>
      <c r="Q223" s="11">
        <f t="shared" ca="1" si="17"/>
        <v>45943</v>
      </c>
      <c r="R223" s="11">
        <f t="shared" ca="1" si="17"/>
        <v>45973</v>
      </c>
    </row>
    <row r="224" spans="1:18" x14ac:dyDescent="0.25">
      <c r="A224" s="2">
        <v>2605</v>
      </c>
      <c r="B224">
        <v>798</v>
      </c>
      <c r="C224" s="11">
        <v>40757</v>
      </c>
      <c r="D224" t="s">
        <v>10</v>
      </c>
      <c r="E224">
        <v>0</v>
      </c>
      <c r="F224" s="3">
        <f t="shared" si="16"/>
        <v>40787</v>
      </c>
      <c r="G224">
        <v>0</v>
      </c>
      <c r="H224">
        <v>0.3</v>
      </c>
      <c r="I224" t="b">
        <v>0</v>
      </c>
      <c r="J224">
        <v>1524</v>
      </c>
      <c r="K224" t="b">
        <v>0</v>
      </c>
      <c r="L224" t="b">
        <v>0</v>
      </c>
      <c r="M224">
        <v>0</v>
      </c>
      <c r="N224">
        <v>6</v>
      </c>
      <c r="O224">
        <f t="shared" si="14"/>
        <v>105</v>
      </c>
      <c r="P224">
        <f t="shared" si="15"/>
        <v>75</v>
      </c>
      <c r="Q224" s="11">
        <f t="shared" ca="1" si="17"/>
        <v>45950</v>
      </c>
      <c r="R224" s="11">
        <f t="shared" ca="1" si="17"/>
        <v>45980</v>
      </c>
    </row>
    <row r="225" spans="1:18" x14ac:dyDescent="0.25">
      <c r="A225" s="2">
        <v>2606</v>
      </c>
      <c r="B225">
        <v>2829</v>
      </c>
      <c r="C225" s="11">
        <v>40764</v>
      </c>
      <c r="D225" t="s">
        <v>10</v>
      </c>
      <c r="E225">
        <v>0</v>
      </c>
      <c r="F225" s="3">
        <f>C225+60</f>
        <v>40824</v>
      </c>
      <c r="G225">
        <v>0</v>
      </c>
      <c r="H225">
        <v>0</v>
      </c>
      <c r="I225" t="b">
        <v>1</v>
      </c>
      <c r="J225">
        <v>1524</v>
      </c>
      <c r="K225" t="b">
        <v>0</v>
      </c>
      <c r="L225" t="b">
        <v>0</v>
      </c>
      <c r="M225">
        <v>0</v>
      </c>
      <c r="N225">
        <v>6</v>
      </c>
      <c r="O225">
        <f t="shared" si="14"/>
        <v>98</v>
      </c>
      <c r="P225">
        <f t="shared" si="15"/>
        <v>38</v>
      </c>
      <c r="Q225" s="11">
        <f t="shared" ca="1" si="17"/>
        <v>45957</v>
      </c>
      <c r="R225" s="11">
        <f t="shared" ca="1" si="17"/>
        <v>46017</v>
      </c>
    </row>
    <row r="226" spans="1:18" x14ac:dyDescent="0.25">
      <c r="A226" s="2">
        <v>2607</v>
      </c>
      <c r="B226">
        <v>2962</v>
      </c>
      <c r="C226" s="11">
        <v>40771</v>
      </c>
      <c r="D226" t="s">
        <v>10</v>
      </c>
      <c r="E226">
        <v>0</v>
      </c>
      <c r="F226" s="3">
        <f t="shared" si="16"/>
        <v>40801</v>
      </c>
      <c r="G226">
        <v>46</v>
      </c>
      <c r="H226">
        <v>0.2</v>
      </c>
      <c r="I226" t="b">
        <v>1</v>
      </c>
      <c r="J226">
        <v>1524</v>
      </c>
      <c r="K226" t="b">
        <v>1</v>
      </c>
      <c r="L226" t="b">
        <v>0</v>
      </c>
      <c r="M226">
        <v>0</v>
      </c>
      <c r="N226">
        <v>6</v>
      </c>
      <c r="O226">
        <f t="shared" si="14"/>
        <v>91</v>
      </c>
      <c r="P226">
        <f t="shared" si="15"/>
        <v>61</v>
      </c>
      <c r="Q226" s="11">
        <f t="shared" ca="1" si="17"/>
        <v>45964</v>
      </c>
      <c r="R226" s="11">
        <f t="shared" ca="1" si="17"/>
        <v>45994</v>
      </c>
    </row>
    <row r="227" spans="1:18" x14ac:dyDescent="0.25">
      <c r="A227" s="2">
        <v>2608</v>
      </c>
      <c r="B227">
        <v>1156</v>
      </c>
      <c r="C227" s="11">
        <v>40778</v>
      </c>
      <c r="D227" t="s">
        <v>10</v>
      </c>
      <c r="E227">
        <v>0</v>
      </c>
      <c r="F227" s="3">
        <f t="shared" si="16"/>
        <v>40808</v>
      </c>
      <c r="G227">
        <v>29.5</v>
      </c>
      <c r="H227">
        <v>0</v>
      </c>
      <c r="I227" t="b">
        <v>1</v>
      </c>
      <c r="J227">
        <v>1524</v>
      </c>
      <c r="K227" t="b">
        <v>0</v>
      </c>
      <c r="L227" t="b">
        <v>0</v>
      </c>
      <c r="M227">
        <v>0</v>
      </c>
      <c r="N227">
        <v>6</v>
      </c>
      <c r="O227">
        <f t="shared" si="14"/>
        <v>84</v>
      </c>
      <c r="P227">
        <f t="shared" si="15"/>
        <v>54</v>
      </c>
      <c r="Q227" s="11">
        <f t="shared" ca="1" si="17"/>
        <v>45971</v>
      </c>
      <c r="R227" s="11">
        <f t="shared" ca="1" si="17"/>
        <v>46001</v>
      </c>
    </row>
    <row r="228" spans="1:18" x14ac:dyDescent="0.25">
      <c r="A228" s="2">
        <v>2609</v>
      </c>
      <c r="B228">
        <v>2478</v>
      </c>
      <c r="C228" s="11">
        <v>40785</v>
      </c>
      <c r="D228" t="s">
        <v>10</v>
      </c>
      <c r="E228">
        <v>0</v>
      </c>
      <c r="F228" s="3">
        <f t="shared" si="16"/>
        <v>40815</v>
      </c>
      <c r="G228">
        <v>14.5</v>
      </c>
      <c r="H228">
        <v>0</v>
      </c>
      <c r="I228" t="b">
        <v>0</v>
      </c>
      <c r="J228">
        <v>640</v>
      </c>
      <c r="K228" t="b">
        <v>0</v>
      </c>
      <c r="L228" t="b">
        <v>0</v>
      </c>
      <c r="M228">
        <v>0</v>
      </c>
      <c r="N228">
        <v>6</v>
      </c>
      <c r="O228">
        <f t="shared" si="14"/>
        <v>77</v>
      </c>
      <c r="P228">
        <f t="shared" si="15"/>
        <v>47</v>
      </c>
      <c r="Q228" s="11">
        <f t="shared" ca="1" si="17"/>
        <v>45978</v>
      </c>
      <c r="R228" s="11">
        <f t="shared" ca="1" si="17"/>
        <v>46008</v>
      </c>
    </row>
    <row r="229" spans="1:18" x14ac:dyDescent="0.25">
      <c r="A229" s="2">
        <v>2610</v>
      </c>
      <c r="B229">
        <v>2319</v>
      </c>
      <c r="C229" s="11">
        <v>40792</v>
      </c>
      <c r="D229" t="s">
        <v>10</v>
      </c>
      <c r="E229">
        <v>0</v>
      </c>
      <c r="F229" s="3">
        <f t="shared" si="16"/>
        <v>40822</v>
      </c>
      <c r="G229">
        <v>0</v>
      </c>
      <c r="H229">
        <v>0.3</v>
      </c>
      <c r="I229" t="b">
        <v>1</v>
      </c>
      <c r="J229">
        <v>1524</v>
      </c>
      <c r="K229" t="b">
        <v>0</v>
      </c>
      <c r="L229" t="b">
        <v>0</v>
      </c>
      <c r="M229">
        <v>0</v>
      </c>
      <c r="N229">
        <v>6</v>
      </c>
      <c r="O229">
        <f t="shared" si="14"/>
        <v>70</v>
      </c>
      <c r="P229">
        <f t="shared" si="15"/>
        <v>40</v>
      </c>
      <c r="Q229" s="11">
        <f t="shared" ca="1" si="17"/>
        <v>45985</v>
      </c>
      <c r="R229" s="11">
        <f t="shared" ca="1" si="17"/>
        <v>46015</v>
      </c>
    </row>
    <row r="230" spans="1:18" x14ac:dyDescent="0.25">
      <c r="A230" s="2">
        <v>2611</v>
      </c>
      <c r="B230">
        <v>2937</v>
      </c>
      <c r="C230" s="11">
        <v>40799</v>
      </c>
      <c r="D230" t="s">
        <v>10</v>
      </c>
      <c r="E230">
        <v>0</v>
      </c>
      <c r="F230" s="3">
        <f>C230+60</f>
        <v>40859</v>
      </c>
      <c r="G230">
        <v>0</v>
      </c>
      <c r="H230">
        <v>0.3</v>
      </c>
      <c r="I230" t="b">
        <v>0</v>
      </c>
      <c r="J230">
        <v>1524</v>
      </c>
      <c r="K230" t="b">
        <v>0</v>
      </c>
      <c r="L230" t="b">
        <v>0</v>
      </c>
      <c r="M230">
        <v>0</v>
      </c>
      <c r="N230">
        <v>6</v>
      </c>
      <c r="O230">
        <f t="shared" si="14"/>
        <v>63</v>
      </c>
      <c r="P230">
        <f t="shared" si="15"/>
        <v>3</v>
      </c>
      <c r="Q230" s="11">
        <f t="shared" ca="1" si="17"/>
        <v>45992</v>
      </c>
      <c r="R230" s="11">
        <f t="shared" ca="1" si="17"/>
        <v>46052</v>
      </c>
    </row>
    <row r="231" spans="1:18" x14ac:dyDescent="0.25">
      <c r="A231" s="2">
        <v>2612</v>
      </c>
      <c r="B231">
        <v>1482</v>
      </c>
      <c r="C231" s="11">
        <v>40806</v>
      </c>
      <c r="D231" t="s">
        <v>10</v>
      </c>
      <c r="E231">
        <v>0</v>
      </c>
      <c r="F231" s="3">
        <f t="shared" si="16"/>
        <v>40836</v>
      </c>
      <c r="G231">
        <v>36</v>
      </c>
      <c r="H231">
        <v>0</v>
      </c>
      <c r="I231" t="b">
        <v>1</v>
      </c>
      <c r="J231">
        <v>640</v>
      </c>
      <c r="K231" t="b">
        <v>1</v>
      </c>
      <c r="L231" t="b">
        <v>0</v>
      </c>
      <c r="M231">
        <v>0</v>
      </c>
      <c r="N231">
        <v>6</v>
      </c>
      <c r="O231">
        <f t="shared" si="14"/>
        <v>56</v>
      </c>
      <c r="P231">
        <f t="shared" si="15"/>
        <v>26</v>
      </c>
      <c r="Q231" s="11">
        <f t="shared" ca="1" si="17"/>
        <v>45999</v>
      </c>
      <c r="R231" s="11">
        <f t="shared" ca="1" si="17"/>
        <v>46029</v>
      </c>
    </row>
    <row r="232" spans="1:18" x14ac:dyDescent="0.25">
      <c r="A232" s="2">
        <v>2613</v>
      </c>
      <c r="B232">
        <v>798</v>
      </c>
      <c r="C232" s="11">
        <v>40813</v>
      </c>
      <c r="D232" t="s">
        <v>10</v>
      </c>
      <c r="E232">
        <v>0</v>
      </c>
      <c r="F232" s="3">
        <f t="shared" si="16"/>
        <v>40843</v>
      </c>
      <c r="G232">
        <v>0</v>
      </c>
      <c r="H232">
        <v>0.3</v>
      </c>
      <c r="I232" t="b">
        <v>0</v>
      </c>
      <c r="J232">
        <v>1524</v>
      </c>
      <c r="K232" t="b">
        <v>0</v>
      </c>
      <c r="L232" t="b">
        <v>0</v>
      </c>
      <c r="M232">
        <v>0</v>
      </c>
      <c r="N232">
        <v>6</v>
      </c>
      <c r="O232">
        <f t="shared" si="14"/>
        <v>49</v>
      </c>
      <c r="P232">
        <f t="shared" si="15"/>
        <v>19</v>
      </c>
      <c r="Q232" s="11">
        <f t="shared" ca="1" si="17"/>
        <v>46006</v>
      </c>
      <c r="R232" s="11">
        <f t="shared" ca="1" si="17"/>
        <v>46036</v>
      </c>
    </row>
    <row r="233" spans="1:18" x14ac:dyDescent="0.25">
      <c r="A233" s="2">
        <v>2614</v>
      </c>
      <c r="B233">
        <v>798</v>
      </c>
      <c r="C233" s="11">
        <v>40820</v>
      </c>
      <c r="D233" t="s">
        <v>10</v>
      </c>
      <c r="E233">
        <v>0</v>
      </c>
      <c r="F233" s="3">
        <f>C233+60</f>
        <v>40880</v>
      </c>
      <c r="G233">
        <v>0</v>
      </c>
      <c r="H233">
        <v>0</v>
      </c>
      <c r="I233" t="b">
        <v>1</v>
      </c>
      <c r="J233">
        <v>1524</v>
      </c>
      <c r="K233" t="b">
        <v>1</v>
      </c>
      <c r="L233" t="b">
        <v>0</v>
      </c>
      <c r="M233">
        <v>0</v>
      </c>
      <c r="N233">
        <v>6</v>
      </c>
      <c r="O233">
        <f t="shared" si="14"/>
        <v>42</v>
      </c>
      <c r="P233">
        <f t="shared" ref="P233:P234" si="18">O233-30</f>
        <v>12</v>
      </c>
      <c r="Q233" s="11">
        <f t="shared" ca="1" si="17"/>
        <v>46013</v>
      </c>
      <c r="R233" s="11">
        <f t="shared" ca="1" si="17"/>
        <v>46043</v>
      </c>
    </row>
    <row r="234" spans="1:18" x14ac:dyDescent="0.25">
      <c r="A234" s="2">
        <v>2615</v>
      </c>
      <c r="B234">
        <v>27</v>
      </c>
      <c r="C234" s="11">
        <v>40827</v>
      </c>
      <c r="D234" t="s">
        <v>10</v>
      </c>
      <c r="E234">
        <v>0</v>
      </c>
      <c r="F234" s="3">
        <f t="shared" si="16"/>
        <v>40857</v>
      </c>
      <c r="G234">
        <v>0</v>
      </c>
      <c r="H234">
        <v>0.2</v>
      </c>
      <c r="I234" t="b">
        <v>1</v>
      </c>
      <c r="J234">
        <v>1524</v>
      </c>
      <c r="K234" t="b">
        <v>0</v>
      </c>
      <c r="L234" t="b">
        <v>0</v>
      </c>
      <c r="M234">
        <v>0</v>
      </c>
      <c r="N234">
        <v>6</v>
      </c>
      <c r="O234">
        <f t="shared" si="14"/>
        <v>35</v>
      </c>
      <c r="P234">
        <f t="shared" si="18"/>
        <v>5</v>
      </c>
      <c r="Q234" s="11">
        <f t="shared" ca="1" si="17"/>
        <v>46020</v>
      </c>
      <c r="R234" s="11">
        <f t="shared" ca="1" si="17"/>
        <v>46050</v>
      </c>
    </row>
    <row r="235" spans="1:18" x14ac:dyDescent="0.25">
      <c r="A235" s="2">
        <v>2616</v>
      </c>
      <c r="B235">
        <v>3647</v>
      </c>
      <c r="C235" s="11">
        <v>40834</v>
      </c>
      <c r="D235" t="s">
        <v>10</v>
      </c>
      <c r="E235">
        <v>0</v>
      </c>
      <c r="F235" s="3">
        <f t="shared" si="16"/>
        <v>40864</v>
      </c>
      <c r="G235">
        <v>19</v>
      </c>
      <c r="H235">
        <v>0</v>
      </c>
      <c r="I235" t="b">
        <v>1</v>
      </c>
      <c r="J235">
        <v>1524</v>
      </c>
      <c r="K235" t="b">
        <v>0</v>
      </c>
      <c r="L235" t="b">
        <v>0</v>
      </c>
      <c r="M235">
        <v>0</v>
      </c>
      <c r="N235">
        <v>6</v>
      </c>
      <c r="O235">
        <f t="shared" si="14"/>
        <v>28</v>
      </c>
      <c r="P235">
        <f>O235-30</f>
        <v>-2</v>
      </c>
      <c r="Q235" s="11">
        <f t="shared" ca="1" si="17"/>
        <v>46027</v>
      </c>
      <c r="R235" s="11">
        <f t="shared" ca="1" si="17"/>
        <v>46057</v>
      </c>
    </row>
    <row r="236" spans="1:18" x14ac:dyDescent="0.25">
      <c r="A236" s="2">
        <v>2617</v>
      </c>
      <c r="B236">
        <v>2142</v>
      </c>
      <c r="C236" s="11">
        <v>40841</v>
      </c>
      <c r="D236" t="s">
        <v>10</v>
      </c>
      <c r="E236">
        <v>0</v>
      </c>
      <c r="F236" s="3">
        <f t="shared" si="16"/>
        <v>40871</v>
      </c>
      <c r="G236">
        <v>0</v>
      </c>
      <c r="H236">
        <v>0.3</v>
      </c>
      <c r="I236" t="b">
        <v>1</v>
      </c>
      <c r="J236">
        <v>1524</v>
      </c>
      <c r="K236" t="b">
        <v>0</v>
      </c>
      <c r="L236" t="b">
        <v>0</v>
      </c>
      <c r="M236">
        <v>0</v>
      </c>
      <c r="N236">
        <v>6</v>
      </c>
      <c r="O236">
        <f t="shared" si="14"/>
        <v>21</v>
      </c>
      <c r="P236">
        <f t="shared" ref="P236:P239" si="19">O236-30</f>
        <v>-9</v>
      </c>
      <c r="Q236" s="11">
        <f t="shared" ca="1" si="17"/>
        <v>46034</v>
      </c>
      <c r="R236" s="11">
        <f t="shared" ca="1" si="17"/>
        <v>46064</v>
      </c>
    </row>
    <row r="237" spans="1:18" x14ac:dyDescent="0.25">
      <c r="A237" s="2">
        <v>2618</v>
      </c>
      <c r="B237">
        <v>2345</v>
      </c>
      <c r="C237" s="11">
        <v>40848</v>
      </c>
      <c r="D237" t="s">
        <v>10</v>
      </c>
      <c r="E237">
        <v>0</v>
      </c>
      <c r="F237" s="3">
        <f t="shared" si="16"/>
        <v>40878</v>
      </c>
      <c r="G237">
        <v>0</v>
      </c>
      <c r="H237">
        <v>0</v>
      </c>
      <c r="I237" t="b">
        <v>0</v>
      </c>
      <c r="J237">
        <v>1524</v>
      </c>
      <c r="K237" t="b">
        <v>0</v>
      </c>
      <c r="L237" t="b">
        <v>0</v>
      </c>
      <c r="M237">
        <v>0</v>
      </c>
      <c r="N237">
        <v>6</v>
      </c>
      <c r="O237">
        <f t="shared" si="14"/>
        <v>14</v>
      </c>
      <c r="P237">
        <f t="shared" si="19"/>
        <v>-16</v>
      </c>
      <c r="Q237" s="11">
        <f t="shared" ca="1" si="17"/>
        <v>46041</v>
      </c>
      <c r="R237" s="11">
        <f t="shared" ca="1" si="17"/>
        <v>46071</v>
      </c>
    </row>
    <row r="238" spans="1:18" x14ac:dyDescent="0.25">
      <c r="A238" s="2">
        <v>2619</v>
      </c>
      <c r="B238">
        <v>2568</v>
      </c>
      <c r="C238" s="11">
        <v>40855</v>
      </c>
      <c r="D238" t="s">
        <v>10</v>
      </c>
      <c r="E238">
        <v>0</v>
      </c>
      <c r="F238" s="3">
        <f t="shared" si="16"/>
        <v>40885</v>
      </c>
      <c r="G238">
        <v>0</v>
      </c>
      <c r="H238">
        <v>0.3</v>
      </c>
      <c r="I238" t="b">
        <v>0</v>
      </c>
      <c r="J238">
        <v>1524</v>
      </c>
      <c r="K238" t="b">
        <v>0</v>
      </c>
      <c r="L238" t="b">
        <v>0</v>
      </c>
      <c r="M238">
        <v>0</v>
      </c>
      <c r="N238">
        <v>6</v>
      </c>
      <c r="O238">
        <f t="shared" si="14"/>
        <v>7</v>
      </c>
      <c r="P238">
        <f t="shared" si="19"/>
        <v>-23</v>
      </c>
      <c r="Q238" s="11">
        <f t="shared" ca="1" si="17"/>
        <v>46048</v>
      </c>
      <c r="R238" s="11">
        <f t="shared" ca="1" si="17"/>
        <v>46078</v>
      </c>
    </row>
    <row r="239" spans="1:18" x14ac:dyDescent="0.25">
      <c r="A239" s="2">
        <v>2620</v>
      </c>
      <c r="B239">
        <v>1395</v>
      </c>
      <c r="C239" s="11">
        <v>40862</v>
      </c>
      <c r="D239" t="s">
        <v>10</v>
      </c>
      <c r="E239">
        <v>0</v>
      </c>
      <c r="F239" s="3">
        <f t="shared" si="16"/>
        <v>40892</v>
      </c>
      <c r="G239">
        <v>0</v>
      </c>
      <c r="H239">
        <v>0</v>
      </c>
      <c r="I239" t="b">
        <v>0</v>
      </c>
      <c r="J239">
        <v>1524</v>
      </c>
      <c r="K239" t="b">
        <v>0</v>
      </c>
      <c r="L239" t="b">
        <v>0</v>
      </c>
      <c r="M239">
        <v>0</v>
      </c>
      <c r="N239">
        <v>6</v>
      </c>
      <c r="O239">
        <f t="shared" si="14"/>
        <v>0</v>
      </c>
      <c r="P239">
        <f t="shared" si="19"/>
        <v>-30</v>
      </c>
      <c r="Q239" s="11">
        <f t="shared" ca="1" si="17"/>
        <v>46055</v>
      </c>
      <c r="R239" s="11">
        <f t="shared" ca="1" si="17"/>
        <v>46085</v>
      </c>
    </row>
  </sheetData>
  <autoFilter ref="A1:R239" xr:uid="{F703CDA5-D59B-4CDD-AB3F-C117D8A4876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6307-1BD2-48C7-8D5D-AA054960751C}">
  <sheetPr codeName="Feuil8"/>
  <dimension ref="A1:N239"/>
  <sheetViews>
    <sheetView topLeftCell="A208" workbookViewId="0">
      <selection sqref="A1:XFD1048576"/>
    </sheetView>
  </sheetViews>
  <sheetFormatPr baseColWidth="10" defaultRowHeight="15" x14ac:dyDescent="0.25"/>
  <cols>
    <col min="3" max="3" width="7.140625" bestFit="1" customWidth="1"/>
    <col min="4" max="4" width="9" bestFit="1" customWidth="1"/>
    <col min="5" max="5" width="12" bestFit="1" customWidth="1"/>
    <col min="6" max="6" width="9.5703125" bestFit="1" customWidth="1"/>
    <col min="7" max="7" width="14.140625" bestFit="1" customWidth="1"/>
    <col min="8" max="8" width="8.7109375" bestFit="1" customWidth="1"/>
    <col min="9" max="9" width="22.28515625" bestFit="1" customWidth="1"/>
    <col min="10" max="10" width="5.7109375" bestFit="1" customWidth="1"/>
    <col min="11" max="11" width="12" bestFit="1" customWidth="1"/>
    <col min="12" max="12" width="13.85546875" bestFit="1" customWidth="1"/>
    <col min="13" max="13" width="12.140625" bestFit="1" customWidth="1"/>
    <col min="14" max="14" width="18" bestFit="1" customWidth="1"/>
  </cols>
  <sheetData>
    <row r="1" spans="1:14" x14ac:dyDescent="0.25">
      <c r="A1" s="1" t="s">
        <v>124</v>
      </c>
      <c r="B1" s="1" t="s">
        <v>125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6" t="s">
        <v>7141</v>
      </c>
      <c r="N1" s="16" t="s">
        <v>7142</v>
      </c>
    </row>
    <row r="2" spans="1:14" x14ac:dyDescent="0.25">
      <c r="A2" s="26">
        <v>2383</v>
      </c>
      <c r="B2" s="2">
        <v>1745</v>
      </c>
      <c r="C2" s="28" t="s">
        <v>10</v>
      </c>
      <c r="D2" s="26">
        <v>0</v>
      </c>
      <c r="E2" s="26">
        <v>0</v>
      </c>
      <c r="F2" s="29">
        <v>0</v>
      </c>
      <c r="G2" s="26" t="b">
        <v>1</v>
      </c>
      <c r="H2" s="26">
        <v>1524</v>
      </c>
      <c r="I2" s="26" t="b">
        <v>0</v>
      </c>
      <c r="J2" s="26" t="b">
        <v>0</v>
      </c>
      <c r="K2" s="26">
        <v>0</v>
      </c>
      <c r="L2" s="30">
        <v>6</v>
      </c>
      <c r="M2" s="11">
        <v>45029</v>
      </c>
      <c r="N2" s="11">
        <v>45065</v>
      </c>
    </row>
    <row r="3" spans="1:14" x14ac:dyDescent="0.25">
      <c r="A3" s="2">
        <v>2384</v>
      </c>
      <c r="B3" s="2">
        <v>707</v>
      </c>
      <c r="C3" s="4" t="s">
        <v>10</v>
      </c>
      <c r="D3" s="2">
        <v>0</v>
      </c>
      <c r="E3" s="2">
        <v>0</v>
      </c>
      <c r="F3" s="5">
        <v>0</v>
      </c>
      <c r="G3" s="2" t="b">
        <v>1</v>
      </c>
      <c r="H3" s="2">
        <v>1524</v>
      </c>
      <c r="I3" s="2" t="b">
        <v>0</v>
      </c>
      <c r="J3" s="2" t="b">
        <v>0</v>
      </c>
      <c r="K3" s="2">
        <v>0</v>
      </c>
      <c r="L3" s="6">
        <v>6</v>
      </c>
      <c r="M3" s="11">
        <v>45030</v>
      </c>
      <c r="N3" s="11">
        <v>45060</v>
      </c>
    </row>
    <row r="4" spans="1:14" x14ac:dyDescent="0.25">
      <c r="A4" s="26">
        <v>2385</v>
      </c>
      <c r="B4" s="2">
        <v>2937</v>
      </c>
      <c r="C4" s="4" t="s">
        <v>10</v>
      </c>
      <c r="D4" s="2">
        <v>0</v>
      </c>
      <c r="E4" s="2">
        <v>0</v>
      </c>
      <c r="F4" s="5">
        <v>0</v>
      </c>
      <c r="G4" s="2" t="b">
        <v>1</v>
      </c>
      <c r="H4" s="2">
        <v>1524</v>
      </c>
      <c r="I4" s="2" t="b">
        <v>0</v>
      </c>
      <c r="J4" s="2" t="b">
        <v>0</v>
      </c>
      <c r="K4" s="2">
        <v>0</v>
      </c>
      <c r="L4" s="6">
        <v>6</v>
      </c>
      <c r="M4" s="11">
        <v>45035</v>
      </c>
      <c r="N4" s="11">
        <v>45065</v>
      </c>
    </row>
    <row r="5" spans="1:14" x14ac:dyDescent="0.25">
      <c r="A5" s="2">
        <v>2386</v>
      </c>
      <c r="B5" s="2">
        <v>3647</v>
      </c>
      <c r="C5" s="4" t="s">
        <v>10</v>
      </c>
      <c r="D5" s="2">
        <v>0</v>
      </c>
      <c r="E5" s="2">
        <v>0</v>
      </c>
      <c r="F5" s="5">
        <v>0</v>
      </c>
      <c r="G5" s="2" t="b">
        <v>1</v>
      </c>
      <c r="H5" s="2">
        <v>640</v>
      </c>
      <c r="I5" s="2" t="b">
        <v>1</v>
      </c>
      <c r="J5" s="2" t="b">
        <v>0</v>
      </c>
      <c r="K5" s="2">
        <v>0</v>
      </c>
      <c r="L5" s="6">
        <v>6</v>
      </c>
      <c r="M5" s="11">
        <v>45037</v>
      </c>
      <c r="N5" s="11">
        <v>45067</v>
      </c>
    </row>
    <row r="6" spans="1:14" x14ac:dyDescent="0.25">
      <c r="A6" s="26">
        <v>2387</v>
      </c>
      <c r="B6" s="2">
        <v>2952</v>
      </c>
      <c r="C6" s="4" t="s">
        <v>10</v>
      </c>
      <c r="D6" s="2">
        <v>0</v>
      </c>
      <c r="E6" s="2">
        <v>30</v>
      </c>
      <c r="F6" s="5">
        <v>0.03</v>
      </c>
      <c r="G6" s="2" t="b">
        <v>1</v>
      </c>
      <c r="H6" s="2">
        <v>1524</v>
      </c>
      <c r="I6" s="2" t="b">
        <v>0</v>
      </c>
      <c r="J6" s="2" t="b">
        <v>0</v>
      </c>
      <c r="K6" s="2">
        <v>0</v>
      </c>
      <c r="L6" s="6">
        <v>6</v>
      </c>
      <c r="M6" s="11">
        <v>45037</v>
      </c>
      <c r="N6" s="11">
        <v>45067</v>
      </c>
    </row>
    <row r="7" spans="1:14" x14ac:dyDescent="0.25">
      <c r="A7" s="2">
        <v>2388</v>
      </c>
      <c r="B7" s="2">
        <v>933</v>
      </c>
      <c r="C7" s="4" t="s">
        <v>10</v>
      </c>
      <c r="D7" s="2">
        <v>0</v>
      </c>
      <c r="E7" s="2">
        <v>0</v>
      </c>
      <c r="F7" s="5">
        <v>0</v>
      </c>
      <c r="G7" s="2" t="b">
        <v>1</v>
      </c>
      <c r="H7" s="2">
        <v>1524</v>
      </c>
      <c r="I7" s="2" t="b">
        <v>0</v>
      </c>
      <c r="J7" s="2" t="b">
        <v>0</v>
      </c>
      <c r="K7" s="2">
        <v>0</v>
      </c>
      <c r="L7" s="6">
        <v>6</v>
      </c>
      <c r="M7" s="11">
        <v>45041</v>
      </c>
      <c r="N7" s="11">
        <v>45071</v>
      </c>
    </row>
    <row r="8" spans="1:14" x14ac:dyDescent="0.25">
      <c r="A8" s="26">
        <v>2389</v>
      </c>
      <c r="B8" s="2">
        <v>3005</v>
      </c>
      <c r="C8" s="4" t="s">
        <v>10</v>
      </c>
      <c r="D8" s="2">
        <v>0</v>
      </c>
      <c r="E8" s="2">
        <v>22</v>
      </c>
      <c r="F8" s="5">
        <v>0</v>
      </c>
      <c r="G8" s="2" t="b">
        <v>1</v>
      </c>
      <c r="H8" s="2">
        <v>1524</v>
      </c>
      <c r="I8" s="2" t="b">
        <v>0</v>
      </c>
      <c r="J8" s="2" t="b">
        <v>0</v>
      </c>
      <c r="K8" s="2">
        <v>0</v>
      </c>
      <c r="L8" s="6">
        <v>6</v>
      </c>
      <c r="M8" s="11">
        <v>45049</v>
      </c>
      <c r="N8" s="11">
        <v>45079</v>
      </c>
    </row>
    <row r="9" spans="1:14" x14ac:dyDescent="0.25">
      <c r="A9" s="2">
        <v>2390</v>
      </c>
      <c r="B9" s="2">
        <v>2937</v>
      </c>
      <c r="C9" s="4" t="s">
        <v>10</v>
      </c>
      <c r="D9" s="2">
        <v>0</v>
      </c>
      <c r="E9" s="2">
        <v>19</v>
      </c>
      <c r="F9" s="5">
        <v>0</v>
      </c>
      <c r="G9" s="2" t="b">
        <v>1</v>
      </c>
      <c r="H9" s="2">
        <v>1524</v>
      </c>
      <c r="I9" s="2" t="b">
        <v>1</v>
      </c>
      <c r="J9" s="2" t="b">
        <v>0</v>
      </c>
      <c r="K9" s="2">
        <v>0</v>
      </c>
      <c r="L9" s="6">
        <v>6</v>
      </c>
      <c r="M9" s="11">
        <v>45057</v>
      </c>
      <c r="N9" s="11">
        <v>45087</v>
      </c>
    </row>
    <row r="10" spans="1:14" x14ac:dyDescent="0.25">
      <c r="A10" s="26">
        <v>2391</v>
      </c>
      <c r="B10" s="2">
        <v>2971</v>
      </c>
      <c r="C10" s="4" t="s">
        <v>10</v>
      </c>
      <c r="D10" s="2">
        <v>0</v>
      </c>
      <c r="E10" s="2">
        <v>0</v>
      </c>
      <c r="F10" s="5">
        <v>0</v>
      </c>
      <c r="G10" s="2" t="b">
        <v>1</v>
      </c>
      <c r="H10" s="2">
        <v>640</v>
      </c>
      <c r="I10" s="2" t="b">
        <v>1</v>
      </c>
      <c r="J10" s="2" t="b">
        <v>0</v>
      </c>
      <c r="K10" s="2">
        <v>0</v>
      </c>
      <c r="L10" s="6">
        <v>6</v>
      </c>
      <c r="M10" s="11">
        <v>45065</v>
      </c>
      <c r="N10" s="11">
        <v>45095</v>
      </c>
    </row>
    <row r="11" spans="1:14" x14ac:dyDescent="0.25">
      <c r="A11" s="2">
        <v>2392</v>
      </c>
      <c r="B11" s="2">
        <v>3620</v>
      </c>
      <c r="C11" s="4" t="s">
        <v>10</v>
      </c>
      <c r="D11" s="2">
        <v>0</v>
      </c>
      <c r="E11" s="2">
        <v>0</v>
      </c>
      <c r="F11" s="5">
        <v>0.03</v>
      </c>
      <c r="G11" s="2" t="b">
        <v>1</v>
      </c>
      <c r="H11" s="2">
        <v>1524</v>
      </c>
      <c r="I11" s="2" t="b">
        <v>0</v>
      </c>
      <c r="J11" s="2" t="b">
        <v>0</v>
      </c>
      <c r="K11" s="2">
        <v>0</v>
      </c>
      <c r="L11" s="6">
        <v>6</v>
      </c>
      <c r="M11" s="11">
        <v>45073</v>
      </c>
      <c r="N11" s="11">
        <v>45103</v>
      </c>
    </row>
    <row r="12" spans="1:14" x14ac:dyDescent="0.25">
      <c r="A12" s="26">
        <v>2393</v>
      </c>
      <c r="B12" s="2">
        <v>2421</v>
      </c>
      <c r="C12" s="4" t="s">
        <v>10</v>
      </c>
      <c r="D12" s="2">
        <v>0</v>
      </c>
      <c r="E12" s="2">
        <v>0</v>
      </c>
      <c r="F12" s="5">
        <v>0</v>
      </c>
      <c r="G12" s="2" t="b">
        <v>1</v>
      </c>
      <c r="H12" s="2">
        <v>1524</v>
      </c>
      <c r="I12" s="2" t="b">
        <v>0</v>
      </c>
      <c r="J12" s="2" t="b">
        <v>0</v>
      </c>
      <c r="K12" s="2">
        <v>0</v>
      </c>
      <c r="L12" s="6">
        <v>6</v>
      </c>
      <c r="M12" s="11">
        <v>45081</v>
      </c>
      <c r="N12" s="11">
        <v>45111</v>
      </c>
    </row>
    <row r="13" spans="1:14" x14ac:dyDescent="0.25">
      <c r="A13" s="2">
        <v>2394</v>
      </c>
      <c r="B13" s="2">
        <v>3659</v>
      </c>
      <c r="C13" s="4" t="s">
        <v>10</v>
      </c>
      <c r="D13" s="2">
        <v>0</v>
      </c>
      <c r="E13" s="2">
        <v>85</v>
      </c>
      <c r="F13" s="5">
        <v>0</v>
      </c>
      <c r="G13" s="2" t="b">
        <v>1</v>
      </c>
      <c r="H13" s="2">
        <v>1524</v>
      </c>
      <c r="I13" s="2" t="b">
        <v>0</v>
      </c>
      <c r="J13" s="2" t="b">
        <v>0</v>
      </c>
      <c r="K13" s="2">
        <v>0</v>
      </c>
      <c r="L13" s="6">
        <v>6</v>
      </c>
      <c r="M13" s="11">
        <v>45089</v>
      </c>
      <c r="N13" s="11">
        <v>45119</v>
      </c>
    </row>
    <row r="14" spans="1:14" x14ac:dyDescent="0.25">
      <c r="A14" s="26">
        <v>2395</v>
      </c>
      <c r="B14" s="2">
        <v>1277</v>
      </c>
      <c r="C14" s="4" t="s">
        <v>10</v>
      </c>
      <c r="D14" s="2">
        <v>500</v>
      </c>
      <c r="E14" s="2">
        <v>69</v>
      </c>
      <c r="F14" s="5">
        <v>0</v>
      </c>
      <c r="G14" s="2" t="b">
        <v>1</v>
      </c>
      <c r="H14" s="2">
        <v>1524</v>
      </c>
      <c r="I14" s="2" t="b">
        <v>0</v>
      </c>
      <c r="J14" s="2" t="b">
        <v>0</v>
      </c>
      <c r="K14" s="2">
        <v>0</v>
      </c>
      <c r="L14" s="6">
        <v>6</v>
      </c>
      <c r="M14" s="11">
        <v>45097</v>
      </c>
      <c r="N14" s="11">
        <v>45127</v>
      </c>
    </row>
    <row r="15" spans="1:14" x14ac:dyDescent="0.25">
      <c r="A15" s="2">
        <v>2396</v>
      </c>
      <c r="B15" s="2">
        <v>3660</v>
      </c>
      <c r="C15" s="4" t="s">
        <v>10</v>
      </c>
      <c r="D15" s="2">
        <v>0</v>
      </c>
      <c r="E15" s="2">
        <v>25</v>
      </c>
      <c r="F15" s="5">
        <v>0</v>
      </c>
      <c r="G15" s="2" t="b">
        <v>1</v>
      </c>
      <c r="H15" s="2">
        <v>640</v>
      </c>
      <c r="I15" s="2" t="b">
        <v>1</v>
      </c>
      <c r="J15" s="2" t="b">
        <v>0</v>
      </c>
      <c r="K15" s="2">
        <v>0</v>
      </c>
      <c r="L15" s="6">
        <v>6</v>
      </c>
      <c r="M15" s="11">
        <v>45105</v>
      </c>
      <c r="N15" s="11">
        <v>45135</v>
      </c>
    </row>
    <row r="16" spans="1:14" x14ac:dyDescent="0.25">
      <c r="A16" s="26">
        <v>2397</v>
      </c>
      <c r="B16" s="2">
        <v>2478</v>
      </c>
      <c r="C16" s="4" t="s">
        <v>10</v>
      </c>
      <c r="D16" s="2">
        <v>0</v>
      </c>
      <c r="E16" s="2">
        <v>14</v>
      </c>
      <c r="F16" s="5">
        <v>0</v>
      </c>
      <c r="G16" s="2" t="b">
        <v>1</v>
      </c>
      <c r="H16" s="2">
        <v>640</v>
      </c>
      <c r="I16" s="2" t="b">
        <v>1</v>
      </c>
      <c r="J16" s="2" t="b">
        <v>0</v>
      </c>
      <c r="K16" s="2">
        <v>0</v>
      </c>
      <c r="L16" s="6">
        <v>6</v>
      </c>
      <c r="M16" s="11">
        <v>45113</v>
      </c>
      <c r="N16" s="11">
        <v>45143</v>
      </c>
    </row>
    <row r="17" spans="1:14" x14ac:dyDescent="0.25">
      <c r="A17" s="2">
        <v>2398</v>
      </c>
      <c r="B17" s="2">
        <v>1546</v>
      </c>
      <c r="C17" s="4" t="s">
        <v>10</v>
      </c>
      <c r="D17" s="2">
        <v>0</v>
      </c>
      <c r="E17" s="2">
        <v>92</v>
      </c>
      <c r="F17" s="5">
        <v>0</v>
      </c>
      <c r="G17" s="2" t="b">
        <v>1</v>
      </c>
      <c r="H17" s="2">
        <v>1524</v>
      </c>
      <c r="I17" s="2" t="b">
        <v>0</v>
      </c>
      <c r="J17" s="2" t="b">
        <v>0</v>
      </c>
      <c r="K17" s="2">
        <v>0</v>
      </c>
      <c r="L17" s="6">
        <v>6</v>
      </c>
      <c r="M17" s="11">
        <v>45121</v>
      </c>
      <c r="N17" s="11">
        <v>45151</v>
      </c>
    </row>
    <row r="18" spans="1:14" x14ac:dyDescent="0.25">
      <c r="A18" s="26">
        <v>2399</v>
      </c>
      <c r="B18" s="2">
        <v>720</v>
      </c>
      <c r="C18" s="4" t="s">
        <v>10</v>
      </c>
      <c r="D18" s="2">
        <v>0</v>
      </c>
      <c r="E18" s="2">
        <v>32</v>
      </c>
      <c r="F18" s="5">
        <v>0</v>
      </c>
      <c r="G18" s="2" t="b">
        <v>1</v>
      </c>
      <c r="H18" s="2">
        <v>1524</v>
      </c>
      <c r="I18" s="2" t="b">
        <v>0</v>
      </c>
      <c r="J18" s="2" t="b">
        <v>0</v>
      </c>
      <c r="K18" s="2">
        <v>0</v>
      </c>
      <c r="L18" s="6">
        <v>6</v>
      </c>
      <c r="M18" s="11">
        <v>45129</v>
      </c>
      <c r="N18" s="11">
        <v>45159</v>
      </c>
    </row>
    <row r="19" spans="1:14" x14ac:dyDescent="0.25">
      <c r="A19" s="2">
        <v>2400</v>
      </c>
      <c r="B19" s="2">
        <v>1559</v>
      </c>
      <c r="C19" s="4" t="s">
        <v>10</v>
      </c>
      <c r="D19" s="2">
        <v>0</v>
      </c>
      <c r="E19" s="2">
        <v>59</v>
      </c>
      <c r="F19" s="5">
        <v>0</v>
      </c>
      <c r="G19" s="2" t="b">
        <v>1</v>
      </c>
      <c r="H19" s="2">
        <v>1524</v>
      </c>
      <c r="I19" s="2" t="b">
        <v>0</v>
      </c>
      <c r="J19" s="2" t="b">
        <v>0</v>
      </c>
      <c r="K19" s="2">
        <v>0</v>
      </c>
      <c r="L19" s="6">
        <v>6</v>
      </c>
      <c r="M19" s="11">
        <v>45140</v>
      </c>
      <c r="N19" s="11">
        <v>45170</v>
      </c>
    </row>
    <row r="20" spans="1:14" x14ac:dyDescent="0.25">
      <c r="A20" s="26">
        <v>2401</v>
      </c>
      <c r="B20" s="2">
        <v>2359</v>
      </c>
      <c r="C20" s="4" t="s">
        <v>10</v>
      </c>
      <c r="D20" s="2">
        <v>0</v>
      </c>
      <c r="E20" s="2">
        <v>59</v>
      </c>
      <c r="F20" s="5">
        <v>0.05</v>
      </c>
      <c r="G20" s="2" t="b">
        <v>1</v>
      </c>
      <c r="H20" s="2">
        <v>1524</v>
      </c>
      <c r="I20" s="2" t="b">
        <v>0</v>
      </c>
      <c r="J20" s="2" t="b">
        <v>0</v>
      </c>
      <c r="K20" s="2">
        <v>0</v>
      </c>
      <c r="L20" s="6">
        <v>6</v>
      </c>
      <c r="M20" s="11">
        <v>45148</v>
      </c>
      <c r="N20" s="11">
        <v>45178</v>
      </c>
    </row>
    <row r="21" spans="1:14" x14ac:dyDescent="0.25">
      <c r="A21" s="2">
        <v>2402</v>
      </c>
      <c r="B21" s="2">
        <v>2937</v>
      </c>
      <c r="C21" s="4" t="s">
        <v>10</v>
      </c>
      <c r="D21" s="2">
        <v>0</v>
      </c>
      <c r="E21" s="2">
        <v>0</v>
      </c>
      <c r="F21" s="5">
        <v>0</v>
      </c>
      <c r="G21" s="2" t="b">
        <v>1</v>
      </c>
      <c r="H21" s="2">
        <v>1524</v>
      </c>
      <c r="I21" s="2" t="b">
        <v>0</v>
      </c>
      <c r="J21" s="2" t="b">
        <v>0</v>
      </c>
      <c r="K21" s="2">
        <v>0</v>
      </c>
      <c r="L21" s="6">
        <v>6</v>
      </c>
      <c r="M21" s="11">
        <v>45175</v>
      </c>
      <c r="N21" s="11">
        <v>45205</v>
      </c>
    </row>
    <row r="22" spans="1:14" x14ac:dyDescent="0.25">
      <c r="A22" s="31">
        <v>2403</v>
      </c>
      <c r="B22" s="2">
        <v>1095</v>
      </c>
      <c r="C22" s="28" t="s">
        <v>10</v>
      </c>
      <c r="D22" s="26">
        <v>0</v>
      </c>
      <c r="E22" s="26">
        <v>0</v>
      </c>
      <c r="F22" s="29">
        <v>0</v>
      </c>
      <c r="G22" s="26" t="b">
        <v>1</v>
      </c>
      <c r="H22" s="26">
        <v>1524</v>
      </c>
      <c r="I22" s="26" t="b">
        <v>0</v>
      </c>
      <c r="J22" s="26" t="b">
        <v>0</v>
      </c>
      <c r="K22" s="26">
        <v>0</v>
      </c>
      <c r="L22" s="30">
        <v>6</v>
      </c>
      <c r="M22" s="11">
        <v>45177</v>
      </c>
      <c r="N22" s="11">
        <v>45218</v>
      </c>
    </row>
    <row r="23" spans="1:14" x14ac:dyDescent="0.25">
      <c r="A23" s="2">
        <v>2404</v>
      </c>
      <c r="B23" s="2">
        <v>2937</v>
      </c>
      <c r="C23" s="4" t="s">
        <v>10</v>
      </c>
      <c r="D23" s="2">
        <v>0</v>
      </c>
      <c r="E23" s="2">
        <v>0</v>
      </c>
      <c r="F23" s="5">
        <v>0</v>
      </c>
      <c r="G23" s="2" t="b">
        <v>1</v>
      </c>
      <c r="H23" s="2">
        <v>1524</v>
      </c>
      <c r="I23" s="2" t="b">
        <v>0</v>
      </c>
      <c r="J23" s="2" t="b">
        <v>0</v>
      </c>
      <c r="K23" s="2">
        <v>0</v>
      </c>
      <c r="L23" s="6">
        <v>6</v>
      </c>
      <c r="M23" s="11">
        <v>45195</v>
      </c>
      <c r="N23" s="11">
        <v>45225</v>
      </c>
    </row>
    <row r="24" spans="1:14" x14ac:dyDescent="0.25">
      <c r="A24" s="2">
        <v>2405</v>
      </c>
      <c r="B24" s="2">
        <v>798</v>
      </c>
      <c r="C24" s="4" t="s">
        <v>10</v>
      </c>
      <c r="D24" s="2">
        <v>0</v>
      </c>
      <c r="E24" s="2">
        <v>0</v>
      </c>
      <c r="F24" s="5">
        <v>0</v>
      </c>
      <c r="G24" s="2" t="b">
        <v>1</v>
      </c>
      <c r="H24" s="2">
        <v>1524</v>
      </c>
      <c r="I24" s="2" t="b">
        <v>0</v>
      </c>
      <c r="J24" s="2" t="b">
        <v>0</v>
      </c>
      <c r="K24" s="2">
        <v>0</v>
      </c>
      <c r="L24" s="6">
        <v>6</v>
      </c>
      <c r="M24" s="11">
        <v>45195</v>
      </c>
      <c r="N24" s="11">
        <v>45225</v>
      </c>
    </row>
    <row r="25" spans="1:14" x14ac:dyDescent="0.25">
      <c r="A25" s="2">
        <v>2406</v>
      </c>
      <c r="B25" s="2">
        <v>1472</v>
      </c>
      <c r="C25" s="4" t="s">
        <v>10</v>
      </c>
      <c r="D25" s="2">
        <v>0</v>
      </c>
      <c r="E25" s="2">
        <v>0</v>
      </c>
      <c r="F25" s="5">
        <v>0</v>
      </c>
      <c r="G25" s="2" t="b">
        <v>1</v>
      </c>
      <c r="H25" s="2">
        <v>640</v>
      </c>
      <c r="I25" s="2" t="b">
        <v>1</v>
      </c>
      <c r="J25" s="2" t="b">
        <v>0</v>
      </c>
      <c r="K25" s="2">
        <v>0</v>
      </c>
      <c r="L25" s="6">
        <v>6</v>
      </c>
      <c r="M25" s="11">
        <v>45204</v>
      </c>
      <c r="N25" s="11">
        <v>45234</v>
      </c>
    </row>
    <row r="26" spans="1:14" x14ac:dyDescent="0.25">
      <c r="A26" s="2">
        <v>2407</v>
      </c>
      <c r="B26" s="2">
        <v>1277</v>
      </c>
      <c r="C26" s="4" t="s">
        <v>10</v>
      </c>
      <c r="D26" s="2">
        <v>0</v>
      </c>
      <c r="E26" s="2">
        <v>30</v>
      </c>
      <c r="F26" s="5">
        <v>0.03</v>
      </c>
      <c r="G26" s="2" t="b">
        <v>1</v>
      </c>
      <c r="H26" s="2">
        <v>1524</v>
      </c>
      <c r="I26" s="2" t="b">
        <v>0</v>
      </c>
      <c r="J26" s="2" t="b">
        <v>0</v>
      </c>
      <c r="K26" s="2">
        <v>0</v>
      </c>
      <c r="L26" s="6">
        <v>6</v>
      </c>
      <c r="M26" s="11">
        <v>45208</v>
      </c>
      <c r="N26" s="11">
        <v>45238</v>
      </c>
    </row>
    <row r="27" spans="1:14" x14ac:dyDescent="0.25">
      <c r="A27" s="2">
        <v>2408</v>
      </c>
      <c r="B27" s="2">
        <v>3624</v>
      </c>
      <c r="C27" s="4" t="s">
        <v>10</v>
      </c>
      <c r="D27" s="2">
        <v>0</v>
      </c>
      <c r="E27" s="2">
        <v>0</v>
      </c>
      <c r="F27" s="5">
        <v>0</v>
      </c>
      <c r="G27" s="2" t="b">
        <v>1</v>
      </c>
      <c r="H27" s="2">
        <v>1524</v>
      </c>
      <c r="I27" s="2" t="b">
        <v>0</v>
      </c>
      <c r="J27" s="2" t="b">
        <v>0</v>
      </c>
      <c r="K27" s="2">
        <v>0</v>
      </c>
      <c r="L27" s="6">
        <v>6</v>
      </c>
      <c r="M27" s="11">
        <v>45209</v>
      </c>
      <c r="N27" s="11">
        <v>45239</v>
      </c>
    </row>
    <row r="28" spans="1:14" x14ac:dyDescent="0.25">
      <c r="A28" s="2">
        <v>2409</v>
      </c>
      <c r="B28" s="2">
        <v>3638</v>
      </c>
      <c r="C28" s="4" t="s">
        <v>10</v>
      </c>
      <c r="D28" s="2">
        <v>0</v>
      </c>
      <c r="E28" s="2">
        <v>22</v>
      </c>
      <c r="F28" s="5">
        <v>0</v>
      </c>
      <c r="G28" s="2" t="b">
        <v>1</v>
      </c>
      <c r="H28" s="2">
        <v>1524</v>
      </c>
      <c r="I28" s="2" t="b">
        <v>0</v>
      </c>
      <c r="J28" s="2" t="b">
        <v>0</v>
      </c>
      <c r="K28" s="2">
        <v>0</v>
      </c>
      <c r="L28" s="6">
        <v>6</v>
      </c>
      <c r="M28" s="11">
        <v>45215</v>
      </c>
      <c r="N28" s="11">
        <v>45245</v>
      </c>
    </row>
    <row r="29" spans="1:14" x14ac:dyDescent="0.25">
      <c r="A29" s="2">
        <v>2410</v>
      </c>
      <c r="B29" s="2">
        <v>1559</v>
      </c>
      <c r="C29" s="4" t="s">
        <v>10</v>
      </c>
      <c r="D29" s="2">
        <v>0</v>
      </c>
      <c r="E29" s="2">
        <v>19</v>
      </c>
      <c r="F29" s="5">
        <v>0</v>
      </c>
      <c r="G29" s="2" t="b">
        <v>1</v>
      </c>
      <c r="H29" s="2">
        <v>1524</v>
      </c>
      <c r="I29" s="2" t="b">
        <v>1</v>
      </c>
      <c r="J29" s="2" t="b">
        <v>0</v>
      </c>
      <c r="K29" s="2">
        <v>0</v>
      </c>
      <c r="L29" s="6">
        <v>6</v>
      </c>
      <c r="M29" s="11">
        <v>45215</v>
      </c>
      <c r="N29" s="11">
        <v>45245</v>
      </c>
    </row>
    <row r="30" spans="1:14" x14ac:dyDescent="0.25">
      <c r="A30" s="2">
        <v>2411</v>
      </c>
      <c r="B30" s="2">
        <v>2971</v>
      </c>
      <c r="C30" s="4" t="s">
        <v>10</v>
      </c>
      <c r="D30" s="2">
        <v>0</v>
      </c>
      <c r="E30" s="2">
        <v>0</v>
      </c>
      <c r="F30" s="5">
        <v>0</v>
      </c>
      <c r="G30" s="2" t="b">
        <v>1</v>
      </c>
      <c r="H30" s="2">
        <v>640</v>
      </c>
      <c r="I30" s="2" t="b">
        <v>1</v>
      </c>
      <c r="J30" s="2" t="b">
        <v>0</v>
      </c>
      <c r="K30" s="2">
        <v>0</v>
      </c>
      <c r="L30" s="6">
        <v>6</v>
      </c>
      <c r="M30" s="11">
        <v>45218</v>
      </c>
      <c r="N30" s="11">
        <v>45248</v>
      </c>
    </row>
    <row r="31" spans="1:14" x14ac:dyDescent="0.25">
      <c r="A31" s="2">
        <v>2412</v>
      </c>
      <c r="B31" s="2">
        <v>3620</v>
      </c>
      <c r="C31" s="4" t="s">
        <v>10</v>
      </c>
      <c r="D31" s="2">
        <v>0</v>
      </c>
      <c r="E31" s="2">
        <v>0</v>
      </c>
      <c r="F31" s="5">
        <v>0.03</v>
      </c>
      <c r="G31" s="2" t="b">
        <v>1</v>
      </c>
      <c r="H31" s="2">
        <v>1524</v>
      </c>
      <c r="I31" s="2" t="b">
        <v>0</v>
      </c>
      <c r="J31" s="2" t="b">
        <v>0</v>
      </c>
      <c r="K31" s="2">
        <v>0</v>
      </c>
      <c r="L31" s="6">
        <v>6</v>
      </c>
      <c r="M31" s="11">
        <v>45253</v>
      </c>
      <c r="N31" s="11">
        <v>45283</v>
      </c>
    </row>
    <row r="32" spans="1:14" x14ac:dyDescent="0.25">
      <c r="A32" s="2">
        <v>2413</v>
      </c>
      <c r="B32" s="2">
        <v>2421</v>
      </c>
      <c r="C32" s="4" t="s">
        <v>10</v>
      </c>
      <c r="D32" s="2">
        <v>0</v>
      </c>
      <c r="E32" s="2">
        <v>0</v>
      </c>
      <c r="F32" s="5">
        <v>0</v>
      </c>
      <c r="G32" s="2" t="b">
        <v>1</v>
      </c>
      <c r="H32" s="2">
        <v>1524</v>
      </c>
      <c r="I32" s="2" t="b">
        <v>0</v>
      </c>
      <c r="J32" s="2" t="b">
        <v>0</v>
      </c>
      <c r="K32" s="2">
        <v>0</v>
      </c>
      <c r="L32" s="6">
        <v>6</v>
      </c>
      <c r="M32" s="11">
        <v>45271</v>
      </c>
      <c r="N32" s="11">
        <v>45301</v>
      </c>
    </row>
    <row r="33" spans="1:14" x14ac:dyDescent="0.25">
      <c r="A33" s="2">
        <v>2414</v>
      </c>
      <c r="B33" s="2">
        <v>3659</v>
      </c>
      <c r="C33" s="4" t="s">
        <v>10</v>
      </c>
      <c r="D33" s="2">
        <v>0</v>
      </c>
      <c r="E33" s="2">
        <v>85</v>
      </c>
      <c r="F33" s="5">
        <v>0</v>
      </c>
      <c r="G33" s="2" t="b">
        <v>1</v>
      </c>
      <c r="H33" s="2">
        <v>1524</v>
      </c>
      <c r="I33" s="2" t="b">
        <v>0</v>
      </c>
      <c r="J33" s="2" t="b">
        <v>0</v>
      </c>
      <c r="K33" s="2">
        <v>0</v>
      </c>
      <c r="L33" s="6">
        <v>6</v>
      </c>
      <c r="M33" s="11">
        <v>45267</v>
      </c>
      <c r="N33" s="11">
        <v>45297</v>
      </c>
    </row>
    <row r="34" spans="1:14" x14ac:dyDescent="0.25">
      <c r="A34" s="2">
        <v>2415</v>
      </c>
      <c r="B34" s="2">
        <v>2829</v>
      </c>
      <c r="C34" s="4" t="s">
        <v>10</v>
      </c>
      <c r="D34" s="2">
        <v>500</v>
      </c>
      <c r="E34" s="2">
        <v>69</v>
      </c>
      <c r="F34" s="5">
        <v>0</v>
      </c>
      <c r="G34" s="2" t="b">
        <v>1</v>
      </c>
      <c r="H34" s="2">
        <v>1524</v>
      </c>
      <c r="I34" s="2" t="b">
        <v>0</v>
      </c>
      <c r="J34" s="2" t="b">
        <v>0</v>
      </c>
      <c r="K34" s="2">
        <v>0</v>
      </c>
      <c r="L34" s="6">
        <v>6</v>
      </c>
      <c r="M34" s="11">
        <v>45281</v>
      </c>
      <c r="N34" s="11">
        <v>45311</v>
      </c>
    </row>
    <row r="35" spans="1:14" x14ac:dyDescent="0.25">
      <c r="A35" s="2">
        <v>2416</v>
      </c>
      <c r="B35" s="2">
        <v>3660</v>
      </c>
      <c r="C35" s="4" t="s">
        <v>10</v>
      </c>
      <c r="D35" s="2">
        <v>0</v>
      </c>
      <c r="E35" s="2">
        <v>25</v>
      </c>
      <c r="F35" s="5">
        <v>0</v>
      </c>
      <c r="G35" s="2" t="b">
        <v>1</v>
      </c>
      <c r="H35" s="2">
        <v>640</v>
      </c>
      <c r="I35" s="2" t="b">
        <v>1</v>
      </c>
      <c r="J35" s="2" t="b">
        <v>0</v>
      </c>
      <c r="K35" s="2">
        <v>0</v>
      </c>
      <c r="L35" s="6">
        <v>6</v>
      </c>
      <c r="M35" s="11">
        <v>45267</v>
      </c>
      <c r="N35" s="11">
        <v>45297</v>
      </c>
    </row>
    <row r="36" spans="1:14" x14ac:dyDescent="0.25">
      <c r="A36" s="2">
        <v>2417</v>
      </c>
      <c r="B36" s="2">
        <v>2478</v>
      </c>
      <c r="C36" s="4" t="s">
        <v>10</v>
      </c>
      <c r="D36" s="2">
        <v>0</v>
      </c>
      <c r="E36" s="2">
        <v>14</v>
      </c>
      <c r="F36" s="5">
        <v>0</v>
      </c>
      <c r="G36" s="2" t="b">
        <v>1</v>
      </c>
      <c r="H36" s="2">
        <v>640</v>
      </c>
      <c r="I36" s="2" t="b">
        <v>1</v>
      </c>
      <c r="J36" s="2" t="b">
        <v>0</v>
      </c>
      <c r="K36" s="2">
        <v>0</v>
      </c>
      <c r="L36" s="6">
        <v>6</v>
      </c>
      <c r="M36" s="11">
        <v>45274</v>
      </c>
      <c r="N36" s="11">
        <v>45304</v>
      </c>
    </row>
    <row r="37" spans="1:14" x14ac:dyDescent="0.25">
      <c r="A37" s="2">
        <v>2418</v>
      </c>
      <c r="B37" s="2">
        <v>1546</v>
      </c>
      <c r="C37" s="4" t="s">
        <v>10</v>
      </c>
      <c r="D37" s="2">
        <v>0</v>
      </c>
      <c r="E37" s="2">
        <v>92</v>
      </c>
      <c r="F37" s="5">
        <v>0</v>
      </c>
      <c r="G37" s="2" t="b">
        <v>1</v>
      </c>
      <c r="H37" s="2">
        <v>1524</v>
      </c>
      <c r="I37" s="2" t="b">
        <v>0</v>
      </c>
      <c r="J37" s="2" t="b">
        <v>0</v>
      </c>
      <c r="K37" s="2">
        <v>0</v>
      </c>
      <c r="L37" s="6">
        <v>6</v>
      </c>
      <c r="M37" s="11">
        <v>45258</v>
      </c>
      <c r="N37" s="11">
        <v>45288</v>
      </c>
    </row>
    <row r="38" spans="1:14" x14ac:dyDescent="0.25">
      <c r="A38" s="2">
        <v>2419</v>
      </c>
      <c r="B38" s="2">
        <v>720</v>
      </c>
      <c r="C38" s="4" t="s">
        <v>10</v>
      </c>
      <c r="D38" s="2">
        <v>0</v>
      </c>
      <c r="E38" s="2">
        <v>32</v>
      </c>
      <c r="F38" s="5">
        <v>0</v>
      </c>
      <c r="G38" s="2" t="b">
        <v>1</v>
      </c>
      <c r="H38" s="2">
        <v>1524</v>
      </c>
      <c r="I38" s="2" t="b">
        <v>0</v>
      </c>
      <c r="J38" s="2" t="b">
        <v>0</v>
      </c>
      <c r="K38" s="2">
        <v>0</v>
      </c>
      <c r="L38" s="6">
        <v>6</v>
      </c>
      <c r="M38" s="11">
        <v>45273</v>
      </c>
      <c r="N38" s="11">
        <v>45303</v>
      </c>
    </row>
    <row r="39" spans="1:14" x14ac:dyDescent="0.25">
      <c r="A39" s="2">
        <v>2420</v>
      </c>
      <c r="B39" s="2">
        <v>1559</v>
      </c>
      <c r="C39" s="4" t="s">
        <v>10</v>
      </c>
      <c r="D39" s="2">
        <v>0</v>
      </c>
      <c r="E39" s="2">
        <v>59</v>
      </c>
      <c r="F39" s="5">
        <v>0</v>
      </c>
      <c r="G39" s="2" t="b">
        <v>1</v>
      </c>
      <c r="H39" s="2">
        <v>1524</v>
      </c>
      <c r="I39" s="2" t="b">
        <v>0</v>
      </c>
      <c r="J39" s="2" t="b">
        <v>0</v>
      </c>
      <c r="K39" s="2">
        <v>0</v>
      </c>
      <c r="L39" s="6">
        <v>6</v>
      </c>
      <c r="M39" s="11">
        <v>45273</v>
      </c>
      <c r="N39" s="11">
        <v>45303</v>
      </c>
    </row>
    <row r="40" spans="1:14" x14ac:dyDescent="0.25">
      <c r="A40" s="2">
        <v>2421</v>
      </c>
      <c r="B40" s="2">
        <v>2359</v>
      </c>
      <c r="C40" s="4" t="s">
        <v>10</v>
      </c>
      <c r="D40" s="2">
        <v>0</v>
      </c>
      <c r="E40" s="2">
        <v>59</v>
      </c>
      <c r="F40" s="5">
        <v>0.05</v>
      </c>
      <c r="G40" s="2" t="b">
        <v>1</v>
      </c>
      <c r="H40" s="2">
        <v>1524</v>
      </c>
      <c r="I40" s="2" t="b">
        <v>0</v>
      </c>
      <c r="J40" s="2" t="b">
        <v>0</v>
      </c>
      <c r="K40" s="2">
        <v>0</v>
      </c>
      <c r="L40" s="6">
        <v>6</v>
      </c>
      <c r="M40" s="11">
        <v>45271</v>
      </c>
      <c r="N40" s="11">
        <v>45301</v>
      </c>
    </row>
    <row r="41" spans="1:14" x14ac:dyDescent="0.25">
      <c r="A41" s="2">
        <v>2422</v>
      </c>
      <c r="B41" s="2">
        <v>2937</v>
      </c>
      <c r="C41" s="4" t="s">
        <v>10</v>
      </c>
      <c r="D41" s="2">
        <v>0</v>
      </c>
      <c r="E41" s="2">
        <v>0</v>
      </c>
      <c r="F41" s="5">
        <v>0</v>
      </c>
      <c r="G41" s="2" t="b">
        <v>1</v>
      </c>
      <c r="H41" s="2">
        <v>1524</v>
      </c>
      <c r="I41" s="2" t="b">
        <v>0</v>
      </c>
      <c r="J41" s="2" t="b">
        <v>0</v>
      </c>
      <c r="K41" s="2">
        <v>0</v>
      </c>
      <c r="L41" s="6">
        <v>6</v>
      </c>
      <c r="M41" s="11">
        <v>45267</v>
      </c>
      <c r="N41" s="11">
        <v>45297</v>
      </c>
    </row>
    <row r="42" spans="1:14" x14ac:dyDescent="0.25">
      <c r="A42" s="2">
        <v>2423</v>
      </c>
      <c r="B42" s="2">
        <v>3661</v>
      </c>
      <c r="C42" s="4" t="s">
        <v>10</v>
      </c>
      <c r="D42" s="2">
        <v>0</v>
      </c>
      <c r="E42" s="2">
        <v>95</v>
      </c>
      <c r="F42" s="5">
        <v>0</v>
      </c>
      <c r="G42" s="2" t="b">
        <v>1</v>
      </c>
      <c r="H42" s="2">
        <v>1524</v>
      </c>
      <c r="I42" s="2" t="b">
        <v>0</v>
      </c>
      <c r="J42" s="2" t="b">
        <v>0</v>
      </c>
      <c r="K42" s="2">
        <v>0</v>
      </c>
      <c r="L42" s="6">
        <v>6</v>
      </c>
      <c r="M42" s="11">
        <v>45258</v>
      </c>
      <c r="N42" s="11">
        <v>45288</v>
      </c>
    </row>
    <row r="43" spans="1:14" x14ac:dyDescent="0.25">
      <c r="A43" s="2">
        <v>2424</v>
      </c>
      <c r="B43" s="2">
        <v>3085</v>
      </c>
      <c r="C43" s="4" t="s">
        <v>10</v>
      </c>
      <c r="D43" s="2">
        <v>393.74</v>
      </c>
      <c r="E43" s="2">
        <v>35</v>
      </c>
      <c r="F43" s="5">
        <v>0</v>
      </c>
      <c r="G43" s="2" t="b">
        <v>1</v>
      </c>
      <c r="H43" s="2">
        <v>640</v>
      </c>
      <c r="I43" s="2" t="b">
        <v>1</v>
      </c>
      <c r="J43" s="2" t="b">
        <v>0</v>
      </c>
      <c r="K43" s="2">
        <v>0</v>
      </c>
      <c r="L43" s="6">
        <v>6</v>
      </c>
      <c r="M43" s="11">
        <v>45271</v>
      </c>
      <c r="N43" s="11">
        <v>45301</v>
      </c>
    </row>
    <row r="44" spans="1:14" x14ac:dyDescent="0.25">
      <c r="A44" s="2">
        <v>2425</v>
      </c>
      <c r="B44" s="2">
        <v>2974</v>
      </c>
      <c r="C44" s="4" t="s">
        <v>10</v>
      </c>
      <c r="D44" s="2">
        <v>0</v>
      </c>
      <c r="E44" s="2">
        <v>15</v>
      </c>
      <c r="F44" s="5">
        <v>0</v>
      </c>
      <c r="G44" s="2" t="b">
        <v>1</v>
      </c>
      <c r="H44" s="2">
        <v>640</v>
      </c>
      <c r="I44" s="2" t="b">
        <v>1</v>
      </c>
      <c r="J44" s="2" t="b">
        <v>0</v>
      </c>
      <c r="K44" s="2">
        <v>0</v>
      </c>
      <c r="L44" s="6">
        <v>6</v>
      </c>
      <c r="M44" s="11">
        <v>45267</v>
      </c>
      <c r="N44" s="11">
        <v>45297</v>
      </c>
    </row>
    <row r="45" spans="1:14" x14ac:dyDescent="0.25">
      <c r="A45" s="2">
        <v>2426</v>
      </c>
      <c r="B45" s="2">
        <v>2997</v>
      </c>
      <c r="C45" s="4" t="s">
        <v>10</v>
      </c>
      <c r="D45" s="2">
        <v>0</v>
      </c>
      <c r="E45" s="2">
        <v>49</v>
      </c>
      <c r="F45" s="5">
        <v>0</v>
      </c>
      <c r="G45" s="2" t="b">
        <v>1</v>
      </c>
      <c r="H45" s="2">
        <v>1524</v>
      </c>
      <c r="I45" s="2" t="b">
        <v>0</v>
      </c>
      <c r="J45" s="2" t="b">
        <v>0</v>
      </c>
      <c r="K45" s="2">
        <v>0</v>
      </c>
      <c r="L45" s="6">
        <v>6</v>
      </c>
      <c r="M45" s="11">
        <v>45273</v>
      </c>
      <c r="N45" s="11">
        <v>45303</v>
      </c>
    </row>
    <row r="46" spans="1:14" x14ac:dyDescent="0.25">
      <c r="A46" s="2">
        <v>2427</v>
      </c>
      <c r="B46" s="2">
        <v>861</v>
      </c>
      <c r="C46" s="4" t="s">
        <v>10</v>
      </c>
      <c r="D46" s="2">
        <v>0</v>
      </c>
      <c r="E46" s="2">
        <v>0</v>
      </c>
      <c r="F46" s="5">
        <v>0.20330000000000001</v>
      </c>
      <c r="G46" s="2" t="b">
        <v>1</v>
      </c>
      <c r="H46" s="2">
        <v>1524</v>
      </c>
      <c r="I46" s="2" t="b">
        <v>1</v>
      </c>
      <c r="J46" s="2" t="b">
        <v>0</v>
      </c>
      <c r="K46" s="2">
        <v>0</v>
      </c>
      <c r="L46" s="6">
        <v>6</v>
      </c>
      <c r="M46" s="11">
        <v>45259</v>
      </c>
      <c r="N46" s="11">
        <v>45289</v>
      </c>
    </row>
    <row r="47" spans="1:14" x14ac:dyDescent="0.25">
      <c r="A47" s="2">
        <v>2428</v>
      </c>
      <c r="B47" s="2">
        <v>2836</v>
      </c>
      <c r="C47" s="4" t="s">
        <v>10</v>
      </c>
      <c r="D47" s="2">
        <v>0</v>
      </c>
      <c r="E47" s="2">
        <v>0</v>
      </c>
      <c r="F47" s="5">
        <v>0</v>
      </c>
      <c r="G47" s="2" t="b">
        <v>1</v>
      </c>
      <c r="H47" s="2">
        <v>640</v>
      </c>
      <c r="I47" s="2" t="b">
        <v>1</v>
      </c>
      <c r="J47" s="2" t="b">
        <v>0</v>
      </c>
      <c r="K47" s="2">
        <v>0</v>
      </c>
      <c r="L47" s="6">
        <v>6</v>
      </c>
      <c r="M47" s="11">
        <v>45259</v>
      </c>
      <c r="N47" s="11">
        <v>45289</v>
      </c>
    </row>
    <row r="48" spans="1:14" x14ac:dyDescent="0.25">
      <c r="A48" s="2">
        <v>2429</v>
      </c>
      <c r="B48" s="2">
        <v>1548</v>
      </c>
      <c r="C48" s="4" t="s">
        <v>10</v>
      </c>
      <c r="D48" s="2">
        <v>0</v>
      </c>
      <c r="E48" s="2">
        <v>0</v>
      </c>
      <c r="F48" s="5">
        <v>0.05</v>
      </c>
      <c r="G48" s="2" t="b">
        <v>1</v>
      </c>
      <c r="H48" s="2">
        <v>1524</v>
      </c>
      <c r="I48" s="2" t="b">
        <v>0</v>
      </c>
      <c r="J48" s="2" t="b">
        <v>0</v>
      </c>
      <c r="K48" s="2">
        <v>0</v>
      </c>
      <c r="L48" s="6">
        <v>6</v>
      </c>
      <c r="M48" s="11">
        <v>45264</v>
      </c>
      <c r="N48" s="11">
        <v>45294</v>
      </c>
    </row>
    <row r="49" spans="1:14" x14ac:dyDescent="0.25">
      <c r="A49" s="2">
        <v>2430</v>
      </c>
      <c r="B49" s="2">
        <v>2913</v>
      </c>
      <c r="C49" s="4" t="s">
        <v>10</v>
      </c>
      <c r="D49" s="2">
        <v>0</v>
      </c>
      <c r="E49" s="2">
        <v>0</v>
      </c>
      <c r="F49" s="5">
        <v>0.05</v>
      </c>
      <c r="G49" s="2" t="b">
        <v>1</v>
      </c>
      <c r="H49" s="2">
        <v>1524</v>
      </c>
      <c r="I49" s="2" t="b">
        <v>0</v>
      </c>
      <c r="J49" s="2" t="b">
        <v>0</v>
      </c>
      <c r="K49" s="2">
        <v>0</v>
      </c>
      <c r="L49" s="6">
        <v>6</v>
      </c>
      <c r="M49" s="11">
        <v>45264</v>
      </c>
      <c r="N49" s="11">
        <v>45294</v>
      </c>
    </row>
    <row r="50" spans="1:14" x14ac:dyDescent="0.25">
      <c r="A50" s="2">
        <v>2431</v>
      </c>
      <c r="B50" s="2">
        <v>2869</v>
      </c>
      <c r="C50" s="4" t="s">
        <v>10</v>
      </c>
      <c r="D50" s="2">
        <v>0</v>
      </c>
      <c r="E50" s="2">
        <v>39</v>
      </c>
      <c r="F50" s="5">
        <v>0.1</v>
      </c>
      <c r="G50" s="2" t="b">
        <v>1</v>
      </c>
      <c r="H50" s="2">
        <v>1524</v>
      </c>
      <c r="I50" s="2" t="b">
        <v>0</v>
      </c>
      <c r="J50" s="2" t="b">
        <v>0</v>
      </c>
      <c r="K50" s="2">
        <v>0</v>
      </c>
      <c r="L50" s="6">
        <v>6</v>
      </c>
      <c r="M50" s="11">
        <v>45264</v>
      </c>
      <c r="N50" s="11">
        <v>45294</v>
      </c>
    </row>
    <row r="51" spans="1:14" x14ac:dyDescent="0.25">
      <c r="A51" s="2">
        <v>2432</v>
      </c>
      <c r="B51" s="2">
        <v>1486</v>
      </c>
      <c r="C51" s="4" t="s">
        <v>10</v>
      </c>
      <c r="D51" s="2">
        <v>0</v>
      </c>
      <c r="E51" s="2">
        <v>14</v>
      </c>
      <c r="F51" s="5">
        <v>0</v>
      </c>
      <c r="G51" s="2" t="b">
        <v>1</v>
      </c>
      <c r="H51" s="2">
        <v>640</v>
      </c>
      <c r="I51" s="2" t="b">
        <v>1</v>
      </c>
      <c r="J51" s="2" t="b">
        <v>0</v>
      </c>
      <c r="K51" s="2">
        <v>0</v>
      </c>
      <c r="L51" s="6">
        <v>6</v>
      </c>
      <c r="M51" s="11">
        <v>45264</v>
      </c>
      <c r="N51" s="11">
        <v>45294</v>
      </c>
    </row>
    <row r="52" spans="1:14" x14ac:dyDescent="0.25">
      <c r="A52" s="2">
        <v>2433</v>
      </c>
      <c r="B52" s="2">
        <v>1095</v>
      </c>
      <c r="C52" s="4" t="s">
        <v>10</v>
      </c>
      <c r="D52" s="2">
        <v>0</v>
      </c>
      <c r="E52" s="2">
        <v>420</v>
      </c>
      <c r="F52" s="5">
        <v>0</v>
      </c>
      <c r="G52" s="2" t="b">
        <v>1</v>
      </c>
      <c r="H52" s="2">
        <v>1524</v>
      </c>
      <c r="I52" s="2" t="b">
        <v>0</v>
      </c>
      <c r="J52" s="2" t="b">
        <v>0</v>
      </c>
      <c r="K52" s="2">
        <v>0</v>
      </c>
      <c r="L52" s="6">
        <v>6</v>
      </c>
      <c r="M52" s="11">
        <v>45273</v>
      </c>
      <c r="N52" s="11">
        <v>45303</v>
      </c>
    </row>
    <row r="53" spans="1:14" x14ac:dyDescent="0.25">
      <c r="A53" s="2">
        <v>2434</v>
      </c>
      <c r="B53" s="2">
        <v>720</v>
      </c>
      <c r="C53" s="4" t="s">
        <v>10</v>
      </c>
      <c r="D53" s="2">
        <v>0</v>
      </c>
      <c r="E53" s="2">
        <v>0</v>
      </c>
      <c r="F53" s="5">
        <v>0</v>
      </c>
      <c r="G53" s="2" t="b">
        <v>1</v>
      </c>
      <c r="H53" s="2">
        <v>640</v>
      </c>
      <c r="I53" s="2" t="b">
        <v>1</v>
      </c>
      <c r="J53" s="2" t="b">
        <v>0</v>
      </c>
      <c r="K53" s="2">
        <v>0</v>
      </c>
      <c r="L53" s="6">
        <v>6</v>
      </c>
      <c r="M53" s="11">
        <v>45267</v>
      </c>
      <c r="N53" s="11">
        <v>45297</v>
      </c>
    </row>
    <row r="54" spans="1:14" x14ac:dyDescent="0.25">
      <c r="A54" s="2">
        <v>2435</v>
      </c>
      <c r="B54" s="2">
        <v>707</v>
      </c>
      <c r="C54" s="4" t="s">
        <v>10</v>
      </c>
      <c r="D54" s="2">
        <v>0</v>
      </c>
      <c r="E54" s="2">
        <v>0</v>
      </c>
      <c r="F54" s="5">
        <v>0.05</v>
      </c>
      <c r="G54" s="2" t="b">
        <v>1</v>
      </c>
      <c r="H54" s="2">
        <v>1524</v>
      </c>
      <c r="I54" s="2" t="b">
        <v>0</v>
      </c>
      <c r="J54" s="2" t="b">
        <v>0</v>
      </c>
      <c r="K54" s="2">
        <v>0</v>
      </c>
      <c r="L54" s="6">
        <v>6</v>
      </c>
      <c r="M54" s="11">
        <v>45274</v>
      </c>
      <c r="N54" s="11">
        <v>45304</v>
      </c>
    </row>
    <row r="55" spans="1:14" x14ac:dyDescent="0.25">
      <c r="A55" s="2">
        <v>2436</v>
      </c>
      <c r="B55" s="2">
        <v>1548</v>
      </c>
      <c r="C55" s="4" t="s">
        <v>10</v>
      </c>
      <c r="D55" s="2">
        <v>0</v>
      </c>
      <c r="E55" s="2">
        <v>29</v>
      </c>
      <c r="F55" s="5">
        <v>0.03</v>
      </c>
      <c r="G55" s="2" t="b">
        <v>1</v>
      </c>
      <c r="H55" s="2">
        <v>1524</v>
      </c>
      <c r="I55" s="2" t="b">
        <v>0</v>
      </c>
      <c r="J55" s="2" t="b">
        <v>0</v>
      </c>
      <c r="K55" s="2">
        <v>0</v>
      </c>
      <c r="L55" s="6">
        <v>6</v>
      </c>
      <c r="M55" s="11">
        <v>45320</v>
      </c>
      <c r="N55" s="11">
        <v>45350</v>
      </c>
    </row>
    <row r="56" spans="1:14" x14ac:dyDescent="0.25">
      <c r="A56" s="2">
        <v>2437</v>
      </c>
      <c r="B56" s="2">
        <v>1095</v>
      </c>
      <c r="C56" s="4" t="s">
        <v>10</v>
      </c>
      <c r="D56" s="2">
        <v>0</v>
      </c>
      <c r="E56" s="2">
        <v>0</v>
      </c>
      <c r="F56" s="5">
        <v>0</v>
      </c>
      <c r="G56" s="2" t="b">
        <v>1</v>
      </c>
      <c r="H56" s="2">
        <v>1524</v>
      </c>
      <c r="I56" s="2" t="b">
        <v>0</v>
      </c>
      <c r="J56" s="2" t="b">
        <v>1</v>
      </c>
      <c r="K56" s="2">
        <v>0</v>
      </c>
      <c r="L56" s="6">
        <v>6</v>
      </c>
      <c r="M56" s="11">
        <v>45287</v>
      </c>
      <c r="N56" s="11">
        <v>45317</v>
      </c>
    </row>
    <row r="57" spans="1:14" x14ac:dyDescent="0.25">
      <c r="A57" s="2">
        <v>2438</v>
      </c>
      <c r="B57" s="2">
        <v>2841</v>
      </c>
      <c r="C57" s="4" t="s">
        <v>10</v>
      </c>
      <c r="D57" s="2">
        <v>0</v>
      </c>
      <c r="E57" s="2">
        <v>19</v>
      </c>
      <c r="F57" s="5">
        <v>0</v>
      </c>
      <c r="G57" s="2" t="b">
        <v>1</v>
      </c>
      <c r="H57" s="2">
        <v>640</v>
      </c>
      <c r="I57" s="2" t="b">
        <v>1</v>
      </c>
      <c r="J57" s="2" t="b">
        <v>0</v>
      </c>
      <c r="K57" s="2">
        <v>0</v>
      </c>
      <c r="L57" s="6">
        <v>6</v>
      </c>
      <c r="M57" s="11">
        <v>45300</v>
      </c>
      <c r="N57" s="11">
        <v>45330</v>
      </c>
    </row>
    <row r="58" spans="1:14" x14ac:dyDescent="0.25">
      <c r="A58" s="2">
        <v>2439</v>
      </c>
      <c r="B58" s="2">
        <v>3651</v>
      </c>
      <c r="C58" s="4" t="s">
        <v>10</v>
      </c>
      <c r="D58" s="2">
        <v>0</v>
      </c>
      <c r="E58" s="2">
        <v>14</v>
      </c>
      <c r="F58" s="5">
        <v>0</v>
      </c>
      <c r="G58" s="2" t="b">
        <v>1</v>
      </c>
      <c r="H58" s="2">
        <v>640</v>
      </c>
      <c r="I58" s="2" t="b">
        <v>1</v>
      </c>
      <c r="J58" s="2" t="b">
        <v>0</v>
      </c>
      <c r="K58" s="2">
        <v>0</v>
      </c>
      <c r="L58" s="6">
        <v>6</v>
      </c>
      <c r="M58" s="11">
        <v>45299</v>
      </c>
      <c r="N58" s="11">
        <v>45329</v>
      </c>
    </row>
    <row r="59" spans="1:14" x14ac:dyDescent="0.25">
      <c r="A59" s="2">
        <v>2440</v>
      </c>
      <c r="B59" s="2">
        <v>978</v>
      </c>
      <c r="C59" s="4" t="s">
        <v>10</v>
      </c>
      <c r="D59" s="2">
        <v>0</v>
      </c>
      <c r="E59" s="2">
        <v>14</v>
      </c>
      <c r="F59" s="5">
        <v>0</v>
      </c>
      <c r="G59" s="2" t="b">
        <v>1</v>
      </c>
      <c r="H59" s="2">
        <v>640</v>
      </c>
      <c r="I59" s="2" t="b">
        <v>1</v>
      </c>
      <c r="J59" s="2" t="b">
        <v>0</v>
      </c>
      <c r="K59" s="2">
        <v>0</v>
      </c>
      <c r="L59" s="6">
        <v>6</v>
      </c>
      <c r="M59" s="11">
        <v>45327</v>
      </c>
      <c r="N59" s="11">
        <v>45357</v>
      </c>
    </row>
    <row r="60" spans="1:14" x14ac:dyDescent="0.25">
      <c r="A60" s="2">
        <v>2441</v>
      </c>
      <c r="B60" s="2">
        <v>3664</v>
      </c>
      <c r="C60" s="4" t="s">
        <v>10</v>
      </c>
      <c r="D60" s="2">
        <v>0</v>
      </c>
      <c r="E60" s="2">
        <v>25</v>
      </c>
      <c r="F60" s="5">
        <v>0</v>
      </c>
      <c r="G60" s="2" t="b">
        <v>1</v>
      </c>
      <c r="H60" s="2">
        <v>640</v>
      </c>
      <c r="I60" s="2" t="b">
        <v>1</v>
      </c>
      <c r="J60" s="2" t="b">
        <v>0</v>
      </c>
      <c r="K60" s="2">
        <v>0</v>
      </c>
      <c r="L60" s="6">
        <v>6</v>
      </c>
      <c r="M60" s="11">
        <v>45300</v>
      </c>
      <c r="N60" s="11">
        <v>45330</v>
      </c>
    </row>
    <row r="61" spans="1:14" x14ac:dyDescent="0.25">
      <c r="A61" s="2">
        <v>2442</v>
      </c>
      <c r="B61" s="2">
        <v>3665</v>
      </c>
      <c r="C61" s="4" t="s">
        <v>10</v>
      </c>
      <c r="D61" s="2">
        <v>0</v>
      </c>
      <c r="E61" s="2">
        <v>60.25</v>
      </c>
      <c r="F61" s="5">
        <v>0</v>
      </c>
      <c r="G61" s="2" t="b">
        <v>1</v>
      </c>
      <c r="H61" s="2">
        <v>1524</v>
      </c>
      <c r="I61" s="2" t="b">
        <v>0</v>
      </c>
      <c r="J61" s="2" t="b">
        <v>0</v>
      </c>
      <c r="K61" s="2">
        <v>0</v>
      </c>
      <c r="L61" s="6">
        <v>6</v>
      </c>
      <c r="M61" s="11">
        <v>45320</v>
      </c>
      <c r="N61" s="11">
        <v>45350</v>
      </c>
    </row>
    <row r="62" spans="1:14" x14ac:dyDescent="0.25">
      <c r="A62" s="2">
        <v>2443</v>
      </c>
      <c r="B62" s="2">
        <v>1559</v>
      </c>
      <c r="C62" s="4" t="s">
        <v>10</v>
      </c>
      <c r="D62" s="2">
        <v>0</v>
      </c>
      <c r="E62" s="2">
        <v>0</v>
      </c>
      <c r="F62" s="5">
        <v>0</v>
      </c>
      <c r="G62" s="2" t="b">
        <v>1</v>
      </c>
      <c r="H62" s="2">
        <v>1524</v>
      </c>
      <c r="I62" s="2" t="b">
        <v>0</v>
      </c>
      <c r="J62" s="2" t="b">
        <v>1</v>
      </c>
      <c r="K62" s="2">
        <v>0</v>
      </c>
      <c r="L62" s="6">
        <v>6</v>
      </c>
      <c r="M62" s="11">
        <v>45295</v>
      </c>
      <c r="N62" s="11">
        <v>45325</v>
      </c>
    </row>
    <row r="63" spans="1:14" x14ac:dyDescent="0.25">
      <c r="A63" s="2">
        <v>2444</v>
      </c>
      <c r="B63" s="2">
        <v>2765</v>
      </c>
      <c r="C63" s="4" t="s">
        <v>10</v>
      </c>
      <c r="D63" s="2">
        <v>0</v>
      </c>
      <c r="E63" s="2">
        <v>19</v>
      </c>
      <c r="F63" s="5">
        <v>0</v>
      </c>
      <c r="G63" s="2" t="b">
        <v>1</v>
      </c>
      <c r="H63" s="2">
        <v>1524</v>
      </c>
      <c r="I63" s="2" t="b">
        <v>1</v>
      </c>
      <c r="J63" s="2" t="b">
        <v>0</v>
      </c>
      <c r="K63" s="2">
        <v>0</v>
      </c>
      <c r="L63" s="6">
        <v>6</v>
      </c>
      <c r="M63" s="11">
        <v>45300</v>
      </c>
      <c r="N63" s="11">
        <v>45330</v>
      </c>
    </row>
    <row r="64" spans="1:14" x14ac:dyDescent="0.25">
      <c r="A64" s="2">
        <v>2445</v>
      </c>
      <c r="B64" s="2">
        <v>2857</v>
      </c>
      <c r="C64" s="4" t="s">
        <v>10</v>
      </c>
      <c r="D64" s="2">
        <v>0</v>
      </c>
      <c r="E64" s="2">
        <v>14</v>
      </c>
      <c r="F64" s="5">
        <v>0</v>
      </c>
      <c r="G64" s="2" t="b">
        <v>1</v>
      </c>
      <c r="H64" s="2">
        <v>640</v>
      </c>
      <c r="I64" s="2" t="b">
        <v>1</v>
      </c>
      <c r="J64" s="2" t="b">
        <v>0</v>
      </c>
      <c r="K64" s="2">
        <v>0</v>
      </c>
      <c r="L64" s="6">
        <v>6</v>
      </c>
      <c r="M64" s="11">
        <v>45325</v>
      </c>
      <c r="N64" s="11">
        <v>45355</v>
      </c>
    </row>
    <row r="65" spans="1:14" x14ac:dyDescent="0.25">
      <c r="A65" s="2">
        <v>2446</v>
      </c>
      <c r="B65" s="2">
        <v>2912</v>
      </c>
      <c r="C65" s="4" t="s">
        <v>10</v>
      </c>
      <c r="D65" s="2">
        <v>0</v>
      </c>
      <c r="E65" s="2">
        <v>80</v>
      </c>
      <c r="F65" s="5">
        <v>0</v>
      </c>
      <c r="G65" s="2" t="b">
        <v>1</v>
      </c>
      <c r="H65" s="2">
        <v>1524</v>
      </c>
      <c r="I65" s="2" t="b">
        <v>0</v>
      </c>
      <c r="J65" s="2" t="b">
        <v>0</v>
      </c>
      <c r="K65" s="2">
        <v>0</v>
      </c>
      <c r="L65" s="6">
        <v>6</v>
      </c>
      <c r="M65" s="11">
        <v>45320</v>
      </c>
      <c r="N65" s="11">
        <v>45350</v>
      </c>
    </row>
    <row r="66" spans="1:14" x14ac:dyDescent="0.25">
      <c r="A66" s="2">
        <v>2447</v>
      </c>
      <c r="B66" s="2">
        <v>2858</v>
      </c>
      <c r="C66" s="4" t="s">
        <v>10</v>
      </c>
      <c r="D66" s="2">
        <v>0</v>
      </c>
      <c r="E66" s="2">
        <v>14</v>
      </c>
      <c r="F66" s="5">
        <v>0</v>
      </c>
      <c r="G66" s="2" t="b">
        <v>1</v>
      </c>
      <c r="H66" s="2">
        <v>640</v>
      </c>
      <c r="I66" s="2" t="b">
        <v>1</v>
      </c>
      <c r="J66" s="2" t="b">
        <v>0</v>
      </c>
      <c r="K66" s="2">
        <v>0</v>
      </c>
      <c r="L66" s="6">
        <v>6</v>
      </c>
      <c r="M66" s="11">
        <v>45299</v>
      </c>
      <c r="N66" s="11">
        <v>45329</v>
      </c>
    </row>
    <row r="67" spans="1:14" x14ac:dyDescent="0.25">
      <c r="A67" s="2">
        <v>2448</v>
      </c>
      <c r="B67" s="2">
        <v>3608</v>
      </c>
      <c r="C67" s="4" t="s">
        <v>10</v>
      </c>
      <c r="D67" s="2">
        <v>0</v>
      </c>
      <c r="E67" s="2">
        <v>24</v>
      </c>
      <c r="F67" s="5">
        <v>0</v>
      </c>
      <c r="G67" s="2" t="b">
        <v>1</v>
      </c>
      <c r="H67" s="2">
        <v>640</v>
      </c>
      <c r="I67" s="2" t="b">
        <v>1</v>
      </c>
      <c r="J67" s="2" t="b">
        <v>0</v>
      </c>
      <c r="K67" s="2">
        <v>0</v>
      </c>
      <c r="L67" s="6">
        <v>6</v>
      </c>
      <c r="M67" s="11">
        <v>45300</v>
      </c>
      <c r="N67" s="11">
        <v>45330</v>
      </c>
    </row>
    <row r="68" spans="1:14" x14ac:dyDescent="0.25">
      <c r="A68" s="2">
        <v>2449</v>
      </c>
      <c r="B68" s="2">
        <v>2818</v>
      </c>
      <c r="C68" s="4" t="s">
        <v>10</v>
      </c>
      <c r="D68" s="2">
        <v>0</v>
      </c>
      <c r="E68" s="2">
        <v>20</v>
      </c>
      <c r="F68" s="5">
        <v>0</v>
      </c>
      <c r="G68" s="2" t="b">
        <v>1</v>
      </c>
      <c r="H68" s="2">
        <v>640</v>
      </c>
      <c r="I68" s="2" t="b">
        <v>1</v>
      </c>
      <c r="J68" s="2" t="b">
        <v>0</v>
      </c>
      <c r="K68" s="2">
        <v>0</v>
      </c>
      <c r="L68" s="6">
        <v>6</v>
      </c>
      <c r="M68" s="11">
        <v>45300</v>
      </c>
      <c r="N68" s="11">
        <v>45330</v>
      </c>
    </row>
    <row r="69" spans="1:14" x14ac:dyDescent="0.25">
      <c r="A69" s="2">
        <v>2450</v>
      </c>
      <c r="B69" s="2">
        <v>1271</v>
      </c>
      <c r="C69" s="4" t="s">
        <v>10</v>
      </c>
      <c r="D69" s="2">
        <v>0</v>
      </c>
      <c r="E69" s="2">
        <v>0</v>
      </c>
      <c r="F69" s="5">
        <v>0</v>
      </c>
      <c r="G69" s="2" t="b">
        <v>1</v>
      </c>
      <c r="H69" s="2">
        <v>640</v>
      </c>
      <c r="I69" s="2" t="b">
        <v>1</v>
      </c>
      <c r="J69" s="2" t="b">
        <v>0</v>
      </c>
      <c r="K69" s="2">
        <v>0</v>
      </c>
      <c r="L69" s="6">
        <v>6</v>
      </c>
      <c r="M69" s="11">
        <v>45300</v>
      </c>
      <c r="N69" s="11">
        <v>45330</v>
      </c>
    </row>
    <row r="70" spans="1:14" x14ac:dyDescent="0.25">
      <c r="A70" s="2">
        <v>2451</v>
      </c>
      <c r="B70" s="2">
        <v>3667</v>
      </c>
      <c r="C70" s="4" t="s">
        <v>10</v>
      </c>
      <c r="D70" s="2">
        <v>0</v>
      </c>
      <c r="E70" s="2">
        <v>0</v>
      </c>
      <c r="F70" s="5">
        <v>0.2</v>
      </c>
      <c r="G70" s="2" t="b">
        <v>1</v>
      </c>
      <c r="H70" s="2">
        <v>1524</v>
      </c>
      <c r="I70" s="2" t="b">
        <v>0</v>
      </c>
      <c r="J70" s="2" t="b">
        <v>0</v>
      </c>
      <c r="K70" s="2">
        <v>0</v>
      </c>
      <c r="L70" s="6">
        <v>6</v>
      </c>
      <c r="M70" s="11">
        <v>45303</v>
      </c>
      <c r="N70" s="11">
        <v>45333</v>
      </c>
    </row>
    <row r="71" spans="1:14" x14ac:dyDescent="0.25">
      <c r="A71" s="2">
        <v>2452</v>
      </c>
      <c r="B71" s="2">
        <v>3668</v>
      </c>
      <c r="C71" s="4" t="s">
        <v>10</v>
      </c>
      <c r="D71" s="2">
        <v>0</v>
      </c>
      <c r="E71" s="2">
        <v>0</v>
      </c>
      <c r="F71" s="5">
        <v>0.2</v>
      </c>
      <c r="G71" s="2" t="b">
        <v>1</v>
      </c>
      <c r="H71" s="2">
        <v>1524</v>
      </c>
      <c r="I71" s="2" t="b">
        <v>0</v>
      </c>
      <c r="J71" s="2" t="b">
        <v>0</v>
      </c>
      <c r="K71" s="2">
        <v>0</v>
      </c>
      <c r="L71" s="6">
        <v>6</v>
      </c>
      <c r="M71" s="11">
        <v>45303</v>
      </c>
      <c r="N71" s="11">
        <v>45333</v>
      </c>
    </row>
    <row r="72" spans="1:14" x14ac:dyDescent="0.25">
      <c r="A72" s="2">
        <v>2453</v>
      </c>
      <c r="B72" s="2">
        <v>3669</v>
      </c>
      <c r="C72" s="4" t="s">
        <v>10</v>
      </c>
      <c r="D72" s="2">
        <v>0</v>
      </c>
      <c r="E72" s="2">
        <v>0</v>
      </c>
      <c r="F72" s="5">
        <v>0.1</v>
      </c>
      <c r="G72" s="2" t="b">
        <v>1</v>
      </c>
      <c r="H72" s="2">
        <v>1524</v>
      </c>
      <c r="I72" s="2" t="b">
        <v>0</v>
      </c>
      <c r="J72" s="2" t="b">
        <v>0</v>
      </c>
      <c r="K72" s="2">
        <v>0</v>
      </c>
      <c r="L72" s="6">
        <v>6</v>
      </c>
      <c r="M72" s="11">
        <v>45303</v>
      </c>
      <c r="N72" s="11">
        <v>45333</v>
      </c>
    </row>
    <row r="73" spans="1:14" x14ac:dyDescent="0.25">
      <c r="A73" s="2">
        <v>2454</v>
      </c>
      <c r="B73" s="2">
        <v>1745</v>
      </c>
      <c r="C73" s="4" t="s">
        <v>10</v>
      </c>
      <c r="D73" s="2">
        <v>4000</v>
      </c>
      <c r="E73" s="2">
        <v>0</v>
      </c>
      <c r="F73" s="5">
        <v>0.2</v>
      </c>
      <c r="G73" s="2" t="b">
        <v>1</v>
      </c>
      <c r="H73" s="2">
        <v>1524</v>
      </c>
      <c r="I73" s="2" t="b">
        <v>0</v>
      </c>
      <c r="J73" s="2" t="b">
        <v>0</v>
      </c>
      <c r="K73" s="2">
        <v>0</v>
      </c>
      <c r="L73" s="6">
        <v>6</v>
      </c>
      <c r="M73" s="11">
        <v>45305</v>
      </c>
      <c r="N73" s="11">
        <v>45335</v>
      </c>
    </row>
    <row r="74" spans="1:14" x14ac:dyDescent="0.25">
      <c r="A74" s="2">
        <v>2455</v>
      </c>
      <c r="B74" s="2">
        <v>2833</v>
      </c>
      <c r="C74" s="4" t="s">
        <v>10</v>
      </c>
      <c r="D74" s="2">
        <v>0</v>
      </c>
      <c r="E74" s="2">
        <v>14</v>
      </c>
      <c r="F74" s="5">
        <v>0</v>
      </c>
      <c r="G74" s="2" t="b">
        <v>1</v>
      </c>
      <c r="H74" s="2">
        <v>640</v>
      </c>
      <c r="I74" s="2" t="b">
        <v>1</v>
      </c>
      <c r="J74" s="2" t="b">
        <v>0</v>
      </c>
      <c r="K74" s="2">
        <v>0</v>
      </c>
      <c r="L74" s="6">
        <v>6</v>
      </c>
      <c r="M74" s="11">
        <v>45320</v>
      </c>
      <c r="N74" s="11">
        <v>45350</v>
      </c>
    </row>
    <row r="75" spans="1:14" x14ac:dyDescent="0.25">
      <c r="A75" s="2">
        <v>2456</v>
      </c>
      <c r="B75" s="2">
        <v>2866</v>
      </c>
      <c r="C75" s="4" t="s">
        <v>10</v>
      </c>
      <c r="D75" s="2">
        <v>0</v>
      </c>
      <c r="E75" s="2">
        <v>14</v>
      </c>
      <c r="F75" s="5">
        <v>0</v>
      </c>
      <c r="G75" s="2" t="b">
        <v>1</v>
      </c>
      <c r="H75" s="2">
        <v>640</v>
      </c>
      <c r="I75" s="2" t="b">
        <v>1</v>
      </c>
      <c r="J75" s="2" t="b">
        <v>0</v>
      </c>
      <c r="K75" s="2">
        <v>0</v>
      </c>
      <c r="L75" s="6">
        <v>6</v>
      </c>
      <c r="M75" s="11">
        <v>45320</v>
      </c>
      <c r="N75" s="11">
        <v>45350</v>
      </c>
    </row>
    <row r="76" spans="1:14" x14ac:dyDescent="0.25">
      <c r="A76" s="2">
        <v>2457</v>
      </c>
      <c r="B76" s="2">
        <v>1493</v>
      </c>
      <c r="C76" s="4" t="s">
        <v>10</v>
      </c>
      <c r="D76" s="2">
        <v>0</v>
      </c>
      <c r="E76" s="2">
        <v>8</v>
      </c>
      <c r="F76" s="5">
        <v>0</v>
      </c>
      <c r="G76" s="2" t="b">
        <v>1</v>
      </c>
      <c r="H76" s="2">
        <v>640</v>
      </c>
      <c r="I76" s="2" t="b">
        <v>1</v>
      </c>
      <c r="J76" s="2" t="b">
        <v>0</v>
      </c>
      <c r="K76" s="2">
        <v>0</v>
      </c>
      <c r="L76" s="6">
        <v>6</v>
      </c>
      <c r="M76" s="11">
        <v>45320</v>
      </c>
      <c r="N76" s="11">
        <v>45350</v>
      </c>
    </row>
    <row r="77" spans="1:14" x14ac:dyDescent="0.25">
      <c r="A77" s="2">
        <v>2458</v>
      </c>
      <c r="B77" s="2">
        <v>1484</v>
      </c>
      <c r="C77" s="4" t="s">
        <v>10</v>
      </c>
      <c r="D77" s="2">
        <v>0</v>
      </c>
      <c r="E77" s="2">
        <v>28</v>
      </c>
      <c r="F77" s="5">
        <v>0</v>
      </c>
      <c r="G77" s="2" t="b">
        <v>1</v>
      </c>
      <c r="H77" s="2">
        <v>640</v>
      </c>
      <c r="I77" s="2" t="b">
        <v>1</v>
      </c>
      <c r="J77" s="2" t="b">
        <v>0</v>
      </c>
      <c r="K77" s="2">
        <v>0</v>
      </c>
      <c r="L77" s="6">
        <v>6</v>
      </c>
      <c r="M77" s="11">
        <v>45355</v>
      </c>
      <c r="N77" s="11">
        <v>45385</v>
      </c>
    </row>
    <row r="78" spans="1:14" x14ac:dyDescent="0.25">
      <c r="A78" s="2">
        <v>2459</v>
      </c>
      <c r="B78" s="2">
        <v>2503</v>
      </c>
      <c r="C78" s="4" t="s">
        <v>10</v>
      </c>
      <c r="D78" s="2">
        <v>0</v>
      </c>
      <c r="E78" s="2">
        <v>20</v>
      </c>
      <c r="F78" s="5">
        <v>0</v>
      </c>
      <c r="G78" s="2" t="b">
        <v>1</v>
      </c>
      <c r="H78" s="2">
        <v>640</v>
      </c>
      <c r="I78" s="2" t="b">
        <v>1</v>
      </c>
      <c r="J78" s="2" t="b">
        <v>0</v>
      </c>
      <c r="K78" s="2">
        <v>0</v>
      </c>
      <c r="L78" s="6">
        <v>6</v>
      </c>
      <c r="M78" s="11">
        <v>45355</v>
      </c>
      <c r="N78" s="11">
        <v>45385</v>
      </c>
    </row>
    <row r="79" spans="1:14" x14ac:dyDescent="0.25">
      <c r="A79" s="2">
        <v>2460</v>
      </c>
      <c r="B79" s="2">
        <v>2852</v>
      </c>
      <c r="C79" s="4" t="s">
        <v>10</v>
      </c>
      <c r="D79" s="2">
        <v>0</v>
      </c>
      <c r="E79" s="2">
        <v>14</v>
      </c>
      <c r="F79" s="5">
        <v>0</v>
      </c>
      <c r="G79" s="2" t="b">
        <v>1</v>
      </c>
      <c r="H79" s="2">
        <v>640</v>
      </c>
      <c r="I79" s="2" t="b">
        <v>1</v>
      </c>
      <c r="J79" s="2" t="b">
        <v>0</v>
      </c>
      <c r="K79" s="2">
        <v>0</v>
      </c>
      <c r="L79" s="6">
        <v>6</v>
      </c>
      <c r="M79" s="11">
        <v>45323</v>
      </c>
      <c r="N79" s="11">
        <v>45353</v>
      </c>
    </row>
    <row r="80" spans="1:14" x14ac:dyDescent="0.25">
      <c r="A80" s="2">
        <v>2461</v>
      </c>
      <c r="B80" s="2">
        <v>2407</v>
      </c>
      <c r="C80" s="4" t="s">
        <v>10</v>
      </c>
      <c r="D80" s="2">
        <v>0</v>
      </c>
      <c r="E80" s="2">
        <v>12</v>
      </c>
      <c r="F80" s="5">
        <v>0</v>
      </c>
      <c r="G80" s="2" t="b">
        <v>1</v>
      </c>
      <c r="H80" s="2">
        <v>640</v>
      </c>
      <c r="I80" s="2" t="b">
        <v>1</v>
      </c>
      <c r="J80" s="2" t="b">
        <v>0</v>
      </c>
      <c r="K80" s="2">
        <v>0</v>
      </c>
      <c r="L80" s="6">
        <v>6</v>
      </c>
      <c r="M80" s="11">
        <v>45323</v>
      </c>
      <c r="N80" s="11">
        <v>45353</v>
      </c>
    </row>
    <row r="81" spans="1:14" x14ac:dyDescent="0.25">
      <c r="A81" s="2">
        <v>2462</v>
      </c>
      <c r="B81" s="2">
        <v>2259</v>
      </c>
      <c r="C81" s="4" t="s">
        <v>10</v>
      </c>
      <c r="D81" s="2">
        <v>0</v>
      </c>
      <c r="E81" s="2">
        <v>0</v>
      </c>
      <c r="F81" s="5">
        <v>0.03</v>
      </c>
      <c r="G81" s="2" t="b">
        <v>1</v>
      </c>
      <c r="H81" s="2">
        <v>1524</v>
      </c>
      <c r="I81" s="2" t="b">
        <v>0</v>
      </c>
      <c r="J81" s="2" t="b">
        <v>0</v>
      </c>
      <c r="K81" s="2">
        <v>0</v>
      </c>
      <c r="L81" s="6">
        <v>6</v>
      </c>
      <c r="M81" s="11">
        <v>45326</v>
      </c>
      <c r="N81" s="11">
        <v>45356</v>
      </c>
    </row>
    <row r="82" spans="1:14" x14ac:dyDescent="0.25">
      <c r="A82" s="2">
        <v>2463</v>
      </c>
      <c r="B82" s="2">
        <v>1108</v>
      </c>
      <c r="C82" s="4" t="s">
        <v>10</v>
      </c>
      <c r="D82" s="2">
        <v>0</v>
      </c>
      <c r="E82" s="2">
        <v>0</v>
      </c>
      <c r="F82" s="5">
        <v>0.1</v>
      </c>
      <c r="G82" s="2" t="b">
        <v>1</v>
      </c>
      <c r="H82" s="2">
        <v>1524</v>
      </c>
      <c r="I82" s="2" t="b">
        <v>0</v>
      </c>
      <c r="J82" s="2" t="b">
        <v>0</v>
      </c>
      <c r="K82" s="2">
        <v>0</v>
      </c>
      <c r="L82" s="6">
        <v>6</v>
      </c>
      <c r="M82" s="11">
        <v>45326</v>
      </c>
      <c r="N82" s="11">
        <v>45356</v>
      </c>
    </row>
    <row r="83" spans="1:14" x14ac:dyDescent="0.25">
      <c r="A83" s="2">
        <v>2464</v>
      </c>
      <c r="B83" s="2">
        <v>3623</v>
      </c>
      <c r="C83" s="4" t="s">
        <v>10</v>
      </c>
      <c r="D83" s="2">
        <v>0</v>
      </c>
      <c r="E83" s="2">
        <v>14</v>
      </c>
      <c r="F83" s="5">
        <v>0</v>
      </c>
      <c r="G83" s="2" t="b">
        <v>1</v>
      </c>
      <c r="H83" s="2">
        <v>640</v>
      </c>
      <c r="I83" s="2" t="b">
        <v>1</v>
      </c>
      <c r="J83" s="2" t="b">
        <v>0</v>
      </c>
      <c r="K83" s="2">
        <v>0</v>
      </c>
      <c r="L83" s="6">
        <v>6</v>
      </c>
      <c r="M83" s="11">
        <v>45341</v>
      </c>
      <c r="N83" s="11">
        <v>45371</v>
      </c>
    </row>
    <row r="84" spans="1:14" x14ac:dyDescent="0.25">
      <c r="A84" s="2">
        <v>2465</v>
      </c>
      <c r="B84" s="2">
        <v>3638</v>
      </c>
      <c r="C84" s="4" t="s">
        <v>10</v>
      </c>
      <c r="D84" s="2">
        <v>0</v>
      </c>
      <c r="E84" s="2">
        <v>40</v>
      </c>
      <c r="F84" s="5">
        <v>0</v>
      </c>
      <c r="G84" s="2" t="b">
        <v>1</v>
      </c>
      <c r="H84" s="2">
        <v>1524</v>
      </c>
      <c r="I84" s="2" t="b">
        <v>0</v>
      </c>
      <c r="J84" s="2" t="b">
        <v>0</v>
      </c>
      <c r="K84" s="2">
        <v>0</v>
      </c>
      <c r="L84" s="6">
        <v>6</v>
      </c>
      <c r="M84" s="11">
        <v>45328</v>
      </c>
      <c r="N84" s="11">
        <v>45358</v>
      </c>
    </row>
    <row r="85" spans="1:14" x14ac:dyDescent="0.25">
      <c r="A85" s="2">
        <v>2466</v>
      </c>
      <c r="B85" s="2">
        <v>2822</v>
      </c>
      <c r="C85" s="4" t="s">
        <v>10</v>
      </c>
      <c r="D85" s="2">
        <v>0</v>
      </c>
      <c r="E85" s="2">
        <v>20</v>
      </c>
      <c r="F85" s="5">
        <v>0</v>
      </c>
      <c r="G85" s="2" t="b">
        <v>1</v>
      </c>
      <c r="H85" s="2">
        <v>640</v>
      </c>
      <c r="I85" s="2" t="b">
        <v>1</v>
      </c>
      <c r="J85" s="2" t="b">
        <v>0</v>
      </c>
      <c r="K85" s="2">
        <v>0</v>
      </c>
      <c r="L85" s="6">
        <v>6</v>
      </c>
      <c r="M85" s="11">
        <v>45335</v>
      </c>
      <c r="N85" s="11">
        <v>45365</v>
      </c>
    </row>
    <row r="86" spans="1:14" x14ac:dyDescent="0.25">
      <c r="A86" s="2">
        <v>2467</v>
      </c>
      <c r="B86" s="2">
        <v>3671</v>
      </c>
      <c r="C86" s="4" t="s">
        <v>10</v>
      </c>
      <c r="D86" s="2">
        <v>0</v>
      </c>
      <c r="E86" s="2">
        <v>14</v>
      </c>
      <c r="F86" s="5">
        <v>0</v>
      </c>
      <c r="G86" s="2" t="b">
        <v>1</v>
      </c>
      <c r="H86" s="2">
        <v>640</v>
      </c>
      <c r="I86" s="2" t="b">
        <v>1</v>
      </c>
      <c r="J86" s="2" t="b">
        <v>0</v>
      </c>
      <c r="K86" s="2">
        <v>0</v>
      </c>
      <c r="L86" s="6">
        <v>6</v>
      </c>
      <c r="M86" s="11">
        <v>45331</v>
      </c>
      <c r="N86" s="11">
        <v>45361</v>
      </c>
    </row>
    <row r="87" spans="1:14" x14ac:dyDescent="0.25">
      <c r="A87" s="2">
        <v>2468</v>
      </c>
      <c r="B87" s="2">
        <v>2962</v>
      </c>
      <c r="C87" s="4" t="s">
        <v>10</v>
      </c>
      <c r="D87" s="2">
        <v>0</v>
      </c>
      <c r="E87" s="2">
        <v>60</v>
      </c>
      <c r="F87" s="5">
        <v>0</v>
      </c>
      <c r="G87" s="2" t="b">
        <v>1</v>
      </c>
      <c r="H87" s="2">
        <v>1524</v>
      </c>
      <c r="I87" s="2" t="b">
        <v>0</v>
      </c>
      <c r="J87" s="2" t="b">
        <v>0</v>
      </c>
      <c r="K87" s="2">
        <v>0</v>
      </c>
      <c r="L87" s="6">
        <v>6</v>
      </c>
      <c r="M87" s="11">
        <v>45333</v>
      </c>
      <c r="N87" s="11">
        <v>45363</v>
      </c>
    </row>
    <row r="88" spans="1:14" x14ac:dyDescent="0.25">
      <c r="A88" s="2">
        <v>2469</v>
      </c>
      <c r="B88" s="2">
        <v>887</v>
      </c>
      <c r="C88" s="4" t="s">
        <v>10</v>
      </c>
      <c r="D88" s="2">
        <v>0</v>
      </c>
      <c r="E88" s="2">
        <v>0</v>
      </c>
      <c r="F88" s="5">
        <v>0</v>
      </c>
      <c r="G88" s="2" t="b">
        <v>1</v>
      </c>
      <c r="H88" s="2">
        <v>1524</v>
      </c>
      <c r="I88" s="2" t="b">
        <v>0</v>
      </c>
      <c r="J88" s="2" t="b">
        <v>0</v>
      </c>
      <c r="K88" s="2">
        <v>0</v>
      </c>
      <c r="L88" s="6">
        <v>6</v>
      </c>
      <c r="M88" s="11">
        <v>45333</v>
      </c>
      <c r="N88" s="11">
        <v>45363</v>
      </c>
    </row>
    <row r="89" spans="1:14" x14ac:dyDescent="0.25">
      <c r="A89" s="2">
        <v>2470</v>
      </c>
      <c r="B89" s="2">
        <v>1548</v>
      </c>
      <c r="C89" s="4" t="s">
        <v>10</v>
      </c>
      <c r="D89" s="2">
        <v>0</v>
      </c>
      <c r="E89" s="2">
        <v>0</v>
      </c>
      <c r="F89" s="5">
        <v>0.1</v>
      </c>
      <c r="G89" s="2" t="b">
        <v>1</v>
      </c>
      <c r="H89" s="2">
        <v>1524</v>
      </c>
      <c r="I89" s="2" t="b">
        <v>0</v>
      </c>
      <c r="J89" s="2" t="b">
        <v>0</v>
      </c>
      <c r="K89" s="2">
        <v>0</v>
      </c>
      <c r="L89" s="6">
        <v>6</v>
      </c>
      <c r="M89" s="11">
        <v>45334</v>
      </c>
      <c r="N89" s="11">
        <v>45364</v>
      </c>
    </row>
    <row r="90" spans="1:14" x14ac:dyDescent="0.25">
      <c r="A90" s="2">
        <v>2471</v>
      </c>
      <c r="B90" s="2">
        <v>3620</v>
      </c>
      <c r="C90" s="4" t="s">
        <v>10</v>
      </c>
      <c r="D90" s="2">
        <v>0</v>
      </c>
      <c r="E90" s="2">
        <v>0</v>
      </c>
      <c r="F90" s="5">
        <v>0.03</v>
      </c>
      <c r="G90" s="2" t="b">
        <v>1</v>
      </c>
      <c r="H90" s="2">
        <v>1524</v>
      </c>
      <c r="I90" s="2" t="b">
        <v>0</v>
      </c>
      <c r="J90" s="2" t="b">
        <v>0</v>
      </c>
      <c r="K90" s="2">
        <v>0</v>
      </c>
      <c r="L90" s="6">
        <v>6</v>
      </c>
      <c r="M90" s="11">
        <v>45334</v>
      </c>
      <c r="N90" s="11">
        <v>45364</v>
      </c>
    </row>
    <row r="91" spans="1:14" x14ac:dyDescent="0.25">
      <c r="A91" s="2">
        <v>2472</v>
      </c>
      <c r="B91" s="2">
        <v>2399</v>
      </c>
      <c r="C91" s="4" t="s">
        <v>10</v>
      </c>
      <c r="D91" s="2">
        <v>0</v>
      </c>
      <c r="E91" s="2">
        <v>0</v>
      </c>
      <c r="F91" s="5">
        <v>0</v>
      </c>
      <c r="G91" s="2" t="b">
        <v>1</v>
      </c>
      <c r="H91" s="2">
        <v>1524</v>
      </c>
      <c r="I91" s="2" t="b">
        <v>0</v>
      </c>
      <c r="J91" s="2" t="b">
        <v>0</v>
      </c>
      <c r="K91" s="2">
        <v>0</v>
      </c>
      <c r="L91" s="6">
        <v>6</v>
      </c>
      <c r="M91" s="11">
        <v>45337</v>
      </c>
      <c r="N91" s="11">
        <v>45367</v>
      </c>
    </row>
    <row r="92" spans="1:14" x14ac:dyDescent="0.25">
      <c r="A92" s="2">
        <v>2473</v>
      </c>
      <c r="B92" s="2">
        <v>2913</v>
      </c>
      <c r="C92" s="4" t="s">
        <v>10</v>
      </c>
      <c r="D92" s="2">
        <v>1777.25</v>
      </c>
      <c r="E92" s="2">
        <v>0</v>
      </c>
      <c r="F92" s="5">
        <v>0</v>
      </c>
      <c r="G92" s="2" t="b">
        <v>1</v>
      </c>
      <c r="H92" s="2">
        <v>1524</v>
      </c>
      <c r="I92" s="2" t="b">
        <v>0</v>
      </c>
      <c r="J92" s="2" t="b">
        <v>0</v>
      </c>
      <c r="K92" s="2">
        <v>0</v>
      </c>
      <c r="L92" s="6">
        <v>6</v>
      </c>
      <c r="M92" s="11">
        <v>45340</v>
      </c>
      <c r="N92" s="11">
        <v>45370</v>
      </c>
    </row>
    <row r="93" spans="1:14" x14ac:dyDescent="0.25">
      <c r="A93" s="2">
        <v>2474</v>
      </c>
      <c r="B93" s="2">
        <v>1745</v>
      </c>
      <c r="C93" s="4" t="s">
        <v>10</v>
      </c>
      <c r="D93" s="2">
        <v>0</v>
      </c>
      <c r="E93" s="2">
        <v>0</v>
      </c>
      <c r="F93" s="5">
        <v>0</v>
      </c>
      <c r="G93" s="2" t="b">
        <v>1</v>
      </c>
      <c r="H93" s="2">
        <v>1524</v>
      </c>
      <c r="I93" s="2" t="b">
        <v>0</v>
      </c>
      <c r="J93" s="2" t="b">
        <v>0</v>
      </c>
      <c r="K93" s="2">
        <v>0</v>
      </c>
      <c r="L93" s="6">
        <v>6</v>
      </c>
      <c r="M93" s="11">
        <v>45340</v>
      </c>
      <c r="N93" s="11">
        <v>45370</v>
      </c>
    </row>
    <row r="94" spans="1:14" x14ac:dyDescent="0.25">
      <c r="A94" s="2">
        <v>2475</v>
      </c>
      <c r="B94" s="2">
        <v>2319</v>
      </c>
      <c r="C94" s="4" t="s">
        <v>10</v>
      </c>
      <c r="D94" s="2">
        <v>2000</v>
      </c>
      <c r="E94" s="2">
        <v>0</v>
      </c>
      <c r="F94" s="5">
        <v>0.1</v>
      </c>
      <c r="G94" s="2" t="b">
        <v>1</v>
      </c>
      <c r="H94" s="2">
        <v>1524</v>
      </c>
      <c r="I94" s="2" t="b">
        <v>0</v>
      </c>
      <c r="J94" s="2" t="b">
        <v>0</v>
      </c>
      <c r="K94" s="2">
        <v>0</v>
      </c>
      <c r="L94" s="6">
        <v>6</v>
      </c>
      <c r="M94" s="11">
        <v>45342</v>
      </c>
      <c r="N94" s="11">
        <v>45372</v>
      </c>
    </row>
    <row r="95" spans="1:14" x14ac:dyDescent="0.25">
      <c r="A95" s="2">
        <v>2476</v>
      </c>
      <c r="B95" s="2">
        <v>2765</v>
      </c>
      <c r="C95" s="4" t="s">
        <v>10</v>
      </c>
      <c r="D95" s="2">
        <v>0</v>
      </c>
      <c r="E95" s="2">
        <v>0</v>
      </c>
      <c r="F95" s="5">
        <v>0</v>
      </c>
      <c r="G95" s="2" t="b">
        <v>1</v>
      </c>
      <c r="H95" s="2">
        <v>1524</v>
      </c>
      <c r="I95" s="2" t="b">
        <v>0</v>
      </c>
      <c r="J95" s="2" t="b">
        <v>0</v>
      </c>
      <c r="K95" s="2">
        <v>0</v>
      </c>
      <c r="L95" s="6">
        <v>6</v>
      </c>
      <c r="M95" s="11">
        <v>45342</v>
      </c>
      <c r="N95" s="11">
        <v>45372</v>
      </c>
    </row>
    <row r="96" spans="1:14" x14ac:dyDescent="0.25">
      <c r="A96" s="2">
        <v>2477</v>
      </c>
      <c r="B96" s="2">
        <v>2928</v>
      </c>
      <c r="C96" s="4" t="s">
        <v>10</v>
      </c>
      <c r="D96" s="2">
        <v>0</v>
      </c>
      <c r="E96" s="2">
        <v>0</v>
      </c>
      <c r="F96" s="5">
        <v>0.1</v>
      </c>
      <c r="G96" s="2" t="b">
        <v>1</v>
      </c>
      <c r="H96" s="2">
        <v>1524</v>
      </c>
      <c r="I96" s="2" t="b">
        <v>0</v>
      </c>
      <c r="J96" s="2" t="b">
        <v>0</v>
      </c>
      <c r="K96" s="2">
        <v>0</v>
      </c>
      <c r="L96" s="6">
        <v>6</v>
      </c>
      <c r="M96" s="11">
        <v>45346</v>
      </c>
      <c r="N96" s="11">
        <v>45376</v>
      </c>
    </row>
    <row r="97" spans="1:14" x14ac:dyDescent="0.25">
      <c r="A97" s="2">
        <v>2478</v>
      </c>
      <c r="B97" s="2">
        <v>3677</v>
      </c>
      <c r="C97" s="4" t="s">
        <v>10</v>
      </c>
      <c r="D97" s="2">
        <v>0</v>
      </c>
      <c r="E97" s="2">
        <v>45</v>
      </c>
      <c r="F97" s="5">
        <v>0</v>
      </c>
      <c r="G97" s="2" t="b">
        <v>1</v>
      </c>
      <c r="H97" s="2">
        <v>1524</v>
      </c>
      <c r="I97" s="2" t="b">
        <v>1</v>
      </c>
      <c r="J97" s="2" t="b">
        <v>0</v>
      </c>
      <c r="K97" s="2">
        <v>0</v>
      </c>
      <c r="L97" s="6">
        <v>6</v>
      </c>
      <c r="M97" s="11">
        <v>45348</v>
      </c>
      <c r="N97" s="11">
        <v>45378</v>
      </c>
    </row>
    <row r="98" spans="1:14" x14ac:dyDescent="0.25">
      <c r="A98" s="2">
        <v>2479</v>
      </c>
      <c r="B98" s="2">
        <v>798</v>
      </c>
      <c r="C98" s="4" t="s">
        <v>10</v>
      </c>
      <c r="D98" s="2">
        <v>235</v>
      </c>
      <c r="E98" s="2">
        <v>0</v>
      </c>
      <c r="F98" s="5">
        <v>0</v>
      </c>
      <c r="G98" s="2" t="b">
        <v>1</v>
      </c>
      <c r="H98" s="2">
        <v>1524</v>
      </c>
      <c r="I98" s="2" t="b">
        <v>0</v>
      </c>
      <c r="J98" s="2" t="b">
        <v>0</v>
      </c>
      <c r="K98" s="2">
        <v>0</v>
      </c>
      <c r="L98" s="6">
        <v>6</v>
      </c>
      <c r="M98" s="11">
        <v>45351</v>
      </c>
      <c r="N98" s="11">
        <v>45381</v>
      </c>
    </row>
    <row r="99" spans="1:14" x14ac:dyDescent="0.25">
      <c r="A99" s="2">
        <v>2480</v>
      </c>
      <c r="B99" s="2">
        <v>593</v>
      </c>
      <c r="C99" s="4" t="s">
        <v>10</v>
      </c>
      <c r="D99" s="2">
        <v>0</v>
      </c>
      <c r="E99" s="2">
        <v>0</v>
      </c>
      <c r="F99" s="5">
        <v>0</v>
      </c>
      <c r="G99" s="2" t="b">
        <v>1</v>
      </c>
      <c r="H99" s="2">
        <v>1524</v>
      </c>
      <c r="I99" s="2" t="b">
        <v>1</v>
      </c>
      <c r="J99" s="2" t="b">
        <v>0</v>
      </c>
      <c r="K99" s="2">
        <v>0</v>
      </c>
      <c r="L99" s="6">
        <v>6</v>
      </c>
      <c r="M99" s="11">
        <v>45355</v>
      </c>
      <c r="N99" s="11">
        <v>45385</v>
      </c>
    </row>
    <row r="100" spans="1:14" x14ac:dyDescent="0.25">
      <c r="A100" s="2">
        <v>2481</v>
      </c>
      <c r="B100" s="2">
        <v>2974</v>
      </c>
      <c r="C100" s="4" t="s">
        <v>10</v>
      </c>
      <c r="D100" s="2">
        <v>0</v>
      </c>
      <c r="E100" s="2">
        <v>14</v>
      </c>
      <c r="F100" s="5">
        <v>0</v>
      </c>
      <c r="G100" s="2" t="b">
        <v>1</v>
      </c>
      <c r="H100" s="2">
        <v>640</v>
      </c>
      <c r="I100" s="2" t="b">
        <v>1</v>
      </c>
      <c r="J100" s="2" t="b">
        <v>0</v>
      </c>
      <c r="K100" s="2">
        <v>0</v>
      </c>
      <c r="L100" s="6">
        <v>6</v>
      </c>
      <c r="M100" s="11">
        <v>45357</v>
      </c>
      <c r="N100" s="11">
        <v>45387</v>
      </c>
    </row>
    <row r="101" spans="1:14" x14ac:dyDescent="0.25">
      <c r="A101" s="2">
        <v>2482</v>
      </c>
      <c r="B101" s="2">
        <v>2818</v>
      </c>
      <c r="C101" s="4" t="s">
        <v>10</v>
      </c>
      <c r="D101" s="2">
        <v>0</v>
      </c>
      <c r="E101" s="2">
        <v>14</v>
      </c>
      <c r="F101" s="5">
        <v>0</v>
      </c>
      <c r="G101" s="2" t="b">
        <v>1</v>
      </c>
      <c r="H101" s="2">
        <v>640</v>
      </c>
      <c r="I101" s="2" t="b">
        <v>1</v>
      </c>
      <c r="J101" s="2" t="b">
        <v>0</v>
      </c>
      <c r="K101" s="2">
        <v>0</v>
      </c>
      <c r="L101" s="6">
        <v>6</v>
      </c>
      <c r="M101" s="11">
        <v>45357</v>
      </c>
      <c r="N101" s="11">
        <v>45387</v>
      </c>
    </row>
    <row r="102" spans="1:14" x14ac:dyDescent="0.25">
      <c r="A102" s="2">
        <v>2483</v>
      </c>
      <c r="B102" s="2">
        <v>1745</v>
      </c>
      <c r="C102" s="4" t="s">
        <v>10</v>
      </c>
      <c r="D102" s="2">
        <v>0</v>
      </c>
      <c r="E102" s="2">
        <v>0</v>
      </c>
      <c r="F102" s="5">
        <v>0</v>
      </c>
      <c r="G102" s="2" t="b">
        <v>1</v>
      </c>
      <c r="H102" s="2">
        <v>1524</v>
      </c>
      <c r="I102" s="2" t="b">
        <v>0</v>
      </c>
      <c r="J102" s="2" t="b">
        <v>0</v>
      </c>
      <c r="K102" s="2">
        <v>0</v>
      </c>
      <c r="L102" s="6">
        <v>6</v>
      </c>
      <c r="M102" s="11">
        <v>45379</v>
      </c>
      <c r="N102" s="11">
        <v>45409</v>
      </c>
    </row>
    <row r="103" spans="1:14" x14ac:dyDescent="0.25">
      <c r="A103" s="2">
        <v>2484</v>
      </c>
      <c r="B103" s="2">
        <v>2496</v>
      </c>
      <c r="C103" s="4" t="s">
        <v>10</v>
      </c>
      <c r="D103" s="2">
        <v>0</v>
      </c>
      <c r="E103" s="2">
        <v>0</v>
      </c>
      <c r="F103" s="5">
        <v>0</v>
      </c>
      <c r="G103" s="2" t="b">
        <v>1</v>
      </c>
      <c r="H103" s="2">
        <v>1524</v>
      </c>
      <c r="I103" s="2" t="b">
        <v>0</v>
      </c>
      <c r="J103" s="2" t="b">
        <v>0</v>
      </c>
      <c r="K103" s="2">
        <v>0</v>
      </c>
      <c r="L103" s="6">
        <v>6</v>
      </c>
      <c r="M103" s="11">
        <v>45379</v>
      </c>
      <c r="N103" s="11">
        <v>45409</v>
      </c>
    </row>
    <row r="104" spans="1:14" x14ac:dyDescent="0.25">
      <c r="A104" s="2">
        <v>2485</v>
      </c>
      <c r="B104" s="2">
        <v>1493</v>
      </c>
      <c r="C104" s="4" t="s">
        <v>10</v>
      </c>
      <c r="D104" s="2">
        <v>0</v>
      </c>
      <c r="E104" s="2">
        <v>14</v>
      </c>
      <c r="F104" s="5">
        <v>0</v>
      </c>
      <c r="G104" s="2" t="b">
        <v>1</v>
      </c>
      <c r="H104" s="2">
        <v>640</v>
      </c>
      <c r="I104" s="2" t="b">
        <v>1</v>
      </c>
      <c r="J104" s="2" t="b">
        <v>0</v>
      </c>
      <c r="K104" s="2">
        <v>0</v>
      </c>
      <c r="L104" s="6">
        <v>6</v>
      </c>
      <c r="M104" s="11">
        <v>45385</v>
      </c>
      <c r="N104" s="11">
        <v>45415</v>
      </c>
    </row>
    <row r="105" spans="1:14" x14ac:dyDescent="0.25">
      <c r="A105" s="2">
        <v>2486</v>
      </c>
      <c r="B105" s="2">
        <v>1277</v>
      </c>
      <c r="C105" s="4" t="s">
        <v>10</v>
      </c>
      <c r="D105" s="2">
        <v>0</v>
      </c>
      <c r="E105" s="2">
        <v>0</v>
      </c>
      <c r="F105" s="5">
        <v>0.2</v>
      </c>
      <c r="G105" s="2" t="b">
        <v>1</v>
      </c>
      <c r="H105" s="2">
        <v>1524</v>
      </c>
      <c r="I105" s="2" t="b">
        <v>0</v>
      </c>
      <c r="J105" s="2" t="b">
        <v>0</v>
      </c>
      <c r="K105" s="2">
        <v>0</v>
      </c>
      <c r="L105" s="6">
        <v>6</v>
      </c>
      <c r="M105" s="11">
        <v>45393</v>
      </c>
      <c r="N105" s="11">
        <v>45423</v>
      </c>
    </row>
    <row r="106" spans="1:14" x14ac:dyDescent="0.25">
      <c r="A106" s="2">
        <v>2487</v>
      </c>
      <c r="B106" s="2">
        <v>3620</v>
      </c>
      <c r="C106" s="4" t="s">
        <v>10</v>
      </c>
      <c r="D106" s="2">
        <v>0</v>
      </c>
      <c r="E106" s="2">
        <v>0</v>
      </c>
      <c r="F106" s="5">
        <v>0.2</v>
      </c>
      <c r="G106" s="2" t="b">
        <v>1</v>
      </c>
      <c r="H106" s="2">
        <v>1524</v>
      </c>
      <c r="I106" s="2" t="b">
        <v>0</v>
      </c>
      <c r="J106" s="2" t="b">
        <v>0</v>
      </c>
      <c r="K106" s="2">
        <v>0</v>
      </c>
      <c r="L106" s="6">
        <v>6</v>
      </c>
      <c r="M106" s="11">
        <v>45393</v>
      </c>
      <c r="N106" s="11">
        <v>45423</v>
      </c>
    </row>
    <row r="107" spans="1:14" x14ac:dyDescent="0.25">
      <c r="A107" s="2">
        <v>2488</v>
      </c>
      <c r="B107" s="2">
        <v>2926</v>
      </c>
      <c r="C107" s="4" t="s">
        <v>10</v>
      </c>
      <c r="D107" s="2">
        <v>0</v>
      </c>
      <c r="E107" s="2">
        <v>0</v>
      </c>
      <c r="F107" s="5">
        <v>0</v>
      </c>
      <c r="G107" s="2" t="b">
        <v>1</v>
      </c>
      <c r="H107" s="2">
        <v>640</v>
      </c>
      <c r="I107" s="2" t="b">
        <v>1</v>
      </c>
      <c r="J107" s="2" t="b">
        <v>0</v>
      </c>
      <c r="K107" s="2">
        <v>0</v>
      </c>
      <c r="L107" s="6">
        <v>6</v>
      </c>
      <c r="M107" s="11">
        <v>45393</v>
      </c>
      <c r="N107" s="11">
        <v>45423</v>
      </c>
    </row>
    <row r="108" spans="1:14" x14ac:dyDescent="0.25">
      <c r="A108" s="2">
        <v>2489</v>
      </c>
      <c r="B108" s="2">
        <v>1559</v>
      </c>
      <c r="C108" s="4" t="s">
        <v>10</v>
      </c>
      <c r="D108" s="2">
        <v>0</v>
      </c>
      <c r="E108" s="2">
        <v>39</v>
      </c>
      <c r="F108" s="5">
        <v>0.2</v>
      </c>
      <c r="G108" s="2" t="b">
        <v>1</v>
      </c>
      <c r="H108" s="2">
        <v>1524</v>
      </c>
      <c r="I108" s="2" t="b">
        <v>0</v>
      </c>
      <c r="J108" s="2" t="b">
        <v>0</v>
      </c>
      <c r="K108" s="2">
        <v>0</v>
      </c>
      <c r="L108" s="6">
        <v>6</v>
      </c>
      <c r="M108" s="11">
        <v>45394</v>
      </c>
      <c r="N108" s="11">
        <v>45424</v>
      </c>
    </row>
    <row r="109" spans="1:14" x14ac:dyDescent="0.25">
      <c r="A109" s="2">
        <v>2490</v>
      </c>
      <c r="B109" s="2">
        <v>2962</v>
      </c>
      <c r="C109" s="4" t="s">
        <v>10</v>
      </c>
      <c r="D109" s="2">
        <v>0</v>
      </c>
      <c r="E109" s="2">
        <v>465</v>
      </c>
      <c r="F109" s="5">
        <v>0</v>
      </c>
      <c r="G109" s="2" t="b">
        <v>1</v>
      </c>
      <c r="H109" s="2">
        <v>1524</v>
      </c>
      <c r="I109" s="2" t="b">
        <v>0</v>
      </c>
      <c r="J109" s="2" t="b">
        <v>0</v>
      </c>
      <c r="K109" s="2">
        <v>0</v>
      </c>
      <c r="L109" s="6">
        <v>6</v>
      </c>
      <c r="M109" s="11">
        <v>45397</v>
      </c>
      <c r="N109" s="11">
        <v>45427</v>
      </c>
    </row>
    <row r="110" spans="1:14" x14ac:dyDescent="0.25">
      <c r="A110" s="2">
        <v>2491</v>
      </c>
      <c r="B110" s="2">
        <v>2913</v>
      </c>
      <c r="C110" s="4" t="s">
        <v>10</v>
      </c>
      <c r="D110" s="2">
        <v>0</v>
      </c>
      <c r="E110" s="2">
        <v>0</v>
      </c>
      <c r="F110" s="5">
        <v>0.1</v>
      </c>
      <c r="G110" s="2" t="b">
        <v>1</v>
      </c>
      <c r="H110" s="2">
        <v>1524</v>
      </c>
      <c r="I110" s="2" t="b">
        <v>0</v>
      </c>
      <c r="J110" s="2" t="b">
        <v>0</v>
      </c>
      <c r="K110" s="2">
        <v>0</v>
      </c>
      <c r="L110" s="6">
        <v>6</v>
      </c>
      <c r="M110" s="11">
        <v>45397</v>
      </c>
      <c r="N110" s="11">
        <v>45427</v>
      </c>
    </row>
    <row r="111" spans="1:14" x14ac:dyDescent="0.25">
      <c r="A111" s="2">
        <v>2492</v>
      </c>
      <c r="B111" s="2">
        <v>798</v>
      </c>
      <c r="C111" s="4" t="s">
        <v>10</v>
      </c>
      <c r="D111" s="2">
        <v>0</v>
      </c>
      <c r="E111" s="2">
        <v>0</v>
      </c>
      <c r="F111" s="5">
        <v>0.2</v>
      </c>
      <c r="G111" s="2" t="b">
        <v>1</v>
      </c>
      <c r="H111" s="2">
        <v>1524</v>
      </c>
      <c r="I111" s="2" t="b">
        <v>0</v>
      </c>
      <c r="J111" s="2" t="b">
        <v>0</v>
      </c>
      <c r="K111" s="2">
        <v>0</v>
      </c>
      <c r="L111" s="6">
        <v>6</v>
      </c>
      <c r="M111" s="11">
        <v>45397</v>
      </c>
      <c r="N111" s="11">
        <v>45427</v>
      </c>
    </row>
    <row r="112" spans="1:14" x14ac:dyDescent="0.25">
      <c r="A112" s="2">
        <v>2493</v>
      </c>
      <c r="B112" s="2">
        <v>2829</v>
      </c>
      <c r="C112" s="4" t="s">
        <v>10</v>
      </c>
      <c r="D112" s="2">
        <v>0</v>
      </c>
      <c r="E112" s="2">
        <v>0</v>
      </c>
      <c r="F112" s="5">
        <v>0.2</v>
      </c>
      <c r="G112" s="2" t="b">
        <v>1</v>
      </c>
      <c r="H112" s="2">
        <v>1524</v>
      </c>
      <c r="I112" s="2" t="b">
        <v>1</v>
      </c>
      <c r="J112" s="2" t="b">
        <v>0</v>
      </c>
      <c r="K112" s="2">
        <v>0</v>
      </c>
      <c r="L112" s="6">
        <v>6</v>
      </c>
      <c r="M112" s="11">
        <v>45399</v>
      </c>
      <c r="N112" s="11">
        <v>45429</v>
      </c>
    </row>
    <row r="113" spans="1:14" x14ac:dyDescent="0.25">
      <c r="A113" s="2">
        <v>2494</v>
      </c>
      <c r="B113" s="2">
        <v>1548</v>
      </c>
      <c r="C113" s="4" t="s">
        <v>10</v>
      </c>
      <c r="D113" s="2">
        <v>0</v>
      </c>
      <c r="E113" s="2">
        <v>0</v>
      </c>
      <c r="F113" s="5">
        <v>0.2</v>
      </c>
      <c r="G113" s="2" t="b">
        <v>1</v>
      </c>
      <c r="H113" s="2">
        <v>1524</v>
      </c>
      <c r="I113" s="2" t="b">
        <v>0</v>
      </c>
      <c r="J113" s="2" t="b">
        <v>0</v>
      </c>
      <c r="K113" s="2">
        <v>0</v>
      </c>
      <c r="L113" s="6">
        <v>6</v>
      </c>
      <c r="M113" s="11">
        <v>45400</v>
      </c>
      <c r="N113" s="11">
        <v>45430</v>
      </c>
    </row>
    <row r="114" spans="1:14" x14ac:dyDescent="0.25">
      <c r="A114" s="2">
        <v>2495</v>
      </c>
      <c r="B114" s="2">
        <v>3668</v>
      </c>
      <c r="C114" s="4" t="s">
        <v>10</v>
      </c>
      <c r="D114" s="2">
        <v>0</v>
      </c>
      <c r="E114" s="2">
        <v>0</v>
      </c>
      <c r="F114" s="5">
        <v>0</v>
      </c>
      <c r="G114" s="2" t="b">
        <v>1</v>
      </c>
      <c r="H114" s="2">
        <v>1524</v>
      </c>
      <c r="I114" s="2" t="b">
        <v>0</v>
      </c>
      <c r="J114" s="2" t="b">
        <v>0</v>
      </c>
      <c r="K114" s="2">
        <v>0</v>
      </c>
      <c r="L114" s="6">
        <v>6</v>
      </c>
      <c r="M114" s="11">
        <v>45401</v>
      </c>
      <c r="N114" s="11">
        <v>45431</v>
      </c>
    </row>
    <row r="115" spans="1:14" x14ac:dyDescent="0.25">
      <c r="A115" s="2">
        <v>2496</v>
      </c>
      <c r="B115" s="2">
        <v>3633</v>
      </c>
      <c r="C115" s="4" t="s">
        <v>10</v>
      </c>
      <c r="D115" s="2">
        <v>0</v>
      </c>
      <c r="E115" s="2">
        <v>0</v>
      </c>
      <c r="F115" s="5">
        <v>0</v>
      </c>
      <c r="G115" s="2" t="b">
        <v>1</v>
      </c>
      <c r="H115" s="2">
        <v>640</v>
      </c>
      <c r="I115" s="2" t="b">
        <v>1</v>
      </c>
      <c r="J115" s="2" t="b">
        <v>0</v>
      </c>
      <c r="K115" s="2">
        <v>0</v>
      </c>
      <c r="L115" s="6">
        <v>6</v>
      </c>
      <c r="M115" s="11">
        <v>45411</v>
      </c>
      <c r="N115" s="11">
        <v>45441</v>
      </c>
    </row>
    <row r="116" spans="1:14" x14ac:dyDescent="0.25">
      <c r="A116" s="2">
        <v>2497</v>
      </c>
      <c r="B116" s="2">
        <v>3680</v>
      </c>
      <c r="C116" s="4" t="s">
        <v>10</v>
      </c>
      <c r="D116" s="2">
        <v>0</v>
      </c>
      <c r="E116" s="2">
        <v>0</v>
      </c>
      <c r="F116" s="5">
        <v>0</v>
      </c>
      <c r="G116" s="2" t="b">
        <v>1</v>
      </c>
      <c r="H116" s="2">
        <v>640</v>
      </c>
      <c r="I116" s="2" t="b">
        <v>1</v>
      </c>
      <c r="J116" s="2" t="b">
        <v>0</v>
      </c>
      <c r="K116" s="2">
        <v>0</v>
      </c>
      <c r="L116" s="6">
        <v>6</v>
      </c>
      <c r="M116" s="11">
        <v>45415</v>
      </c>
      <c r="N116" s="11">
        <v>45445</v>
      </c>
    </row>
    <row r="117" spans="1:14" x14ac:dyDescent="0.25">
      <c r="A117" s="2">
        <v>2498</v>
      </c>
      <c r="B117" s="2">
        <v>963</v>
      </c>
      <c r="C117" s="4" t="s">
        <v>10</v>
      </c>
      <c r="D117" s="2">
        <v>0</v>
      </c>
      <c r="E117" s="2">
        <v>0</v>
      </c>
      <c r="F117" s="5">
        <v>0</v>
      </c>
      <c r="G117" s="2" t="b">
        <v>1</v>
      </c>
      <c r="H117" s="2">
        <v>1524</v>
      </c>
      <c r="I117" s="2" t="b">
        <v>0</v>
      </c>
      <c r="J117" s="2" t="b">
        <v>0</v>
      </c>
      <c r="K117" s="2">
        <v>0</v>
      </c>
      <c r="L117" s="6">
        <v>6</v>
      </c>
      <c r="M117" s="11">
        <v>45439</v>
      </c>
      <c r="N117" s="11">
        <v>45469</v>
      </c>
    </row>
    <row r="118" spans="1:14" x14ac:dyDescent="0.25">
      <c r="A118" s="2">
        <v>2499</v>
      </c>
      <c r="B118" s="2">
        <v>1095</v>
      </c>
      <c r="C118" s="4" t="s">
        <v>10</v>
      </c>
      <c r="D118" s="2">
        <v>0</v>
      </c>
      <c r="E118" s="2">
        <v>400</v>
      </c>
      <c r="F118" s="5">
        <v>0</v>
      </c>
      <c r="G118" s="2" t="b">
        <v>1</v>
      </c>
      <c r="H118" s="2">
        <v>1524</v>
      </c>
      <c r="I118" s="2" t="b">
        <v>0</v>
      </c>
      <c r="J118" s="2" t="b">
        <v>0</v>
      </c>
      <c r="K118" s="2">
        <v>0</v>
      </c>
      <c r="L118" s="6">
        <v>6</v>
      </c>
      <c r="M118" s="11">
        <v>45439</v>
      </c>
      <c r="N118" s="11">
        <v>45469</v>
      </c>
    </row>
    <row r="119" spans="1:14" x14ac:dyDescent="0.25">
      <c r="A119" s="2">
        <v>2500</v>
      </c>
      <c r="B119" s="2">
        <v>1482</v>
      </c>
      <c r="C119" s="4" t="s">
        <v>10</v>
      </c>
      <c r="D119" s="2">
        <v>0</v>
      </c>
      <c r="E119" s="2">
        <v>14</v>
      </c>
      <c r="F119" s="5">
        <v>0</v>
      </c>
      <c r="G119" s="2" t="b">
        <v>1</v>
      </c>
      <c r="H119" s="2">
        <v>640</v>
      </c>
      <c r="I119" s="2" t="b">
        <v>1</v>
      </c>
      <c r="J119" s="2" t="b">
        <v>0</v>
      </c>
      <c r="K119" s="2">
        <v>0</v>
      </c>
      <c r="L119" s="6">
        <v>6</v>
      </c>
      <c r="M119" s="11">
        <v>45426</v>
      </c>
      <c r="N119" s="11">
        <v>45456</v>
      </c>
    </row>
    <row r="120" spans="1:14" x14ac:dyDescent="0.25">
      <c r="A120" s="2">
        <v>2501</v>
      </c>
      <c r="B120" s="2">
        <v>1989</v>
      </c>
      <c r="C120" s="4" t="s">
        <v>10</v>
      </c>
      <c r="D120" s="2">
        <v>0</v>
      </c>
      <c r="E120" s="2">
        <v>0</v>
      </c>
      <c r="F120" s="5">
        <v>0</v>
      </c>
      <c r="G120" s="2" t="b">
        <v>1</v>
      </c>
      <c r="H120" s="2">
        <v>1524</v>
      </c>
      <c r="I120" s="2" t="b">
        <v>0</v>
      </c>
      <c r="J120" s="2" t="b">
        <v>0</v>
      </c>
      <c r="K120" s="2">
        <v>0</v>
      </c>
      <c r="L120" s="6">
        <v>6</v>
      </c>
      <c r="M120" s="11">
        <v>45435</v>
      </c>
      <c r="N120" s="11">
        <v>45465</v>
      </c>
    </row>
    <row r="121" spans="1:14" x14ac:dyDescent="0.25">
      <c r="A121" s="2">
        <v>2502</v>
      </c>
      <c r="B121" s="2">
        <v>2765</v>
      </c>
      <c r="C121" s="4" t="s">
        <v>10</v>
      </c>
      <c r="D121" s="2">
        <v>0</v>
      </c>
      <c r="E121" s="2">
        <v>0</v>
      </c>
      <c r="F121" s="5">
        <v>0</v>
      </c>
      <c r="G121" s="2" t="b">
        <v>1</v>
      </c>
      <c r="H121" s="2">
        <v>1524</v>
      </c>
      <c r="I121" s="2" t="b">
        <v>1</v>
      </c>
      <c r="J121" s="2" t="b">
        <v>0</v>
      </c>
      <c r="K121" s="2">
        <v>0</v>
      </c>
      <c r="L121" s="6">
        <v>6</v>
      </c>
      <c r="M121" s="11">
        <v>45441</v>
      </c>
      <c r="N121" s="11">
        <v>45471</v>
      </c>
    </row>
    <row r="122" spans="1:14" x14ac:dyDescent="0.25">
      <c r="A122" s="2">
        <v>2503</v>
      </c>
      <c r="B122" s="2">
        <v>3681</v>
      </c>
      <c r="C122" s="4" t="s">
        <v>10</v>
      </c>
      <c r="D122" s="2">
        <v>0</v>
      </c>
      <c r="E122" s="2">
        <v>0</v>
      </c>
      <c r="F122" s="5">
        <v>0</v>
      </c>
      <c r="G122" s="2" t="b">
        <v>1</v>
      </c>
      <c r="H122" s="2">
        <v>1524</v>
      </c>
      <c r="I122" s="2" t="b">
        <v>1</v>
      </c>
      <c r="J122" s="2" t="b">
        <v>0</v>
      </c>
      <c r="K122" s="2">
        <v>0</v>
      </c>
      <c r="L122" s="6">
        <v>6</v>
      </c>
      <c r="M122" s="11">
        <v>45446</v>
      </c>
      <c r="N122" s="11">
        <v>45476</v>
      </c>
    </row>
    <row r="123" spans="1:14" x14ac:dyDescent="0.25">
      <c r="A123" s="2">
        <v>2504</v>
      </c>
      <c r="B123" s="2">
        <v>1745</v>
      </c>
      <c r="C123" s="4" t="s">
        <v>10</v>
      </c>
      <c r="D123" s="2">
        <v>2500</v>
      </c>
      <c r="E123" s="2">
        <v>0</v>
      </c>
      <c r="F123" s="5">
        <v>0</v>
      </c>
      <c r="G123" s="2" t="b">
        <v>1</v>
      </c>
      <c r="H123" s="2">
        <v>1524</v>
      </c>
      <c r="I123" s="2" t="b">
        <v>0</v>
      </c>
      <c r="J123" s="2" t="b">
        <v>0</v>
      </c>
      <c r="K123" s="2">
        <v>0</v>
      </c>
      <c r="L123" s="6">
        <v>6</v>
      </c>
      <c r="M123" s="11">
        <v>45447</v>
      </c>
      <c r="N123" s="11">
        <v>45477</v>
      </c>
    </row>
    <row r="124" spans="1:14" x14ac:dyDescent="0.25">
      <c r="A124" s="2">
        <v>2505</v>
      </c>
      <c r="B124" s="2">
        <v>798</v>
      </c>
      <c r="C124" s="4" t="s">
        <v>10</v>
      </c>
      <c r="D124" s="2">
        <v>0</v>
      </c>
      <c r="E124" s="2">
        <v>0</v>
      </c>
      <c r="F124" s="5">
        <v>0</v>
      </c>
      <c r="G124" s="2" t="b">
        <v>1</v>
      </c>
      <c r="H124" s="2">
        <v>1524</v>
      </c>
      <c r="I124" s="2" t="b">
        <v>0</v>
      </c>
      <c r="J124" s="2" t="b">
        <v>0</v>
      </c>
      <c r="K124" s="2">
        <v>0</v>
      </c>
      <c r="L124" s="6">
        <v>6</v>
      </c>
      <c r="M124" s="11">
        <v>45454</v>
      </c>
      <c r="N124" s="11">
        <v>45484</v>
      </c>
    </row>
    <row r="125" spans="1:14" x14ac:dyDescent="0.25">
      <c r="A125" s="2">
        <v>2506</v>
      </c>
      <c r="B125" s="2">
        <v>963</v>
      </c>
      <c r="C125" s="4" t="s">
        <v>10</v>
      </c>
      <c r="D125" s="2">
        <v>0</v>
      </c>
      <c r="E125" s="2">
        <v>0</v>
      </c>
      <c r="F125" s="5">
        <v>0</v>
      </c>
      <c r="G125" s="2" t="b">
        <v>1</v>
      </c>
      <c r="H125" s="2">
        <v>1524</v>
      </c>
      <c r="I125" s="2" t="b">
        <v>0</v>
      </c>
      <c r="J125" s="2" t="b">
        <v>1</v>
      </c>
      <c r="K125" s="2">
        <v>0</v>
      </c>
      <c r="L125" s="6">
        <v>6</v>
      </c>
      <c r="M125" s="11">
        <v>45456</v>
      </c>
      <c r="N125" s="11">
        <v>45486</v>
      </c>
    </row>
    <row r="126" spans="1:14" x14ac:dyDescent="0.25">
      <c r="A126" s="2">
        <v>2507</v>
      </c>
      <c r="B126" s="2">
        <v>2912</v>
      </c>
      <c r="C126" s="4" t="s">
        <v>10</v>
      </c>
      <c r="D126" s="2">
        <v>0</v>
      </c>
      <c r="E126" s="2">
        <v>85</v>
      </c>
      <c r="F126" s="5">
        <v>0.1</v>
      </c>
      <c r="G126" s="2" t="b">
        <v>1</v>
      </c>
      <c r="H126" s="2">
        <v>1524</v>
      </c>
      <c r="I126" s="2" t="b">
        <v>0</v>
      </c>
      <c r="J126" s="2" t="b">
        <v>0</v>
      </c>
      <c r="K126" s="2">
        <v>0</v>
      </c>
      <c r="L126" s="6">
        <v>6</v>
      </c>
      <c r="M126" s="11">
        <v>45475</v>
      </c>
      <c r="N126" s="11">
        <v>45505</v>
      </c>
    </row>
    <row r="127" spans="1:14" x14ac:dyDescent="0.25">
      <c r="A127" s="2">
        <v>2508</v>
      </c>
      <c r="B127" s="2">
        <v>3637</v>
      </c>
      <c r="C127" s="4" t="s">
        <v>10</v>
      </c>
      <c r="D127" s="2">
        <v>0</v>
      </c>
      <c r="E127" s="2">
        <v>49</v>
      </c>
      <c r="F127" s="5">
        <v>0</v>
      </c>
      <c r="G127" s="2" t="b">
        <v>1</v>
      </c>
      <c r="H127" s="2">
        <v>1524</v>
      </c>
      <c r="I127" s="2" t="b">
        <v>0</v>
      </c>
      <c r="J127" s="2" t="b">
        <v>0</v>
      </c>
      <c r="K127" s="2">
        <v>0</v>
      </c>
      <c r="L127" s="6">
        <v>6</v>
      </c>
      <c r="M127" s="11">
        <v>45475</v>
      </c>
      <c r="N127" s="11">
        <v>45505</v>
      </c>
    </row>
    <row r="128" spans="1:14" x14ac:dyDescent="0.25">
      <c r="A128" s="2">
        <v>2509</v>
      </c>
      <c r="B128" s="2">
        <v>1745</v>
      </c>
      <c r="C128" s="4" t="s">
        <v>10</v>
      </c>
      <c r="D128" s="2">
        <v>0</v>
      </c>
      <c r="E128" s="2">
        <v>0</v>
      </c>
      <c r="F128" s="5">
        <v>0</v>
      </c>
      <c r="G128" s="2" t="b">
        <v>1</v>
      </c>
      <c r="H128" s="2">
        <v>1524</v>
      </c>
      <c r="I128" s="2" t="b">
        <v>0</v>
      </c>
      <c r="J128" s="2" t="b">
        <v>0</v>
      </c>
      <c r="K128" s="2">
        <v>0</v>
      </c>
      <c r="L128" s="6">
        <v>6</v>
      </c>
      <c r="M128" s="11">
        <v>45487</v>
      </c>
      <c r="N128" s="11">
        <v>45517</v>
      </c>
    </row>
    <row r="129" spans="1:14" x14ac:dyDescent="0.25">
      <c r="A129" s="2">
        <v>2510</v>
      </c>
      <c r="B129" s="2">
        <v>2829</v>
      </c>
      <c r="C129" s="4" t="s">
        <v>10</v>
      </c>
      <c r="D129" s="2">
        <v>0</v>
      </c>
      <c r="E129" s="2">
        <v>0</v>
      </c>
      <c r="F129" s="5">
        <v>0</v>
      </c>
      <c r="G129" s="2" t="b">
        <v>1</v>
      </c>
      <c r="H129" s="2">
        <v>1524</v>
      </c>
      <c r="I129" s="2" t="b">
        <v>1</v>
      </c>
      <c r="J129" s="2" t="b">
        <v>1</v>
      </c>
      <c r="K129" s="2">
        <v>0</v>
      </c>
      <c r="L129" s="6">
        <v>6</v>
      </c>
      <c r="M129" s="11">
        <v>45474</v>
      </c>
      <c r="N129" s="11">
        <v>45504</v>
      </c>
    </row>
    <row r="130" spans="1:14" x14ac:dyDescent="0.25">
      <c r="A130" s="2">
        <v>2511</v>
      </c>
      <c r="B130" s="2">
        <v>1559</v>
      </c>
      <c r="C130" s="4" t="s">
        <v>10</v>
      </c>
      <c r="D130" s="2">
        <v>0</v>
      </c>
      <c r="E130" s="2">
        <v>28</v>
      </c>
      <c r="F130" s="5">
        <v>0</v>
      </c>
      <c r="G130" s="2" t="b">
        <v>1</v>
      </c>
      <c r="H130" s="2">
        <v>1524</v>
      </c>
      <c r="I130" s="2" t="b">
        <v>0</v>
      </c>
      <c r="J130" s="2" t="b">
        <v>0</v>
      </c>
      <c r="K130" s="2">
        <v>0</v>
      </c>
      <c r="L130" s="6">
        <v>6</v>
      </c>
      <c r="M130" s="11">
        <v>45476</v>
      </c>
      <c r="N130" s="11">
        <v>45506</v>
      </c>
    </row>
    <row r="131" spans="1:14" x14ac:dyDescent="0.25">
      <c r="A131" s="2">
        <v>2512</v>
      </c>
      <c r="B131" s="2">
        <v>3682</v>
      </c>
      <c r="C131" s="4" t="s">
        <v>10</v>
      </c>
      <c r="D131" s="2">
        <v>0</v>
      </c>
      <c r="E131" s="2">
        <v>0</v>
      </c>
      <c r="F131" s="5">
        <v>0</v>
      </c>
      <c r="G131" s="2" t="b">
        <v>1</v>
      </c>
      <c r="H131" s="2">
        <v>1524</v>
      </c>
      <c r="I131" s="2" t="b">
        <v>0</v>
      </c>
      <c r="J131" s="2" t="b">
        <v>0</v>
      </c>
      <c r="K131" s="2">
        <v>0</v>
      </c>
      <c r="L131" s="6">
        <v>6</v>
      </c>
      <c r="M131" s="11">
        <v>45477</v>
      </c>
      <c r="N131" s="11">
        <v>45507</v>
      </c>
    </row>
    <row r="132" spans="1:14" x14ac:dyDescent="0.25">
      <c r="A132" s="2">
        <v>2513</v>
      </c>
      <c r="B132" s="2">
        <v>1156</v>
      </c>
      <c r="C132" s="4" t="s">
        <v>10</v>
      </c>
      <c r="D132" s="2">
        <v>0</v>
      </c>
      <c r="E132" s="2">
        <v>46</v>
      </c>
      <c r="F132" s="5">
        <v>0</v>
      </c>
      <c r="G132" s="2" t="b">
        <v>1</v>
      </c>
      <c r="H132" s="2">
        <v>1524</v>
      </c>
      <c r="I132" s="2" t="b">
        <v>0</v>
      </c>
      <c r="J132" s="2" t="b">
        <v>0</v>
      </c>
      <c r="K132" s="2">
        <v>0</v>
      </c>
      <c r="L132" s="6">
        <v>6</v>
      </c>
      <c r="M132" s="11">
        <v>45477</v>
      </c>
      <c r="N132" s="11">
        <v>45507</v>
      </c>
    </row>
    <row r="133" spans="1:14" x14ac:dyDescent="0.25">
      <c r="A133" s="2">
        <v>2514</v>
      </c>
      <c r="B133" s="2">
        <v>3007</v>
      </c>
      <c r="C133" s="4" t="s">
        <v>10</v>
      </c>
      <c r="D133" s="2">
        <v>0</v>
      </c>
      <c r="E133" s="2">
        <v>0</v>
      </c>
      <c r="F133" s="5">
        <v>0</v>
      </c>
      <c r="G133" s="2" t="b">
        <v>1</v>
      </c>
      <c r="H133" s="2">
        <v>1524</v>
      </c>
      <c r="I133" s="2" t="b">
        <v>0</v>
      </c>
      <c r="J133" s="2" t="b">
        <v>0</v>
      </c>
      <c r="K133" s="2">
        <v>0</v>
      </c>
      <c r="L133" s="6">
        <v>6</v>
      </c>
      <c r="M133" s="11">
        <v>45479</v>
      </c>
      <c r="N133" s="11">
        <v>45509</v>
      </c>
    </row>
    <row r="134" spans="1:14" x14ac:dyDescent="0.25">
      <c r="A134" s="2">
        <v>2515</v>
      </c>
      <c r="B134" s="2">
        <v>3635</v>
      </c>
      <c r="C134" s="4" t="s">
        <v>10</v>
      </c>
      <c r="D134" s="2">
        <v>0</v>
      </c>
      <c r="E134" s="2">
        <v>49</v>
      </c>
      <c r="F134" s="5">
        <v>0</v>
      </c>
      <c r="G134" s="2" t="b">
        <v>1</v>
      </c>
      <c r="H134" s="2">
        <v>1524</v>
      </c>
      <c r="I134" s="2" t="b">
        <v>0</v>
      </c>
      <c r="J134" s="2" t="b">
        <v>0</v>
      </c>
      <c r="K134" s="2">
        <v>0</v>
      </c>
      <c r="L134" s="6">
        <v>6</v>
      </c>
      <c r="M134" s="11">
        <v>45489</v>
      </c>
      <c r="N134" s="11">
        <v>45519</v>
      </c>
    </row>
    <row r="135" spans="1:14" x14ac:dyDescent="0.25">
      <c r="A135" s="2">
        <v>2516</v>
      </c>
      <c r="B135" s="2">
        <v>3683</v>
      </c>
      <c r="C135" s="4" t="s">
        <v>10</v>
      </c>
      <c r="D135" s="2">
        <v>0</v>
      </c>
      <c r="E135" s="2">
        <v>49</v>
      </c>
      <c r="F135" s="5">
        <v>0</v>
      </c>
      <c r="G135" s="2" t="b">
        <v>1</v>
      </c>
      <c r="H135" s="2">
        <v>1524</v>
      </c>
      <c r="I135" s="2" t="b">
        <v>0</v>
      </c>
      <c r="J135" s="2" t="b">
        <v>0</v>
      </c>
      <c r="K135" s="2">
        <v>0</v>
      </c>
      <c r="L135" s="6">
        <v>6</v>
      </c>
      <c r="M135" s="11">
        <v>45487</v>
      </c>
      <c r="N135" s="11">
        <v>45517</v>
      </c>
    </row>
    <row r="136" spans="1:14" x14ac:dyDescent="0.25">
      <c r="A136" s="2">
        <v>2517</v>
      </c>
      <c r="B136" s="2">
        <v>1745</v>
      </c>
      <c r="C136" s="4" t="s">
        <v>10</v>
      </c>
      <c r="D136" s="2">
        <v>0</v>
      </c>
      <c r="E136" s="2">
        <v>0</v>
      </c>
      <c r="F136" s="5">
        <v>0.2</v>
      </c>
      <c r="G136" s="2" t="b">
        <v>1</v>
      </c>
      <c r="H136" s="2">
        <v>1524</v>
      </c>
      <c r="I136" s="2" t="b">
        <v>0</v>
      </c>
      <c r="J136" s="2" t="b">
        <v>0</v>
      </c>
      <c r="K136" s="2">
        <v>0</v>
      </c>
      <c r="L136" s="6">
        <v>6</v>
      </c>
      <c r="M136" s="11">
        <v>45487</v>
      </c>
      <c r="N136" s="11">
        <v>45517</v>
      </c>
    </row>
    <row r="137" spans="1:14" x14ac:dyDescent="0.25">
      <c r="A137" s="2">
        <v>2518</v>
      </c>
      <c r="B137" s="2">
        <v>3684</v>
      </c>
      <c r="C137" s="4" t="s">
        <v>10</v>
      </c>
      <c r="D137" s="2">
        <v>0</v>
      </c>
      <c r="E137" s="2">
        <v>0</v>
      </c>
      <c r="F137" s="5">
        <v>0</v>
      </c>
      <c r="G137" s="2" t="b">
        <v>1</v>
      </c>
      <c r="H137" s="2">
        <v>1524</v>
      </c>
      <c r="I137" s="2" t="b">
        <v>0</v>
      </c>
      <c r="J137" s="2" t="b">
        <v>0</v>
      </c>
      <c r="K137" s="2">
        <v>0</v>
      </c>
      <c r="L137" s="6">
        <v>6</v>
      </c>
      <c r="M137" s="11">
        <v>45504</v>
      </c>
      <c r="N137" s="11">
        <v>45534</v>
      </c>
    </row>
    <row r="138" spans="1:14" x14ac:dyDescent="0.25">
      <c r="A138" s="2">
        <v>2519</v>
      </c>
      <c r="B138" s="2">
        <v>2818</v>
      </c>
      <c r="C138" s="4" t="s">
        <v>10</v>
      </c>
      <c r="D138" s="2">
        <v>0</v>
      </c>
      <c r="E138" s="2">
        <v>14</v>
      </c>
      <c r="F138" s="5">
        <v>0</v>
      </c>
      <c r="G138" s="2" t="b">
        <v>1</v>
      </c>
      <c r="H138" s="2">
        <v>640</v>
      </c>
      <c r="I138" s="2" t="b">
        <v>1</v>
      </c>
      <c r="J138" s="2" t="b">
        <v>0</v>
      </c>
      <c r="K138" s="2">
        <v>0</v>
      </c>
      <c r="L138" s="6">
        <v>6</v>
      </c>
      <c r="M138" s="11">
        <v>45488</v>
      </c>
      <c r="N138" s="11">
        <v>45518</v>
      </c>
    </row>
    <row r="139" spans="1:14" x14ac:dyDescent="0.25">
      <c r="A139" s="2">
        <v>2520</v>
      </c>
      <c r="B139" s="8">
        <v>571</v>
      </c>
      <c r="C139" s="4" t="s">
        <v>10</v>
      </c>
      <c r="D139" s="2">
        <v>0</v>
      </c>
      <c r="E139" s="2">
        <v>0</v>
      </c>
      <c r="F139" s="5">
        <v>0</v>
      </c>
      <c r="G139" s="2" t="b">
        <v>1</v>
      </c>
      <c r="H139" s="2">
        <v>1524</v>
      </c>
      <c r="I139" s="2" t="b">
        <v>0</v>
      </c>
      <c r="J139" s="2" t="b">
        <v>0</v>
      </c>
      <c r="K139" s="2">
        <v>0</v>
      </c>
      <c r="L139" s="6">
        <v>6</v>
      </c>
      <c r="M139" s="11">
        <v>45489</v>
      </c>
      <c r="N139" s="11">
        <v>45519</v>
      </c>
    </row>
    <row r="140" spans="1:14" x14ac:dyDescent="0.25">
      <c r="A140" s="2">
        <v>2521</v>
      </c>
      <c r="B140" s="8">
        <v>1003</v>
      </c>
      <c r="C140" s="4" t="s">
        <v>10</v>
      </c>
      <c r="D140" s="2">
        <v>0</v>
      </c>
      <c r="E140" s="2">
        <v>0</v>
      </c>
      <c r="F140" s="5">
        <v>0</v>
      </c>
      <c r="G140" s="2" t="b">
        <v>1</v>
      </c>
      <c r="H140" s="2">
        <v>1524</v>
      </c>
      <c r="I140" s="2" t="b">
        <v>0</v>
      </c>
      <c r="J140" s="2" t="b">
        <v>0</v>
      </c>
      <c r="K140" s="2">
        <v>0</v>
      </c>
      <c r="L140" s="6">
        <v>6</v>
      </c>
      <c r="M140" s="11">
        <v>45491</v>
      </c>
      <c r="N140" s="11">
        <v>45521</v>
      </c>
    </row>
    <row r="141" spans="1:14" x14ac:dyDescent="0.25">
      <c r="A141" s="2">
        <v>2522</v>
      </c>
      <c r="B141" s="8">
        <v>1961</v>
      </c>
      <c r="C141" s="4" t="s">
        <v>10</v>
      </c>
      <c r="D141" s="2">
        <v>0</v>
      </c>
      <c r="E141" s="2">
        <v>0</v>
      </c>
      <c r="F141" s="5">
        <v>0</v>
      </c>
      <c r="G141" s="2" t="b">
        <v>1</v>
      </c>
      <c r="H141" s="2">
        <v>1524</v>
      </c>
      <c r="I141" s="2" t="b">
        <v>0</v>
      </c>
      <c r="J141" s="2" t="b">
        <v>0</v>
      </c>
      <c r="K141" s="2">
        <v>0</v>
      </c>
      <c r="L141" s="6">
        <v>6</v>
      </c>
      <c r="M141" s="11">
        <v>45495</v>
      </c>
      <c r="N141" s="11">
        <v>45525</v>
      </c>
    </row>
    <row r="142" spans="1:14" x14ac:dyDescent="0.25">
      <c r="A142" s="2">
        <v>2523</v>
      </c>
      <c r="B142" s="8">
        <v>2005</v>
      </c>
      <c r="C142" s="4" t="s">
        <v>10</v>
      </c>
      <c r="D142" s="2">
        <v>0</v>
      </c>
      <c r="E142" s="2">
        <v>17</v>
      </c>
      <c r="F142" s="5">
        <v>0</v>
      </c>
      <c r="G142" s="2" t="b">
        <v>1</v>
      </c>
      <c r="H142" s="2">
        <v>1524</v>
      </c>
      <c r="I142" s="2" t="b">
        <v>1</v>
      </c>
      <c r="J142" s="2" t="b">
        <v>0</v>
      </c>
      <c r="K142" s="2">
        <v>0</v>
      </c>
      <c r="L142" s="6">
        <v>6</v>
      </c>
      <c r="M142" s="11">
        <v>45495</v>
      </c>
      <c r="N142" s="11">
        <v>45525</v>
      </c>
    </row>
    <row r="143" spans="1:14" x14ac:dyDescent="0.25">
      <c r="A143" s="2">
        <v>2524</v>
      </c>
      <c r="B143" s="8">
        <v>2320</v>
      </c>
      <c r="C143" s="4" t="s">
        <v>10</v>
      </c>
      <c r="D143" s="2">
        <v>0</v>
      </c>
      <c r="E143" s="2">
        <v>0</v>
      </c>
      <c r="F143" s="5">
        <v>0</v>
      </c>
      <c r="G143" s="2" t="b">
        <v>1</v>
      </c>
      <c r="H143" s="2">
        <v>1524</v>
      </c>
      <c r="I143" s="2" t="b">
        <v>0</v>
      </c>
      <c r="J143" s="2" t="b">
        <v>0</v>
      </c>
      <c r="K143" s="2">
        <v>0</v>
      </c>
      <c r="L143" s="6">
        <v>6</v>
      </c>
      <c r="M143" s="11">
        <v>45512</v>
      </c>
      <c r="N143" s="11">
        <v>45542</v>
      </c>
    </row>
    <row r="144" spans="1:14" x14ac:dyDescent="0.25">
      <c r="A144" s="2">
        <v>2525</v>
      </c>
      <c r="B144" s="8">
        <v>2334</v>
      </c>
      <c r="C144" s="4" t="s">
        <v>10</v>
      </c>
      <c r="D144" s="2">
        <v>4436.3</v>
      </c>
      <c r="E144" s="2">
        <v>0</v>
      </c>
      <c r="F144" s="5">
        <v>0</v>
      </c>
      <c r="G144" s="2" t="b">
        <v>1</v>
      </c>
      <c r="H144" s="2">
        <v>1524</v>
      </c>
      <c r="I144" s="2" t="b">
        <v>1</v>
      </c>
      <c r="J144" s="2" t="b">
        <v>0</v>
      </c>
      <c r="K144" s="2">
        <v>0</v>
      </c>
      <c r="L144" s="6">
        <v>6</v>
      </c>
      <c r="M144" s="11">
        <v>45513</v>
      </c>
      <c r="N144" s="11">
        <v>45543</v>
      </c>
    </row>
    <row r="145" spans="1:14" x14ac:dyDescent="0.25">
      <c r="A145" s="2">
        <v>2526</v>
      </c>
      <c r="B145" s="8">
        <v>2488</v>
      </c>
      <c r="C145" s="4" t="s">
        <v>10</v>
      </c>
      <c r="D145" s="2">
        <v>0</v>
      </c>
      <c r="E145" s="2">
        <v>0</v>
      </c>
      <c r="F145" s="5">
        <v>0</v>
      </c>
      <c r="G145" s="2" t="b">
        <v>1</v>
      </c>
      <c r="H145" s="2">
        <v>1524</v>
      </c>
      <c r="I145" s="2" t="b">
        <v>0</v>
      </c>
      <c r="J145" s="2" t="b">
        <v>0</v>
      </c>
      <c r="K145" s="2">
        <v>0</v>
      </c>
      <c r="L145" s="6">
        <v>6</v>
      </c>
      <c r="M145" s="11">
        <v>45517</v>
      </c>
      <c r="N145" s="11">
        <v>45547</v>
      </c>
    </row>
    <row r="146" spans="1:14" x14ac:dyDescent="0.25">
      <c r="A146" s="2">
        <v>2527</v>
      </c>
      <c r="B146" s="8">
        <v>2782</v>
      </c>
      <c r="C146" s="4" t="s">
        <v>10</v>
      </c>
      <c r="D146" s="2">
        <v>0</v>
      </c>
      <c r="E146" s="2">
        <v>0</v>
      </c>
      <c r="F146" s="5">
        <v>0</v>
      </c>
      <c r="G146" s="2" t="b">
        <v>1</v>
      </c>
      <c r="H146" s="2">
        <v>1524</v>
      </c>
      <c r="I146" s="2" t="b">
        <v>1</v>
      </c>
      <c r="J146" s="2" t="b">
        <v>0</v>
      </c>
      <c r="K146" s="2">
        <v>0</v>
      </c>
      <c r="L146" s="6">
        <v>6</v>
      </c>
      <c r="M146" s="11">
        <v>45517</v>
      </c>
      <c r="N146" s="11">
        <v>45547</v>
      </c>
    </row>
    <row r="147" spans="1:14" x14ac:dyDescent="0.25">
      <c r="A147" s="2">
        <v>2528</v>
      </c>
      <c r="B147" s="2">
        <v>2913</v>
      </c>
      <c r="C147" s="4" t="s">
        <v>10</v>
      </c>
      <c r="D147" s="2">
        <v>0</v>
      </c>
      <c r="E147" s="2">
        <v>0</v>
      </c>
      <c r="F147" s="5">
        <v>0.1</v>
      </c>
      <c r="G147" s="2" t="b">
        <v>1</v>
      </c>
      <c r="H147" s="2">
        <v>1524</v>
      </c>
      <c r="I147" s="2" t="b">
        <v>0</v>
      </c>
      <c r="J147" s="2" t="b">
        <v>0</v>
      </c>
      <c r="K147" s="2">
        <v>0</v>
      </c>
      <c r="L147" s="6">
        <v>6</v>
      </c>
      <c r="M147" s="11">
        <v>45517</v>
      </c>
      <c r="N147" s="11">
        <v>45547</v>
      </c>
    </row>
    <row r="148" spans="1:14" x14ac:dyDescent="0.25">
      <c r="A148" s="2">
        <v>2529</v>
      </c>
      <c r="B148" s="2">
        <v>3007</v>
      </c>
      <c r="C148" s="4" t="s">
        <v>10</v>
      </c>
      <c r="D148" s="2">
        <v>0</v>
      </c>
      <c r="E148" s="2">
        <v>0</v>
      </c>
      <c r="F148" s="5">
        <v>0</v>
      </c>
      <c r="G148" s="2" t="b">
        <v>1</v>
      </c>
      <c r="H148" s="2">
        <v>1524</v>
      </c>
      <c r="I148" s="2" t="b">
        <v>0</v>
      </c>
      <c r="J148" s="2" t="b">
        <v>0</v>
      </c>
      <c r="K148" s="2">
        <v>0</v>
      </c>
      <c r="L148" s="6">
        <v>6</v>
      </c>
      <c r="M148" s="11">
        <v>45523</v>
      </c>
      <c r="N148" s="11">
        <v>45553</v>
      </c>
    </row>
    <row r="149" spans="1:14" x14ac:dyDescent="0.25">
      <c r="A149" s="2">
        <v>2530</v>
      </c>
      <c r="B149" s="2">
        <v>933</v>
      </c>
      <c r="C149" s="4" t="s">
        <v>10</v>
      </c>
      <c r="D149" s="2">
        <v>0</v>
      </c>
      <c r="E149" s="2">
        <v>0</v>
      </c>
      <c r="F149" s="5">
        <v>0</v>
      </c>
      <c r="G149" s="2" t="b">
        <v>1</v>
      </c>
      <c r="H149" s="2">
        <v>1524</v>
      </c>
      <c r="I149" s="2" t="b">
        <v>0</v>
      </c>
      <c r="J149" s="2" t="b">
        <v>0</v>
      </c>
      <c r="K149" s="2">
        <v>0</v>
      </c>
      <c r="L149" s="6">
        <v>6</v>
      </c>
      <c r="M149" s="11">
        <v>45529</v>
      </c>
      <c r="N149" s="11">
        <v>45559</v>
      </c>
    </row>
    <row r="150" spans="1:14" x14ac:dyDescent="0.25">
      <c r="A150" s="2">
        <v>2531</v>
      </c>
      <c r="B150" s="2">
        <v>2952</v>
      </c>
      <c r="C150" s="4" t="s">
        <v>10</v>
      </c>
      <c r="D150" s="2">
        <v>0</v>
      </c>
      <c r="E150" s="2">
        <v>0</v>
      </c>
      <c r="F150" s="5">
        <v>0</v>
      </c>
      <c r="G150" s="2" t="b">
        <v>1</v>
      </c>
      <c r="H150" s="2">
        <v>1524</v>
      </c>
      <c r="I150" s="2" t="b">
        <v>0</v>
      </c>
      <c r="J150" s="2" t="b">
        <v>0</v>
      </c>
      <c r="K150" s="2">
        <v>0</v>
      </c>
      <c r="L150" s="6">
        <v>6</v>
      </c>
      <c r="M150" s="11">
        <v>45530</v>
      </c>
      <c r="N150" s="11">
        <v>45560</v>
      </c>
    </row>
    <row r="151" spans="1:14" x14ac:dyDescent="0.25">
      <c r="A151" s="2">
        <v>2532</v>
      </c>
      <c r="B151" s="2">
        <v>3657</v>
      </c>
      <c r="C151" s="4" t="s">
        <v>10</v>
      </c>
      <c r="D151" s="2">
        <v>0</v>
      </c>
      <c r="E151" s="2">
        <v>46</v>
      </c>
      <c r="F151" s="5">
        <v>0</v>
      </c>
      <c r="G151" s="2" t="b">
        <v>1</v>
      </c>
      <c r="H151" s="2">
        <v>1524</v>
      </c>
      <c r="I151" s="2" t="b">
        <v>0</v>
      </c>
      <c r="J151" s="2" t="b">
        <v>0</v>
      </c>
      <c r="K151" s="2">
        <v>0</v>
      </c>
      <c r="L151" s="6">
        <v>6</v>
      </c>
      <c r="M151" s="11">
        <v>45531</v>
      </c>
      <c r="N151" s="11">
        <v>45561</v>
      </c>
    </row>
    <row r="152" spans="1:14" x14ac:dyDescent="0.25">
      <c r="A152" s="2">
        <v>2533</v>
      </c>
      <c r="B152" s="2">
        <v>2646</v>
      </c>
      <c r="C152" s="4" t="s">
        <v>10</v>
      </c>
      <c r="D152" s="2">
        <v>0</v>
      </c>
      <c r="E152" s="2">
        <v>0</v>
      </c>
      <c r="F152" s="5">
        <v>0</v>
      </c>
      <c r="G152" s="2" t="b">
        <v>1</v>
      </c>
      <c r="H152" s="2">
        <v>640</v>
      </c>
      <c r="I152" s="2" t="b">
        <v>1</v>
      </c>
      <c r="J152" s="2" t="b">
        <v>0</v>
      </c>
      <c r="K152" s="2">
        <v>0</v>
      </c>
      <c r="L152" s="6">
        <v>6</v>
      </c>
      <c r="M152" s="11">
        <v>45540</v>
      </c>
      <c r="N152" s="11">
        <v>45570</v>
      </c>
    </row>
    <row r="153" spans="1:14" x14ac:dyDescent="0.25">
      <c r="A153" s="2">
        <v>2534</v>
      </c>
      <c r="B153" s="2">
        <v>3624</v>
      </c>
      <c r="C153" s="4" t="s">
        <v>10</v>
      </c>
      <c r="D153" s="2">
        <v>0</v>
      </c>
      <c r="E153" s="2">
        <v>0</v>
      </c>
      <c r="F153" s="5">
        <v>0</v>
      </c>
      <c r="G153" s="2" t="b">
        <v>1</v>
      </c>
      <c r="H153" s="2">
        <v>1524</v>
      </c>
      <c r="I153" s="2" t="b">
        <v>0</v>
      </c>
      <c r="J153" s="2" t="b">
        <v>0</v>
      </c>
      <c r="K153" s="2">
        <v>0</v>
      </c>
      <c r="L153" s="6">
        <v>6</v>
      </c>
      <c r="M153" s="11">
        <v>45540</v>
      </c>
      <c r="N153" s="11">
        <v>45570</v>
      </c>
    </row>
    <row r="154" spans="1:14" x14ac:dyDescent="0.25">
      <c r="A154" s="2">
        <v>2535</v>
      </c>
      <c r="B154" s="2">
        <v>3686</v>
      </c>
      <c r="C154" s="4" t="s">
        <v>10</v>
      </c>
      <c r="D154" s="2">
        <v>0</v>
      </c>
      <c r="E154" s="2">
        <v>0</v>
      </c>
      <c r="F154" s="5">
        <v>0.2</v>
      </c>
      <c r="G154" s="2" t="b">
        <v>1</v>
      </c>
      <c r="H154" s="2">
        <v>1524</v>
      </c>
      <c r="I154" s="2" t="b">
        <v>0</v>
      </c>
      <c r="J154" s="2" t="b">
        <v>0</v>
      </c>
      <c r="K154" s="2">
        <v>0</v>
      </c>
      <c r="L154" s="6">
        <v>6</v>
      </c>
      <c r="M154" s="11">
        <v>45550</v>
      </c>
      <c r="N154" s="11">
        <v>45580</v>
      </c>
    </row>
    <row r="155" spans="1:14" x14ac:dyDescent="0.25">
      <c r="A155" s="2">
        <v>2536</v>
      </c>
      <c r="B155" s="2">
        <v>3686</v>
      </c>
      <c r="C155" s="4" t="s">
        <v>10</v>
      </c>
      <c r="D155" s="2">
        <v>0</v>
      </c>
      <c r="E155" s="2">
        <v>0</v>
      </c>
      <c r="F155" s="5">
        <v>0</v>
      </c>
      <c r="G155" s="2" t="b">
        <v>1</v>
      </c>
      <c r="H155" s="2">
        <v>1524</v>
      </c>
      <c r="I155" s="2" t="b">
        <v>0</v>
      </c>
      <c r="J155" s="2" t="b">
        <v>0</v>
      </c>
      <c r="K155" s="2">
        <v>0</v>
      </c>
      <c r="L155" s="6">
        <v>6</v>
      </c>
      <c r="M155" s="11">
        <v>45550</v>
      </c>
      <c r="N155" s="11">
        <v>45580</v>
      </c>
    </row>
    <row r="156" spans="1:14" x14ac:dyDescent="0.25">
      <c r="A156" s="2">
        <v>2537</v>
      </c>
      <c r="B156" s="2">
        <v>1277</v>
      </c>
      <c r="C156" s="4" t="s">
        <v>10</v>
      </c>
      <c r="D156" s="2">
        <v>0</v>
      </c>
      <c r="E156" s="2">
        <v>0</v>
      </c>
      <c r="F156" s="5">
        <v>0.1</v>
      </c>
      <c r="G156" s="2" t="b">
        <v>1</v>
      </c>
      <c r="H156" s="2">
        <v>1524</v>
      </c>
      <c r="I156" s="2" t="b">
        <v>1</v>
      </c>
      <c r="J156" s="2" t="b">
        <v>0</v>
      </c>
      <c r="K156" s="2">
        <v>0</v>
      </c>
      <c r="L156" s="6">
        <v>6</v>
      </c>
      <c r="M156" s="11">
        <v>45552</v>
      </c>
      <c r="N156" s="11">
        <v>45582</v>
      </c>
    </row>
    <row r="157" spans="1:14" x14ac:dyDescent="0.25">
      <c r="A157" s="2">
        <v>2538</v>
      </c>
      <c r="B157" s="2">
        <v>2928</v>
      </c>
      <c r="C157" s="4" t="s">
        <v>10</v>
      </c>
      <c r="D157" s="2">
        <v>0</v>
      </c>
      <c r="E157" s="2">
        <v>0</v>
      </c>
      <c r="F157" s="5">
        <v>0</v>
      </c>
      <c r="G157" s="2" t="b">
        <v>1</v>
      </c>
      <c r="H157" s="2">
        <v>1524</v>
      </c>
      <c r="I157" s="2" t="b">
        <v>1</v>
      </c>
      <c r="J157" s="2" t="b">
        <v>0</v>
      </c>
      <c r="K157" s="2">
        <v>0</v>
      </c>
      <c r="L157" s="6">
        <v>6</v>
      </c>
      <c r="M157" s="11">
        <v>45552</v>
      </c>
      <c r="N157" s="11">
        <v>45582</v>
      </c>
    </row>
    <row r="158" spans="1:14" x14ac:dyDescent="0.25">
      <c r="A158" s="2">
        <v>2539</v>
      </c>
      <c r="B158" s="2">
        <v>2937</v>
      </c>
      <c r="C158" s="4" t="s">
        <v>10</v>
      </c>
      <c r="D158" s="2">
        <v>0</v>
      </c>
      <c r="E158" s="2">
        <v>0</v>
      </c>
      <c r="F158" s="5">
        <v>0</v>
      </c>
      <c r="G158" s="2" t="b">
        <v>1</v>
      </c>
      <c r="H158" s="2">
        <v>1524</v>
      </c>
      <c r="I158" s="2" t="b">
        <v>1</v>
      </c>
      <c r="J158" s="2" t="b">
        <v>0</v>
      </c>
      <c r="K158" s="2">
        <v>0</v>
      </c>
      <c r="L158" s="6">
        <v>6</v>
      </c>
      <c r="M158" s="11">
        <v>45552</v>
      </c>
      <c r="N158" s="11">
        <v>45582</v>
      </c>
    </row>
    <row r="159" spans="1:14" x14ac:dyDescent="0.25">
      <c r="A159" s="2">
        <v>2540</v>
      </c>
      <c r="B159" s="2">
        <v>3686</v>
      </c>
      <c r="C159" s="4" t="s">
        <v>10</v>
      </c>
      <c r="D159" s="2">
        <v>0</v>
      </c>
      <c r="E159" s="2">
        <v>75</v>
      </c>
      <c r="F159" s="5">
        <v>0.2</v>
      </c>
      <c r="G159" s="2" t="b">
        <v>1</v>
      </c>
      <c r="H159" s="2">
        <v>1524</v>
      </c>
      <c r="I159" s="2" t="b">
        <v>1</v>
      </c>
      <c r="J159" s="2" t="b">
        <v>0</v>
      </c>
      <c r="K159" s="2">
        <v>0</v>
      </c>
      <c r="L159" s="6">
        <v>6</v>
      </c>
      <c r="M159" s="11">
        <v>45552</v>
      </c>
      <c r="N159" s="11">
        <v>45582</v>
      </c>
    </row>
    <row r="160" spans="1:14" x14ac:dyDescent="0.25">
      <c r="A160" s="2">
        <v>2541</v>
      </c>
      <c r="B160" s="2">
        <v>1745</v>
      </c>
      <c r="C160" s="4" t="s">
        <v>10</v>
      </c>
      <c r="D160" s="2">
        <v>0</v>
      </c>
      <c r="E160" s="2">
        <v>50</v>
      </c>
      <c r="F160" s="5">
        <v>0</v>
      </c>
      <c r="G160" s="2" t="b">
        <v>1</v>
      </c>
      <c r="H160" s="2">
        <v>1524</v>
      </c>
      <c r="I160" s="2" t="b">
        <v>1</v>
      </c>
      <c r="J160" s="2" t="b">
        <v>0</v>
      </c>
      <c r="K160" s="2">
        <v>0</v>
      </c>
      <c r="L160" s="6">
        <v>6</v>
      </c>
      <c r="M160" s="11">
        <v>45552</v>
      </c>
      <c r="N160" s="11">
        <v>45582</v>
      </c>
    </row>
    <row r="161" spans="1:14" x14ac:dyDescent="0.25">
      <c r="A161" s="2">
        <v>2542</v>
      </c>
      <c r="B161" s="2">
        <v>3686</v>
      </c>
      <c r="C161" s="4" t="s">
        <v>10</v>
      </c>
      <c r="D161" s="2">
        <v>0</v>
      </c>
      <c r="E161" s="2">
        <v>0</v>
      </c>
      <c r="F161" s="5">
        <v>0</v>
      </c>
      <c r="G161" s="2" t="b">
        <v>1</v>
      </c>
      <c r="H161" s="2">
        <v>1524</v>
      </c>
      <c r="I161" s="2" t="b">
        <v>1</v>
      </c>
      <c r="J161" s="2" t="b">
        <v>0</v>
      </c>
      <c r="K161" s="2">
        <v>0</v>
      </c>
      <c r="L161" s="6">
        <v>6</v>
      </c>
      <c r="M161" s="11">
        <v>45552</v>
      </c>
      <c r="N161" s="11">
        <v>45582</v>
      </c>
    </row>
    <row r="162" spans="1:14" x14ac:dyDescent="0.25">
      <c r="A162" s="2">
        <v>2543</v>
      </c>
      <c r="B162" s="2">
        <v>3685</v>
      </c>
      <c r="C162" s="4" t="s">
        <v>10</v>
      </c>
      <c r="D162" s="2">
        <v>0</v>
      </c>
      <c r="E162" s="2">
        <v>0</v>
      </c>
      <c r="F162" s="5">
        <v>0</v>
      </c>
      <c r="G162" s="2" t="b">
        <v>1</v>
      </c>
      <c r="H162" s="2">
        <v>1524</v>
      </c>
      <c r="I162" s="2" t="b">
        <v>1</v>
      </c>
      <c r="J162" s="2" t="b">
        <v>0</v>
      </c>
      <c r="K162" s="2">
        <v>0</v>
      </c>
      <c r="L162" s="6">
        <v>6</v>
      </c>
      <c r="M162" s="11">
        <v>45552</v>
      </c>
      <c r="N162" s="11">
        <v>45582</v>
      </c>
    </row>
    <row r="163" spans="1:14" x14ac:dyDescent="0.25">
      <c r="A163" s="2">
        <v>2544</v>
      </c>
      <c r="B163" s="2">
        <v>3687</v>
      </c>
      <c r="C163" s="4" t="s">
        <v>10</v>
      </c>
      <c r="D163" s="2">
        <v>0</v>
      </c>
      <c r="E163" s="2">
        <v>0</v>
      </c>
      <c r="F163" s="5">
        <v>0</v>
      </c>
      <c r="G163" s="2" t="b">
        <v>0</v>
      </c>
      <c r="H163" s="2">
        <v>1524</v>
      </c>
      <c r="I163" s="2" t="b">
        <v>0</v>
      </c>
      <c r="J163" s="2" t="b">
        <v>0</v>
      </c>
      <c r="K163" s="2">
        <v>0</v>
      </c>
      <c r="L163" s="6">
        <v>6</v>
      </c>
      <c r="M163" s="11">
        <v>45523</v>
      </c>
      <c r="N163" s="11">
        <v>45553</v>
      </c>
    </row>
    <row r="164" spans="1:14" x14ac:dyDescent="0.25">
      <c r="A164" s="2">
        <v>2545</v>
      </c>
      <c r="B164">
        <v>3686</v>
      </c>
      <c r="C164" t="s">
        <v>10</v>
      </c>
      <c r="D164">
        <v>0</v>
      </c>
      <c r="E164">
        <v>0</v>
      </c>
      <c r="F164">
        <v>0.3</v>
      </c>
      <c r="G164" t="b">
        <v>1</v>
      </c>
      <c r="H164">
        <v>1524</v>
      </c>
      <c r="I164" t="b">
        <v>0</v>
      </c>
      <c r="J164" t="b">
        <v>0</v>
      </c>
      <c r="K164">
        <v>0</v>
      </c>
      <c r="L164">
        <v>6</v>
      </c>
      <c r="M164" s="11">
        <v>45530</v>
      </c>
      <c r="N164" s="11">
        <v>45560</v>
      </c>
    </row>
    <row r="165" spans="1:14" x14ac:dyDescent="0.25">
      <c r="A165" s="2">
        <v>2546</v>
      </c>
      <c r="B165">
        <v>3686</v>
      </c>
      <c r="C165" t="s">
        <v>10</v>
      </c>
      <c r="D165">
        <v>0</v>
      </c>
      <c r="E165">
        <v>0</v>
      </c>
      <c r="F165">
        <v>0</v>
      </c>
      <c r="G165" t="b">
        <v>1</v>
      </c>
      <c r="H165">
        <v>1524</v>
      </c>
      <c r="I165" t="b">
        <v>0</v>
      </c>
      <c r="J165" t="b">
        <v>0</v>
      </c>
      <c r="K165">
        <v>0</v>
      </c>
      <c r="L165">
        <v>6</v>
      </c>
      <c r="M165" s="11">
        <v>45537</v>
      </c>
      <c r="N165" s="11">
        <v>45567</v>
      </c>
    </row>
    <row r="166" spans="1:14" x14ac:dyDescent="0.25">
      <c r="A166" s="2">
        <v>2547</v>
      </c>
      <c r="B166">
        <v>3688</v>
      </c>
      <c r="C166" t="s">
        <v>10</v>
      </c>
      <c r="D166">
        <v>0</v>
      </c>
      <c r="E166">
        <v>450</v>
      </c>
      <c r="F166">
        <v>0.3</v>
      </c>
      <c r="G166" t="b">
        <v>1</v>
      </c>
      <c r="H166">
        <v>1524</v>
      </c>
      <c r="I166" t="b">
        <v>0</v>
      </c>
      <c r="J166" t="b">
        <v>0</v>
      </c>
      <c r="K166">
        <v>0</v>
      </c>
      <c r="L166">
        <v>6</v>
      </c>
      <c r="M166" s="11">
        <v>45544</v>
      </c>
      <c r="N166" s="11">
        <v>45574</v>
      </c>
    </row>
    <row r="167" spans="1:14" x14ac:dyDescent="0.25">
      <c r="A167" s="2">
        <v>2548</v>
      </c>
      <c r="B167">
        <v>2771</v>
      </c>
      <c r="C167" t="s">
        <v>10</v>
      </c>
      <c r="D167">
        <v>0</v>
      </c>
      <c r="E167">
        <v>58.95</v>
      </c>
      <c r="F167">
        <v>0</v>
      </c>
      <c r="G167" t="b">
        <v>1</v>
      </c>
      <c r="H167">
        <v>1524</v>
      </c>
      <c r="I167" t="b">
        <v>0</v>
      </c>
      <c r="J167" t="b">
        <v>0</v>
      </c>
      <c r="K167">
        <v>0</v>
      </c>
      <c r="L167">
        <v>6</v>
      </c>
      <c r="M167" s="11">
        <v>45551</v>
      </c>
      <c r="N167" s="11">
        <v>45581</v>
      </c>
    </row>
    <row r="168" spans="1:14" x14ac:dyDescent="0.25">
      <c r="A168" s="2">
        <v>2549</v>
      </c>
      <c r="B168">
        <v>798</v>
      </c>
      <c r="C168" t="s">
        <v>10</v>
      </c>
      <c r="D168">
        <v>3324.5</v>
      </c>
      <c r="E168">
        <v>0</v>
      </c>
      <c r="F168">
        <v>0.3</v>
      </c>
      <c r="G168" t="b">
        <v>1</v>
      </c>
      <c r="H168">
        <v>1524</v>
      </c>
      <c r="I168" t="b">
        <v>0</v>
      </c>
      <c r="J168" t="b">
        <v>0</v>
      </c>
      <c r="K168">
        <v>0</v>
      </c>
      <c r="L168">
        <v>6</v>
      </c>
      <c r="M168" s="11">
        <v>45558</v>
      </c>
      <c r="N168" s="11">
        <v>45588</v>
      </c>
    </row>
    <row r="169" spans="1:14" x14ac:dyDescent="0.25">
      <c r="A169" s="2">
        <v>2550</v>
      </c>
      <c r="B169">
        <v>798</v>
      </c>
      <c r="C169" t="s">
        <v>10</v>
      </c>
      <c r="D169">
        <v>0</v>
      </c>
      <c r="E169">
        <v>0</v>
      </c>
      <c r="F169">
        <v>0</v>
      </c>
      <c r="G169" t="b">
        <v>1</v>
      </c>
      <c r="H169">
        <v>1524</v>
      </c>
      <c r="I169" t="b">
        <v>0</v>
      </c>
      <c r="J169" t="b">
        <v>0</v>
      </c>
      <c r="K169">
        <v>0</v>
      </c>
      <c r="L169">
        <v>6</v>
      </c>
      <c r="M169" s="11">
        <v>45565</v>
      </c>
      <c r="N169" s="11">
        <v>45595</v>
      </c>
    </row>
    <row r="170" spans="1:14" x14ac:dyDescent="0.25">
      <c r="A170" s="2">
        <v>2551</v>
      </c>
      <c r="B170">
        <v>3683</v>
      </c>
      <c r="C170" t="s">
        <v>10</v>
      </c>
      <c r="D170">
        <v>0</v>
      </c>
      <c r="E170">
        <v>0</v>
      </c>
      <c r="F170">
        <v>0.15</v>
      </c>
      <c r="G170" t="b">
        <v>1</v>
      </c>
      <c r="H170">
        <v>1524</v>
      </c>
      <c r="I170" t="b">
        <v>0</v>
      </c>
      <c r="J170" t="b">
        <v>0</v>
      </c>
      <c r="K170">
        <v>0</v>
      </c>
      <c r="L170">
        <v>6</v>
      </c>
      <c r="M170" s="11">
        <v>45572</v>
      </c>
      <c r="N170" s="11">
        <v>45602</v>
      </c>
    </row>
    <row r="171" spans="1:14" x14ac:dyDescent="0.25">
      <c r="A171" s="2">
        <v>2552</v>
      </c>
      <c r="B171">
        <v>933</v>
      </c>
      <c r="C171" t="s">
        <v>10</v>
      </c>
      <c r="D171">
        <v>0</v>
      </c>
      <c r="E171">
        <v>0</v>
      </c>
      <c r="F171">
        <v>0.3</v>
      </c>
      <c r="G171" t="b">
        <v>1</v>
      </c>
      <c r="H171">
        <v>1524</v>
      </c>
      <c r="I171" t="b">
        <v>0</v>
      </c>
      <c r="J171" t="b">
        <v>0</v>
      </c>
      <c r="K171">
        <v>0</v>
      </c>
      <c r="L171">
        <v>6</v>
      </c>
      <c r="M171" s="11">
        <v>45579</v>
      </c>
      <c r="N171" s="11">
        <v>45609</v>
      </c>
    </row>
    <row r="172" spans="1:14" x14ac:dyDescent="0.25">
      <c r="A172" s="2">
        <v>2553</v>
      </c>
      <c r="B172">
        <v>2913</v>
      </c>
      <c r="C172" t="s">
        <v>10</v>
      </c>
      <c r="D172">
        <v>0</v>
      </c>
      <c r="E172">
        <v>0</v>
      </c>
      <c r="F172">
        <v>0.15</v>
      </c>
      <c r="G172" t="b">
        <v>1</v>
      </c>
      <c r="H172">
        <v>1524</v>
      </c>
      <c r="I172" t="b">
        <v>0</v>
      </c>
      <c r="J172" t="b">
        <v>0</v>
      </c>
      <c r="K172">
        <v>0</v>
      </c>
      <c r="L172">
        <v>6</v>
      </c>
      <c r="M172" s="11">
        <v>45586</v>
      </c>
      <c r="N172" s="11">
        <v>45616</v>
      </c>
    </row>
    <row r="173" spans="1:14" x14ac:dyDescent="0.25">
      <c r="A173" s="2">
        <v>2554</v>
      </c>
      <c r="B173">
        <v>2928</v>
      </c>
      <c r="C173" t="s">
        <v>10</v>
      </c>
      <c r="D173">
        <v>0</v>
      </c>
      <c r="E173">
        <v>0</v>
      </c>
      <c r="F173">
        <v>0.15</v>
      </c>
      <c r="G173" t="b">
        <v>1</v>
      </c>
      <c r="H173">
        <v>1524</v>
      </c>
      <c r="I173" t="b">
        <v>0</v>
      </c>
      <c r="J173" t="b">
        <v>0</v>
      </c>
      <c r="K173">
        <v>0</v>
      </c>
      <c r="L173">
        <v>6</v>
      </c>
      <c r="M173" s="11">
        <v>45593</v>
      </c>
      <c r="N173" s="11">
        <v>45623</v>
      </c>
    </row>
    <row r="174" spans="1:14" x14ac:dyDescent="0.25">
      <c r="A174" s="2">
        <v>2555</v>
      </c>
      <c r="B174">
        <v>2421</v>
      </c>
      <c r="C174" t="s">
        <v>10</v>
      </c>
      <c r="D174">
        <v>0</v>
      </c>
      <c r="E174">
        <v>390</v>
      </c>
      <c r="F174">
        <v>0.3</v>
      </c>
      <c r="G174" t="b">
        <v>1</v>
      </c>
      <c r="H174">
        <v>1524</v>
      </c>
      <c r="I174" t="b">
        <v>0</v>
      </c>
      <c r="J174" t="b">
        <v>0</v>
      </c>
      <c r="K174">
        <v>0</v>
      </c>
      <c r="L174">
        <v>6</v>
      </c>
      <c r="M174" s="11">
        <v>45600</v>
      </c>
      <c r="N174" s="11">
        <v>45630</v>
      </c>
    </row>
    <row r="175" spans="1:14" x14ac:dyDescent="0.25">
      <c r="A175" s="2">
        <v>2556</v>
      </c>
      <c r="B175">
        <v>1548</v>
      </c>
      <c r="C175" t="s">
        <v>10</v>
      </c>
      <c r="D175">
        <v>0</v>
      </c>
      <c r="E175">
        <v>0</v>
      </c>
      <c r="F175">
        <v>0.05</v>
      </c>
      <c r="G175" t="b">
        <v>1</v>
      </c>
      <c r="H175">
        <v>1524</v>
      </c>
      <c r="I175" t="b">
        <v>0</v>
      </c>
      <c r="J175" t="b">
        <v>0</v>
      </c>
      <c r="K175">
        <v>0</v>
      </c>
      <c r="L175">
        <v>6</v>
      </c>
      <c r="M175" s="11">
        <v>45607</v>
      </c>
      <c r="N175" s="11">
        <v>45637</v>
      </c>
    </row>
    <row r="176" spans="1:14" x14ac:dyDescent="0.25">
      <c r="A176" s="2">
        <v>2557</v>
      </c>
      <c r="B176">
        <v>3686</v>
      </c>
      <c r="C176" t="s">
        <v>10</v>
      </c>
      <c r="D176">
        <v>0</v>
      </c>
      <c r="E176">
        <v>29</v>
      </c>
      <c r="F176">
        <v>0</v>
      </c>
      <c r="G176" t="b">
        <v>1</v>
      </c>
      <c r="H176">
        <v>640</v>
      </c>
      <c r="I176" t="b">
        <v>1</v>
      </c>
      <c r="J176" t="b">
        <v>0</v>
      </c>
      <c r="K176">
        <v>0</v>
      </c>
      <c r="L176">
        <v>6</v>
      </c>
      <c r="M176" s="11">
        <v>45614</v>
      </c>
      <c r="N176" s="11">
        <v>45644</v>
      </c>
    </row>
    <row r="177" spans="1:14" x14ac:dyDescent="0.25">
      <c r="A177" s="2">
        <v>2558</v>
      </c>
      <c r="B177">
        <v>1745</v>
      </c>
      <c r="C177" t="s">
        <v>10</v>
      </c>
      <c r="D177">
        <v>0</v>
      </c>
      <c r="E177">
        <v>0</v>
      </c>
      <c r="F177">
        <v>0.3</v>
      </c>
      <c r="G177" t="b">
        <v>1</v>
      </c>
      <c r="H177">
        <v>1524</v>
      </c>
      <c r="I177" t="b">
        <v>0</v>
      </c>
      <c r="J177" t="b">
        <v>0</v>
      </c>
      <c r="K177">
        <v>0</v>
      </c>
      <c r="L177">
        <v>6</v>
      </c>
      <c r="M177" s="11">
        <v>45621</v>
      </c>
      <c r="N177" s="11">
        <v>45651</v>
      </c>
    </row>
    <row r="178" spans="1:14" x14ac:dyDescent="0.25">
      <c r="A178" s="2">
        <v>2559</v>
      </c>
      <c r="B178">
        <v>7</v>
      </c>
      <c r="C178" t="s">
        <v>10</v>
      </c>
      <c r="D178">
        <v>0</v>
      </c>
      <c r="E178">
        <v>0</v>
      </c>
      <c r="F178">
        <v>0</v>
      </c>
      <c r="G178" t="b">
        <v>1</v>
      </c>
      <c r="H178">
        <v>1524</v>
      </c>
      <c r="I178" t="b">
        <v>0</v>
      </c>
      <c r="J178" t="b">
        <v>0</v>
      </c>
      <c r="K178">
        <v>0</v>
      </c>
      <c r="L178">
        <v>6</v>
      </c>
      <c r="M178" s="11">
        <v>45628</v>
      </c>
      <c r="N178" s="11">
        <v>45658</v>
      </c>
    </row>
    <row r="179" spans="1:14" x14ac:dyDescent="0.25">
      <c r="A179" s="2">
        <v>2560</v>
      </c>
      <c r="B179">
        <v>2818</v>
      </c>
      <c r="C179" t="s">
        <v>10</v>
      </c>
      <c r="D179">
        <v>0</v>
      </c>
      <c r="E179">
        <v>13.5</v>
      </c>
      <c r="F179">
        <v>0</v>
      </c>
      <c r="G179" t="b">
        <v>1</v>
      </c>
      <c r="H179">
        <v>640</v>
      </c>
      <c r="I179" t="b">
        <v>1</v>
      </c>
      <c r="J179" t="b">
        <v>0</v>
      </c>
      <c r="K179">
        <v>0</v>
      </c>
      <c r="L179">
        <v>6</v>
      </c>
      <c r="M179" s="11">
        <v>45635</v>
      </c>
      <c r="N179" s="11">
        <v>45665</v>
      </c>
    </row>
    <row r="180" spans="1:14" x14ac:dyDescent="0.25">
      <c r="A180" s="2">
        <v>2561</v>
      </c>
      <c r="B180">
        <v>963</v>
      </c>
      <c r="C180" t="s">
        <v>10</v>
      </c>
      <c r="D180">
        <v>0</v>
      </c>
      <c r="E180">
        <v>0</v>
      </c>
      <c r="F180">
        <v>0</v>
      </c>
      <c r="G180" t="b">
        <v>1</v>
      </c>
      <c r="H180">
        <v>1524</v>
      </c>
      <c r="I180" t="b">
        <v>0</v>
      </c>
      <c r="J180" t="b">
        <v>0</v>
      </c>
      <c r="K180">
        <v>0</v>
      </c>
      <c r="L180">
        <v>6</v>
      </c>
      <c r="M180" s="11">
        <v>45642</v>
      </c>
      <c r="N180" s="11">
        <v>45672</v>
      </c>
    </row>
    <row r="181" spans="1:14" x14ac:dyDescent="0.25">
      <c r="A181" s="2">
        <v>2562</v>
      </c>
      <c r="B181">
        <v>2765</v>
      </c>
      <c r="C181" t="s">
        <v>10</v>
      </c>
      <c r="D181">
        <v>0</v>
      </c>
      <c r="E181">
        <v>29</v>
      </c>
      <c r="F181">
        <v>0</v>
      </c>
      <c r="G181" t="b">
        <v>1</v>
      </c>
      <c r="H181">
        <v>640</v>
      </c>
      <c r="I181" t="b">
        <v>1</v>
      </c>
      <c r="J181" t="b">
        <v>0</v>
      </c>
      <c r="K181">
        <v>0</v>
      </c>
      <c r="L181">
        <v>6</v>
      </c>
      <c r="M181" s="11">
        <v>45649</v>
      </c>
      <c r="N181" s="11">
        <v>45679</v>
      </c>
    </row>
    <row r="182" spans="1:14" x14ac:dyDescent="0.25">
      <c r="A182" s="2">
        <v>2563</v>
      </c>
      <c r="B182">
        <v>12</v>
      </c>
      <c r="C182" t="s">
        <v>10</v>
      </c>
      <c r="D182">
        <v>0</v>
      </c>
      <c r="E182">
        <v>0</v>
      </c>
      <c r="F182">
        <v>0.3</v>
      </c>
      <c r="G182" t="b">
        <v>1</v>
      </c>
      <c r="H182">
        <v>1524</v>
      </c>
      <c r="I182" t="b">
        <v>0</v>
      </c>
      <c r="J182" t="b">
        <v>0</v>
      </c>
      <c r="K182">
        <v>0</v>
      </c>
      <c r="L182">
        <v>6</v>
      </c>
      <c r="M182" s="11">
        <v>45656</v>
      </c>
      <c r="N182" s="11">
        <v>45686</v>
      </c>
    </row>
    <row r="183" spans="1:14" x14ac:dyDescent="0.25">
      <c r="A183" s="2">
        <v>2564</v>
      </c>
      <c r="B183">
        <v>2937</v>
      </c>
      <c r="C183" t="s">
        <v>10</v>
      </c>
      <c r="D183">
        <v>0</v>
      </c>
      <c r="E183">
        <v>0</v>
      </c>
      <c r="F183">
        <v>0.4</v>
      </c>
      <c r="G183" t="b">
        <v>1</v>
      </c>
      <c r="H183">
        <v>1524</v>
      </c>
      <c r="I183" t="b">
        <v>0</v>
      </c>
      <c r="J183" t="b">
        <v>0</v>
      </c>
      <c r="K183">
        <v>0</v>
      </c>
      <c r="L183">
        <v>6</v>
      </c>
      <c r="M183" s="11">
        <v>45663</v>
      </c>
      <c r="N183" s="11">
        <v>45693</v>
      </c>
    </row>
    <row r="184" spans="1:14" x14ac:dyDescent="0.25">
      <c r="A184" s="2">
        <v>2565</v>
      </c>
      <c r="B184">
        <v>2937</v>
      </c>
      <c r="C184" t="s">
        <v>10</v>
      </c>
      <c r="D184">
        <v>0</v>
      </c>
      <c r="E184">
        <v>0</v>
      </c>
      <c r="F184">
        <v>0.05</v>
      </c>
      <c r="G184" t="b">
        <v>1</v>
      </c>
      <c r="H184">
        <v>1524</v>
      </c>
      <c r="I184" t="b">
        <v>0</v>
      </c>
      <c r="J184" t="b">
        <v>0</v>
      </c>
      <c r="K184">
        <v>0</v>
      </c>
      <c r="L184">
        <v>6</v>
      </c>
      <c r="M184" s="11">
        <v>45670</v>
      </c>
      <c r="N184" s="11">
        <v>45700</v>
      </c>
    </row>
    <row r="185" spans="1:14" x14ac:dyDescent="0.25">
      <c r="A185" s="2">
        <v>2566</v>
      </c>
      <c r="B185">
        <v>2937</v>
      </c>
      <c r="C185" t="s">
        <v>10</v>
      </c>
      <c r="D185">
        <v>0</v>
      </c>
      <c r="E185">
        <v>0</v>
      </c>
      <c r="F185">
        <v>0</v>
      </c>
      <c r="G185" t="b">
        <v>1</v>
      </c>
      <c r="H185">
        <v>1524</v>
      </c>
      <c r="I185" t="b">
        <v>0</v>
      </c>
      <c r="J185" t="b">
        <v>0</v>
      </c>
      <c r="K185">
        <v>0</v>
      </c>
      <c r="L185">
        <v>6</v>
      </c>
      <c r="M185" s="11">
        <v>45677</v>
      </c>
      <c r="N185" s="11">
        <v>45707</v>
      </c>
    </row>
    <row r="186" spans="1:14" x14ac:dyDescent="0.25">
      <c r="A186" s="2">
        <v>2567</v>
      </c>
      <c r="B186">
        <v>22</v>
      </c>
      <c r="C186" t="s">
        <v>10</v>
      </c>
      <c r="D186">
        <v>0</v>
      </c>
      <c r="E186">
        <v>0</v>
      </c>
      <c r="F186">
        <v>0</v>
      </c>
      <c r="G186" t="b">
        <v>1</v>
      </c>
      <c r="H186">
        <v>1524</v>
      </c>
      <c r="I186" t="b">
        <v>0</v>
      </c>
      <c r="J186" t="b">
        <v>0</v>
      </c>
      <c r="K186">
        <v>0</v>
      </c>
      <c r="L186">
        <v>6</v>
      </c>
      <c r="M186" s="11">
        <v>45684</v>
      </c>
      <c r="N186" s="11">
        <v>45714</v>
      </c>
    </row>
    <row r="187" spans="1:14" x14ac:dyDescent="0.25">
      <c r="A187" s="2">
        <v>2568</v>
      </c>
      <c r="B187">
        <v>3005</v>
      </c>
      <c r="C187" t="s">
        <v>10</v>
      </c>
      <c r="D187">
        <v>100</v>
      </c>
      <c r="E187">
        <v>105</v>
      </c>
      <c r="F187">
        <v>0</v>
      </c>
      <c r="G187" t="b">
        <v>1</v>
      </c>
      <c r="H187">
        <v>1524</v>
      </c>
      <c r="I187" t="b">
        <v>0</v>
      </c>
      <c r="J187" t="b">
        <v>0</v>
      </c>
      <c r="K187">
        <v>0</v>
      </c>
      <c r="L187">
        <v>6</v>
      </c>
      <c r="M187" s="11">
        <v>45691</v>
      </c>
      <c r="N187" s="11">
        <v>45721</v>
      </c>
    </row>
    <row r="188" spans="1:14" x14ac:dyDescent="0.25">
      <c r="A188" s="2">
        <v>2569</v>
      </c>
      <c r="B188">
        <v>963</v>
      </c>
      <c r="C188" t="s">
        <v>10</v>
      </c>
      <c r="D188">
        <v>0</v>
      </c>
      <c r="E188">
        <v>0</v>
      </c>
      <c r="F188">
        <v>0</v>
      </c>
      <c r="G188" t="b">
        <v>1</v>
      </c>
      <c r="H188">
        <v>1524</v>
      </c>
      <c r="I188" t="b">
        <v>0</v>
      </c>
      <c r="J188" t="b">
        <v>1</v>
      </c>
      <c r="K188">
        <v>0</v>
      </c>
      <c r="L188">
        <v>6</v>
      </c>
      <c r="M188" s="11">
        <v>45698</v>
      </c>
      <c r="N188" s="11">
        <v>45728</v>
      </c>
    </row>
    <row r="189" spans="1:14" x14ac:dyDescent="0.25">
      <c r="A189" s="2">
        <v>2570</v>
      </c>
      <c r="B189">
        <v>2407</v>
      </c>
      <c r="C189" t="s">
        <v>10</v>
      </c>
      <c r="D189">
        <v>0</v>
      </c>
      <c r="E189">
        <v>14</v>
      </c>
      <c r="F189">
        <v>0</v>
      </c>
      <c r="G189" t="b">
        <v>1</v>
      </c>
      <c r="H189">
        <v>640</v>
      </c>
      <c r="I189" t="b">
        <v>1</v>
      </c>
      <c r="J189" t="b">
        <v>0</v>
      </c>
      <c r="K189">
        <v>0</v>
      </c>
      <c r="L189">
        <v>6</v>
      </c>
      <c r="M189" s="11">
        <v>45705</v>
      </c>
      <c r="N189" s="11">
        <v>45735</v>
      </c>
    </row>
    <row r="190" spans="1:14" x14ac:dyDescent="0.25">
      <c r="A190" s="2">
        <v>2571</v>
      </c>
      <c r="B190">
        <v>1478</v>
      </c>
      <c r="C190" t="s">
        <v>10</v>
      </c>
      <c r="D190">
        <v>0</v>
      </c>
      <c r="E190">
        <v>19</v>
      </c>
      <c r="F190">
        <v>0</v>
      </c>
      <c r="G190" t="b">
        <v>1</v>
      </c>
      <c r="H190">
        <v>640</v>
      </c>
      <c r="I190" t="b">
        <v>1</v>
      </c>
      <c r="J190" t="b">
        <v>0</v>
      </c>
      <c r="K190">
        <v>0</v>
      </c>
      <c r="L190">
        <v>6</v>
      </c>
      <c r="M190" s="11">
        <v>45712</v>
      </c>
      <c r="N190" s="11">
        <v>45742</v>
      </c>
    </row>
    <row r="191" spans="1:14" x14ac:dyDescent="0.25">
      <c r="A191" s="2">
        <v>2572</v>
      </c>
      <c r="B191">
        <v>2857</v>
      </c>
      <c r="C191" t="s">
        <v>10</v>
      </c>
      <c r="D191">
        <v>0</v>
      </c>
      <c r="E191">
        <v>14</v>
      </c>
      <c r="F191">
        <v>0</v>
      </c>
      <c r="G191" t="b">
        <v>1</v>
      </c>
      <c r="H191">
        <v>640</v>
      </c>
      <c r="I191" t="b">
        <v>1</v>
      </c>
      <c r="J191" t="b">
        <v>0</v>
      </c>
      <c r="K191">
        <v>0</v>
      </c>
      <c r="L191">
        <v>6</v>
      </c>
      <c r="M191" s="11">
        <v>45719</v>
      </c>
      <c r="N191" s="11">
        <v>45749</v>
      </c>
    </row>
    <row r="192" spans="1:14" x14ac:dyDescent="0.25">
      <c r="A192" s="2">
        <v>2573</v>
      </c>
      <c r="B192">
        <v>3095</v>
      </c>
      <c r="C192" t="s">
        <v>10</v>
      </c>
      <c r="D192">
        <v>0</v>
      </c>
      <c r="E192">
        <v>46</v>
      </c>
      <c r="F192">
        <v>0</v>
      </c>
      <c r="G192" t="b">
        <v>1</v>
      </c>
      <c r="H192">
        <v>640</v>
      </c>
      <c r="I192" t="b">
        <v>1</v>
      </c>
      <c r="J192" t="b">
        <v>0</v>
      </c>
      <c r="K192">
        <v>0</v>
      </c>
      <c r="L192">
        <v>6</v>
      </c>
      <c r="M192" s="11">
        <v>45726</v>
      </c>
      <c r="N192" s="11">
        <v>45756</v>
      </c>
    </row>
    <row r="193" spans="1:14" x14ac:dyDescent="0.25">
      <c r="A193" s="2">
        <v>2574</v>
      </c>
      <c r="B193">
        <v>3686</v>
      </c>
      <c r="C193" t="s">
        <v>10</v>
      </c>
      <c r="D193">
        <v>0</v>
      </c>
      <c r="E193">
        <v>0</v>
      </c>
      <c r="F193">
        <v>0.5</v>
      </c>
      <c r="G193" t="b">
        <v>1</v>
      </c>
      <c r="H193">
        <v>1524</v>
      </c>
      <c r="I193" t="b">
        <v>0</v>
      </c>
      <c r="J193" t="b">
        <v>0</v>
      </c>
      <c r="K193">
        <v>0</v>
      </c>
      <c r="L193">
        <v>6</v>
      </c>
      <c r="M193" s="11">
        <v>45733</v>
      </c>
      <c r="N193" s="11">
        <v>45763</v>
      </c>
    </row>
    <row r="194" spans="1:14" x14ac:dyDescent="0.25">
      <c r="A194" s="2">
        <v>2575</v>
      </c>
      <c r="B194">
        <v>3686</v>
      </c>
      <c r="C194" t="s">
        <v>10</v>
      </c>
      <c r="D194">
        <v>0</v>
      </c>
      <c r="E194">
        <v>0</v>
      </c>
      <c r="F194">
        <v>0</v>
      </c>
      <c r="G194" t="b">
        <v>1</v>
      </c>
      <c r="H194">
        <v>1524</v>
      </c>
      <c r="I194" t="b">
        <v>0</v>
      </c>
      <c r="J194" t="b">
        <v>0</v>
      </c>
      <c r="K194">
        <v>0</v>
      </c>
      <c r="L194">
        <v>6</v>
      </c>
      <c r="M194" s="11">
        <v>45740</v>
      </c>
      <c r="N194" s="11">
        <v>45770</v>
      </c>
    </row>
    <row r="195" spans="1:14" x14ac:dyDescent="0.25">
      <c r="A195" s="2">
        <v>2576</v>
      </c>
      <c r="B195">
        <v>720</v>
      </c>
      <c r="C195" t="s">
        <v>10</v>
      </c>
      <c r="D195">
        <v>174.02</v>
      </c>
      <c r="E195">
        <v>14</v>
      </c>
      <c r="F195">
        <v>0</v>
      </c>
      <c r="G195" t="b">
        <v>1</v>
      </c>
      <c r="H195">
        <v>640</v>
      </c>
      <c r="I195" t="b">
        <v>1</v>
      </c>
      <c r="J195" t="b">
        <v>0</v>
      </c>
      <c r="K195">
        <v>0</v>
      </c>
      <c r="L195">
        <v>6</v>
      </c>
      <c r="M195" s="11">
        <v>45747</v>
      </c>
      <c r="N195" s="11">
        <v>45777</v>
      </c>
    </row>
    <row r="196" spans="1:14" x14ac:dyDescent="0.25">
      <c r="A196" s="2">
        <v>2577</v>
      </c>
      <c r="B196">
        <v>2503</v>
      </c>
      <c r="C196" t="s">
        <v>10</v>
      </c>
      <c r="D196">
        <v>0</v>
      </c>
      <c r="E196">
        <v>14</v>
      </c>
      <c r="F196">
        <v>0</v>
      </c>
      <c r="G196" t="b">
        <v>1</v>
      </c>
      <c r="H196">
        <v>640</v>
      </c>
      <c r="I196" t="b">
        <v>1</v>
      </c>
      <c r="J196" t="b">
        <v>0</v>
      </c>
      <c r="K196">
        <v>0</v>
      </c>
      <c r="L196">
        <v>6</v>
      </c>
      <c r="M196" s="11">
        <v>45754</v>
      </c>
      <c r="N196" s="11">
        <v>45784</v>
      </c>
    </row>
    <row r="197" spans="1:14" x14ac:dyDescent="0.25">
      <c r="A197" s="2">
        <v>2578</v>
      </c>
      <c r="B197">
        <v>2818</v>
      </c>
      <c r="C197" t="s">
        <v>10</v>
      </c>
      <c r="D197">
        <v>0</v>
      </c>
      <c r="E197">
        <v>0</v>
      </c>
      <c r="F197">
        <v>0</v>
      </c>
      <c r="G197" t="b">
        <v>1</v>
      </c>
      <c r="H197">
        <v>640</v>
      </c>
      <c r="I197" t="b">
        <v>1</v>
      </c>
      <c r="J197" t="b">
        <v>0</v>
      </c>
      <c r="K197">
        <v>0</v>
      </c>
      <c r="L197">
        <v>6</v>
      </c>
      <c r="M197" s="11">
        <v>45761</v>
      </c>
      <c r="N197" s="11">
        <v>45791</v>
      </c>
    </row>
    <row r="198" spans="1:14" x14ac:dyDescent="0.25">
      <c r="A198" s="2">
        <v>2579</v>
      </c>
      <c r="B198">
        <v>2965</v>
      </c>
      <c r="C198" t="s">
        <v>10</v>
      </c>
      <c r="D198">
        <v>0</v>
      </c>
      <c r="E198">
        <v>49</v>
      </c>
      <c r="F198">
        <v>0</v>
      </c>
      <c r="G198" t="b">
        <v>1</v>
      </c>
      <c r="H198">
        <v>1524</v>
      </c>
      <c r="I198" t="b">
        <v>0</v>
      </c>
      <c r="J198" t="b">
        <v>0</v>
      </c>
      <c r="K198">
        <v>0</v>
      </c>
      <c r="L198">
        <v>6</v>
      </c>
      <c r="M198" s="11">
        <v>45768</v>
      </c>
      <c r="N198" s="11">
        <v>45798</v>
      </c>
    </row>
    <row r="199" spans="1:14" x14ac:dyDescent="0.25">
      <c r="A199" s="2">
        <v>2580</v>
      </c>
      <c r="B199">
        <v>2771</v>
      </c>
      <c r="C199" t="s">
        <v>10</v>
      </c>
      <c r="D199">
        <v>0</v>
      </c>
      <c r="E199">
        <v>33</v>
      </c>
      <c r="F199">
        <v>0</v>
      </c>
      <c r="G199" t="b">
        <v>1</v>
      </c>
      <c r="H199">
        <v>1524</v>
      </c>
      <c r="I199" t="b">
        <v>0</v>
      </c>
      <c r="J199" t="b">
        <v>0</v>
      </c>
      <c r="K199">
        <v>0</v>
      </c>
      <c r="L199">
        <v>6</v>
      </c>
      <c r="M199" s="11">
        <v>45775</v>
      </c>
      <c r="N199" s="11">
        <v>45805</v>
      </c>
    </row>
    <row r="200" spans="1:14" x14ac:dyDescent="0.25">
      <c r="A200" s="2">
        <v>2581</v>
      </c>
      <c r="B200">
        <v>1482</v>
      </c>
      <c r="C200" t="s">
        <v>10</v>
      </c>
      <c r="D200">
        <v>0</v>
      </c>
      <c r="E200">
        <v>19</v>
      </c>
      <c r="F200">
        <v>0</v>
      </c>
      <c r="G200" t="b">
        <v>1</v>
      </c>
      <c r="H200">
        <v>640</v>
      </c>
      <c r="I200" t="b">
        <v>1</v>
      </c>
      <c r="J200" t="b">
        <v>0</v>
      </c>
      <c r="K200">
        <v>0</v>
      </c>
      <c r="L200">
        <v>6</v>
      </c>
      <c r="M200" s="11">
        <v>45782</v>
      </c>
      <c r="N200" s="11">
        <v>45812</v>
      </c>
    </row>
    <row r="201" spans="1:14" x14ac:dyDescent="0.25">
      <c r="A201" s="2">
        <v>2582</v>
      </c>
      <c r="B201">
        <v>3686</v>
      </c>
      <c r="C201" t="s">
        <v>10</v>
      </c>
      <c r="D201">
        <v>0</v>
      </c>
      <c r="E201">
        <v>0</v>
      </c>
      <c r="F201">
        <v>0.3</v>
      </c>
      <c r="G201" t="b">
        <v>1</v>
      </c>
      <c r="H201">
        <v>1524</v>
      </c>
      <c r="I201" t="b">
        <v>0</v>
      </c>
      <c r="J201" t="b">
        <v>0</v>
      </c>
      <c r="K201">
        <v>0</v>
      </c>
      <c r="L201">
        <v>6</v>
      </c>
      <c r="M201" s="11">
        <v>45789</v>
      </c>
      <c r="N201" s="11">
        <v>45819</v>
      </c>
    </row>
    <row r="202" spans="1:14" x14ac:dyDescent="0.25">
      <c r="A202" s="2">
        <v>2583</v>
      </c>
      <c r="B202">
        <v>2974</v>
      </c>
      <c r="C202" t="s">
        <v>10</v>
      </c>
      <c r="D202">
        <v>380.76</v>
      </c>
      <c r="E202">
        <v>19</v>
      </c>
      <c r="F202">
        <v>0</v>
      </c>
      <c r="G202" t="b">
        <v>1</v>
      </c>
      <c r="H202">
        <v>640</v>
      </c>
      <c r="I202" t="b">
        <v>1</v>
      </c>
      <c r="J202" t="b">
        <v>0</v>
      </c>
      <c r="K202">
        <v>0</v>
      </c>
      <c r="L202">
        <v>6</v>
      </c>
      <c r="M202" s="11">
        <v>45796</v>
      </c>
      <c r="N202" s="11">
        <v>45826</v>
      </c>
    </row>
    <row r="203" spans="1:14" x14ac:dyDescent="0.25">
      <c r="A203" s="2">
        <v>2584</v>
      </c>
      <c r="B203">
        <v>2937</v>
      </c>
      <c r="C203" t="s">
        <v>10</v>
      </c>
      <c r="D203">
        <v>0</v>
      </c>
      <c r="E203">
        <v>0</v>
      </c>
      <c r="F203">
        <v>0.4</v>
      </c>
      <c r="G203" t="b">
        <v>1</v>
      </c>
      <c r="H203">
        <v>1524</v>
      </c>
      <c r="I203" t="b">
        <v>0</v>
      </c>
      <c r="J203" t="b">
        <v>0</v>
      </c>
      <c r="K203">
        <v>0</v>
      </c>
      <c r="L203">
        <v>6</v>
      </c>
      <c r="M203" s="11">
        <v>45803</v>
      </c>
      <c r="N203" s="11">
        <v>45833</v>
      </c>
    </row>
    <row r="204" spans="1:14" x14ac:dyDescent="0.25">
      <c r="A204" s="2">
        <v>2585</v>
      </c>
      <c r="B204">
        <v>2937</v>
      </c>
      <c r="C204" t="s">
        <v>10</v>
      </c>
      <c r="D204">
        <v>0</v>
      </c>
      <c r="E204">
        <v>0</v>
      </c>
      <c r="F204">
        <v>0</v>
      </c>
      <c r="G204" t="b">
        <v>1</v>
      </c>
      <c r="H204">
        <v>1524</v>
      </c>
      <c r="I204" t="b">
        <v>0</v>
      </c>
      <c r="J204" t="b">
        <v>0</v>
      </c>
      <c r="K204">
        <v>0</v>
      </c>
      <c r="L204">
        <v>6</v>
      </c>
      <c r="M204" s="11">
        <v>45810</v>
      </c>
      <c r="N204" s="11">
        <v>45840</v>
      </c>
    </row>
    <row r="205" spans="1:14" x14ac:dyDescent="0.25">
      <c r="A205" s="2">
        <v>2586</v>
      </c>
      <c r="B205">
        <v>2913</v>
      </c>
      <c r="C205" t="s">
        <v>10</v>
      </c>
      <c r="D205">
        <v>0</v>
      </c>
      <c r="E205">
        <v>0</v>
      </c>
      <c r="F205">
        <v>0.3</v>
      </c>
      <c r="G205" t="b">
        <v>1</v>
      </c>
      <c r="H205">
        <v>1524</v>
      </c>
      <c r="I205" t="b">
        <v>0</v>
      </c>
      <c r="J205" t="b">
        <v>0</v>
      </c>
      <c r="K205">
        <v>0</v>
      </c>
      <c r="L205">
        <v>6</v>
      </c>
      <c r="M205" s="11">
        <v>45817</v>
      </c>
      <c r="N205" s="11">
        <v>45847</v>
      </c>
    </row>
    <row r="206" spans="1:14" x14ac:dyDescent="0.25">
      <c r="A206" s="2">
        <v>2587</v>
      </c>
      <c r="B206">
        <v>2771</v>
      </c>
      <c r="C206" t="s">
        <v>10</v>
      </c>
      <c r="D206">
        <v>0</v>
      </c>
      <c r="E206">
        <v>0</v>
      </c>
      <c r="F206">
        <v>0.3</v>
      </c>
      <c r="G206" t="b">
        <v>1</v>
      </c>
      <c r="H206">
        <v>1524</v>
      </c>
      <c r="I206" t="b">
        <v>0</v>
      </c>
      <c r="J206" t="b">
        <v>0</v>
      </c>
      <c r="K206">
        <v>0</v>
      </c>
      <c r="L206">
        <v>6</v>
      </c>
      <c r="M206" s="11">
        <v>45824</v>
      </c>
      <c r="N206" s="11">
        <v>45854</v>
      </c>
    </row>
    <row r="207" spans="1:14" x14ac:dyDescent="0.25">
      <c r="A207" s="2">
        <v>2588</v>
      </c>
      <c r="B207">
        <v>2962</v>
      </c>
      <c r="C207" t="s">
        <v>10</v>
      </c>
      <c r="D207">
        <v>0</v>
      </c>
      <c r="E207">
        <v>160</v>
      </c>
      <c r="F207">
        <v>0.2</v>
      </c>
      <c r="G207" t="b">
        <v>1</v>
      </c>
      <c r="H207">
        <v>1524</v>
      </c>
      <c r="I207" t="b">
        <v>0</v>
      </c>
      <c r="J207" t="b">
        <v>0</v>
      </c>
      <c r="K207">
        <v>0</v>
      </c>
      <c r="L207">
        <v>6</v>
      </c>
      <c r="M207" s="11">
        <v>45831</v>
      </c>
      <c r="N207" s="11">
        <v>45861</v>
      </c>
    </row>
    <row r="208" spans="1:14" x14ac:dyDescent="0.25">
      <c r="A208" s="2">
        <v>2589</v>
      </c>
      <c r="B208">
        <v>2421</v>
      </c>
      <c r="C208" t="s">
        <v>10</v>
      </c>
      <c r="D208">
        <v>5156.43</v>
      </c>
      <c r="E208">
        <v>390</v>
      </c>
      <c r="F208">
        <v>0.3</v>
      </c>
      <c r="G208" t="b">
        <v>1</v>
      </c>
      <c r="H208">
        <v>1524</v>
      </c>
      <c r="I208" t="b">
        <v>0</v>
      </c>
      <c r="J208" t="b">
        <v>0</v>
      </c>
      <c r="K208">
        <v>0</v>
      </c>
      <c r="L208">
        <v>6</v>
      </c>
      <c r="M208" s="11">
        <v>45838</v>
      </c>
      <c r="N208" s="11">
        <v>45868</v>
      </c>
    </row>
    <row r="209" spans="1:14" x14ac:dyDescent="0.25">
      <c r="A209" s="2">
        <v>2590</v>
      </c>
      <c r="B209">
        <v>2421</v>
      </c>
      <c r="C209" t="s">
        <v>10</v>
      </c>
      <c r="D209">
        <v>3081</v>
      </c>
      <c r="E209">
        <v>80</v>
      </c>
      <c r="F209">
        <v>0.3</v>
      </c>
      <c r="G209" t="b">
        <v>1</v>
      </c>
      <c r="H209">
        <v>1524</v>
      </c>
      <c r="I209" t="b">
        <v>0</v>
      </c>
      <c r="J209" t="b">
        <v>0</v>
      </c>
      <c r="K209">
        <v>0</v>
      </c>
      <c r="L209">
        <v>6</v>
      </c>
      <c r="M209" s="11">
        <v>45845</v>
      </c>
      <c r="N209" s="11">
        <v>45875</v>
      </c>
    </row>
    <row r="210" spans="1:14" x14ac:dyDescent="0.25">
      <c r="A210" s="2">
        <v>2591</v>
      </c>
      <c r="B210">
        <v>798</v>
      </c>
      <c r="C210" t="s">
        <v>10</v>
      </c>
      <c r="D210">
        <v>0</v>
      </c>
      <c r="E210">
        <v>0</v>
      </c>
      <c r="F210">
        <v>0.1</v>
      </c>
      <c r="G210" t="b">
        <v>1</v>
      </c>
      <c r="H210">
        <v>1524</v>
      </c>
      <c r="I210" t="b">
        <v>0</v>
      </c>
      <c r="J210" t="b">
        <v>0</v>
      </c>
      <c r="K210">
        <v>0</v>
      </c>
      <c r="L210">
        <v>6</v>
      </c>
      <c r="M210" s="11">
        <v>45852</v>
      </c>
      <c r="N210" s="11">
        <v>45882</v>
      </c>
    </row>
    <row r="211" spans="1:14" x14ac:dyDescent="0.25">
      <c r="A211" s="2">
        <v>2592</v>
      </c>
      <c r="B211">
        <v>2937</v>
      </c>
      <c r="C211" t="s">
        <v>10</v>
      </c>
      <c r="D211">
        <v>0</v>
      </c>
      <c r="E211">
        <v>0</v>
      </c>
      <c r="F211">
        <v>0</v>
      </c>
      <c r="G211" t="b">
        <v>1</v>
      </c>
      <c r="H211">
        <v>1524</v>
      </c>
      <c r="I211" t="b">
        <v>0</v>
      </c>
      <c r="J211" t="b">
        <v>0</v>
      </c>
      <c r="K211">
        <v>0</v>
      </c>
      <c r="L211">
        <v>6</v>
      </c>
      <c r="M211" s="11">
        <v>45859</v>
      </c>
      <c r="N211" s="11">
        <v>45889</v>
      </c>
    </row>
    <row r="212" spans="1:14" x14ac:dyDescent="0.25">
      <c r="A212" s="2">
        <v>2593</v>
      </c>
      <c r="B212">
        <v>2771</v>
      </c>
      <c r="C212" t="s">
        <v>10</v>
      </c>
      <c r="D212">
        <v>0</v>
      </c>
      <c r="E212">
        <v>94</v>
      </c>
      <c r="F212">
        <v>0.3</v>
      </c>
      <c r="G212" t="b">
        <v>1</v>
      </c>
      <c r="H212">
        <v>1524</v>
      </c>
      <c r="I212" t="b">
        <v>0</v>
      </c>
      <c r="J212" t="b">
        <v>0</v>
      </c>
      <c r="K212">
        <v>0</v>
      </c>
      <c r="L212">
        <v>6</v>
      </c>
      <c r="M212" s="11">
        <v>45866</v>
      </c>
      <c r="N212" s="11">
        <v>45896</v>
      </c>
    </row>
    <row r="213" spans="1:14" x14ac:dyDescent="0.25">
      <c r="A213" s="2">
        <v>2594</v>
      </c>
      <c r="B213">
        <v>2913</v>
      </c>
      <c r="C213" t="s">
        <v>10</v>
      </c>
      <c r="D213">
        <v>5030.7299999999996</v>
      </c>
      <c r="E213">
        <v>600</v>
      </c>
      <c r="F213">
        <v>0.3</v>
      </c>
      <c r="G213" t="b">
        <v>1</v>
      </c>
      <c r="H213">
        <v>1524</v>
      </c>
      <c r="I213" t="b">
        <v>0</v>
      </c>
      <c r="J213" t="b">
        <v>0</v>
      </c>
      <c r="K213">
        <v>0</v>
      </c>
      <c r="L213">
        <v>6</v>
      </c>
      <c r="M213" s="11">
        <v>45873</v>
      </c>
      <c r="N213" s="11">
        <v>45903</v>
      </c>
    </row>
    <row r="214" spans="1:14" x14ac:dyDescent="0.25">
      <c r="A214" s="2">
        <v>2595</v>
      </c>
      <c r="B214">
        <v>2319</v>
      </c>
      <c r="C214" t="s">
        <v>10</v>
      </c>
      <c r="D214">
        <v>0</v>
      </c>
      <c r="E214">
        <v>400</v>
      </c>
      <c r="F214">
        <v>0.3</v>
      </c>
      <c r="G214" t="b">
        <v>1</v>
      </c>
      <c r="H214">
        <v>1524</v>
      </c>
      <c r="I214" t="b">
        <v>0</v>
      </c>
      <c r="J214" t="b">
        <v>0</v>
      </c>
      <c r="K214">
        <v>0</v>
      </c>
      <c r="L214">
        <v>6</v>
      </c>
      <c r="M214" s="11">
        <v>45880</v>
      </c>
      <c r="N214" s="11">
        <v>45910</v>
      </c>
    </row>
    <row r="215" spans="1:14" x14ac:dyDescent="0.25">
      <c r="A215" s="2">
        <v>2596</v>
      </c>
      <c r="B215">
        <v>798</v>
      </c>
      <c r="C215" t="s">
        <v>10</v>
      </c>
      <c r="D215">
        <v>0</v>
      </c>
      <c r="E215">
        <v>0</v>
      </c>
      <c r="F215">
        <v>0.3</v>
      </c>
      <c r="G215" t="b">
        <v>1</v>
      </c>
      <c r="H215">
        <v>1524</v>
      </c>
      <c r="I215" t="b">
        <v>1</v>
      </c>
      <c r="J215" t="b">
        <v>0</v>
      </c>
      <c r="K215">
        <v>0</v>
      </c>
      <c r="L215">
        <v>6</v>
      </c>
      <c r="M215" s="11">
        <v>45887</v>
      </c>
      <c r="N215" s="11">
        <v>45917</v>
      </c>
    </row>
    <row r="216" spans="1:14" x14ac:dyDescent="0.25">
      <c r="A216" s="2">
        <v>2597</v>
      </c>
      <c r="B216">
        <v>798</v>
      </c>
      <c r="C216" t="s">
        <v>10</v>
      </c>
      <c r="D216">
        <v>0</v>
      </c>
      <c r="E216">
        <v>0</v>
      </c>
      <c r="F216">
        <v>0.3</v>
      </c>
      <c r="G216" t="b">
        <v>1</v>
      </c>
      <c r="H216">
        <v>1524</v>
      </c>
      <c r="I216" t="b">
        <v>0</v>
      </c>
      <c r="J216" t="b">
        <v>0</v>
      </c>
      <c r="K216">
        <v>0</v>
      </c>
      <c r="L216">
        <v>6</v>
      </c>
      <c r="M216" s="11">
        <v>45894</v>
      </c>
      <c r="N216" s="11">
        <v>45924</v>
      </c>
    </row>
    <row r="217" spans="1:14" x14ac:dyDescent="0.25">
      <c r="A217" s="2">
        <v>2598</v>
      </c>
      <c r="B217">
        <v>798</v>
      </c>
      <c r="C217" t="s">
        <v>10</v>
      </c>
      <c r="D217">
        <v>0</v>
      </c>
      <c r="E217">
        <v>0</v>
      </c>
      <c r="F217">
        <v>0.3</v>
      </c>
      <c r="G217" t="b">
        <v>1</v>
      </c>
      <c r="H217">
        <v>1524</v>
      </c>
      <c r="I217" t="b">
        <v>0</v>
      </c>
      <c r="J217" t="b">
        <v>0</v>
      </c>
      <c r="K217">
        <v>0</v>
      </c>
      <c r="L217">
        <v>6</v>
      </c>
      <c r="M217" s="11">
        <v>45901</v>
      </c>
      <c r="N217" s="11">
        <v>45931</v>
      </c>
    </row>
    <row r="218" spans="1:14" x14ac:dyDescent="0.25">
      <c r="A218" s="2">
        <v>2599</v>
      </c>
      <c r="B218">
        <v>798</v>
      </c>
      <c r="C218" t="s">
        <v>10</v>
      </c>
      <c r="D218">
        <v>0</v>
      </c>
      <c r="E218">
        <v>0</v>
      </c>
      <c r="F218">
        <v>0</v>
      </c>
      <c r="G218" t="b">
        <v>1</v>
      </c>
      <c r="H218">
        <v>1524</v>
      </c>
      <c r="I218" t="b">
        <v>0</v>
      </c>
      <c r="J218" t="b">
        <v>0</v>
      </c>
      <c r="K218">
        <v>0</v>
      </c>
      <c r="L218">
        <v>6</v>
      </c>
      <c r="M218" s="11">
        <v>45908</v>
      </c>
      <c r="N218" s="11">
        <v>45938</v>
      </c>
    </row>
    <row r="219" spans="1:14" x14ac:dyDescent="0.25">
      <c r="A219" s="2">
        <v>2600</v>
      </c>
      <c r="B219">
        <v>2818</v>
      </c>
      <c r="C219" t="s">
        <v>10</v>
      </c>
      <c r="D219">
        <v>0</v>
      </c>
      <c r="E219">
        <v>13.5</v>
      </c>
      <c r="F219">
        <v>0</v>
      </c>
      <c r="G219" t="b">
        <v>1</v>
      </c>
      <c r="H219">
        <v>640</v>
      </c>
      <c r="I219" t="b">
        <v>0</v>
      </c>
      <c r="J219" t="b">
        <v>0</v>
      </c>
      <c r="K219">
        <v>0</v>
      </c>
      <c r="L219">
        <v>6</v>
      </c>
      <c r="M219" s="11">
        <v>45915</v>
      </c>
      <c r="N219" s="11">
        <v>45945</v>
      </c>
    </row>
    <row r="220" spans="1:14" x14ac:dyDescent="0.25">
      <c r="A220" s="2">
        <v>2601</v>
      </c>
      <c r="B220">
        <v>933</v>
      </c>
      <c r="C220" t="s">
        <v>10</v>
      </c>
      <c r="D220">
        <v>0</v>
      </c>
      <c r="E220">
        <v>0</v>
      </c>
      <c r="F220">
        <v>0.3</v>
      </c>
      <c r="G220" t="b">
        <v>1</v>
      </c>
      <c r="H220">
        <v>1524</v>
      </c>
      <c r="I220" t="b">
        <v>0</v>
      </c>
      <c r="J220" t="b">
        <v>0</v>
      </c>
      <c r="K220">
        <v>0</v>
      </c>
      <c r="L220">
        <v>6</v>
      </c>
      <c r="M220" s="11">
        <v>45922</v>
      </c>
      <c r="N220" s="11">
        <v>45952</v>
      </c>
    </row>
    <row r="221" spans="1:14" x14ac:dyDescent="0.25">
      <c r="A221" s="2">
        <v>2602</v>
      </c>
      <c r="B221">
        <v>1482</v>
      </c>
      <c r="C221" t="s">
        <v>10</v>
      </c>
      <c r="D221">
        <v>0</v>
      </c>
      <c r="E221">
        <v>13.5</v>
      </c>
      <c r="F221">
        <v>0</v>
      </c>
      <c r="G221" t="b">
        <v>1</v>
      </c>
      <c r="H221">
        <v>640</v>
      </c>
      <c r="I221" t="b">
        <v>0</v>
      </c>
      <c r="J221" t="b">
        <v>0</v>
      </c>
      <c r="K221">
        <v>0</v>
      </c>
      <c r="L221">
        <v>6</v>
      </c>
      <c r="M221" s="11">
        <v>45929</v>
      </c>
      <c r="N221" s="11">
        <v>45959</v>
      </c>
    </row>
    <row r="222" spans="1:14" x14ac:dyDescent="0.25">
      <c r="A222" s="2">
        <v>2603</v>
      </c>
      <c r="B222">
        <v>2913</v>
      </c>
      <c r="C222" t="s">
        <v>10</v>
      </c>
      <c r="D222">
        <v>0</v>
      </c>
      <c r="E222">
        <v>0</v>
      </c>
      <c r="F222">
        <v>0.3</v>
      </c>
      <c r="G222" t="b">
        <v>1</v>
      </c>
      <c r="H222">
        <v>1524</v>
      </c>
      <c r="I222" t="b">
        <v>0</v>
      </c>
      <c r="J222" t="b">
        <v>0</v>
      </c>
      <c r="K222">
        <v>0</v>
      </c>
      <c r="L222">
        <v>6</v>
      </c>
      <c r="M222" s="11">
        <v>45936</v>
      </c>
      <c r="N222" s="11">
        <v>45966</v>
      </c>
    </row>
    <row r="223" spans="1:14" x14ac:dyDescent="0.25">
      <c r="A223" s="2">
        <v>2604</v>
      </c>
      <c r="B223">
        <v>2818</v>
      </c>
      <c r="C223" t="s">
        <v>10</v>
      </c>
      <c r="D223">
        <v>0</v>
      </c>
      <c r="E223">
        <v>0</v>
      </c>
      <c r="F223">
        <v>0</v>
      </c>
      <c r="G223" t="b">
        <v>1</v>
      </c>
      <c r="H223">
        <v>640</v>
      </c>
      <c r="I223" t="b">
        <v>0</v>
      </c>
      <c r="J223" t="b">
        <v>0</v>
      </c>
      <c r="K223">
        <v>0</v>
      </c>
      <c r="L223">
        <v>6</v>
      </c>
      <c r="M223" s="11">
        <v>45943</v>
      </c>
      <c r="N223" s="11">
        <v>45973</v>
      </c>
    </row>
    <row r="224" spans="1:14" x14ac:dyDescent="0.25">
      <c r="A224" s="2">
        <v>2605</v>
      </c>
      <c r="B224">
        <v>798</v>
      </c>
      <c r="C224" t="s">
        <v>10</v>
      </c>
      <c r="D224">
        <v>0</v>
      </c>
      <c r="E224">
        <v>0</v>
      </c>
      <c r="F224">
        <v>0.3</v>
      </c>
      <c r="G224" t="b">
        <v>0</v>
      </c>
      <c r="H224">
        <v>1524</v>
      </c>
      <c r="I224" t="b">
        <v>0</v>
      </c>
      <c r="J224" t="b">
        <v>0</v>
      </c>
      <c r="K224">
        <v>0</v>
      </c>
      <c r="L224">
        <v>6</v>
      </c>
      <c r="M224" s="11">
        <v>45950</v>
      </c>
      <c r="N224" s="11">
        <v>45980</v>
      </c>
    </row>
    <row r="225" spans="1:14" x14ac:dyDescent="0.25">
      <c r="A225" s="2">
        <v>2606</v>
      </c>
      <c r="B225">
        <v>2829</v>
      </c>
      <c r="C225" t="s">
        <v>10</v>
      </c>
      <c r="D225">
        <v>0</v>
      </c>
      <c r="E225">
        <v>0</v>
      </c>
      <c r="F225">
        <v>0</v>
      </c>
      <c r="G225" t="b">
        <v>1</v>
      </c>
      <c r="H225">
        <v>1524</v>
      </c>
      <c r="I225" t="b">
        <v>0</v>
      </c>
      <c r="J225" t="b">
        <v>0</v>
      </c>
      <c r="K225">
        <v>0</v>
      </c>
      <c r="L225">
        <v>6</v>
      </c>
      <c r="M225" s="11">
        <v>45957</v>
      </c>
      <c r="N225" s="11">
        <v>46017</v>
      </c>
    </row>
    <row r="226" spans="1:14" x14ac:dyDescent="0.25">
      <c r="A226" s="2">
        <v>2607</v>
      </c>
      <c r="B226">
        <v>2962</v>
      </c>
      <c r="C226" t="s">
        <v>10</v>
      </c>
      <c r="D226">
        <v>0</v>
      </c>
      <c r="E226">
        <v>46</v>
      </c>
      <c r="F226">
        <v>0.2</v>
      </c>
      <c r="G226" t="b">
        <v>1</v>
      </c>
      <c r="H226">
        <v>1524</v>
      </c>
      <c r="I226" t="b">
        <v>1</v>
      </c>
      <c r="J226" t="b">
        <v>0</v>
      </c>
      <c r="K226">
        <v>0</v>
      </c>
      <c r="L226">
        <v>6</v>
      </c>
      <c r="M226" s="11">
        <v>45964</v>
      </c>
      <c r="N226" s="11">
        <v>45994</v>
      </c>
    </row>
    <row r="227" spans="1:14" x14ac:dyDescent="0.25">
      <c r="A227" s="2">
        <v>2608</v>
      </c>
      <c r="B227">
        <v>1156</v>
      </c>
      <c r="C227" t="s">
        <v>10</v>
      </c>
      <c r="D227">
        <v>0</v>
      </c>
      <c r="E227">
        <v>29.5</v>
      </c>
      <c r="F227">
        <v>0</v>
      </c>
      <c r="G227" t="b">
        <v>1</v>
      </c>
      <c r="H227">
        <v>1524</v>
      </c>
      <c r="I227" t="b">
        <v>0</v>
      </c>
      <c r="J227" t="b">
        <v>0</v>
      </c>
      <c r="K227">
        <v>0</v>
      </c>
      <c r="L227">
        <v>6</v>
      </c>
      <c r="M227" s="11">
        <v>45971</v>
      </c>
      <c r="N227" s="11">
        <v>46001</v>
      </c>
    </row>
    <row r="228" spans="1:14" x14ac:dyDescent="0.25">
      <c r="A228" s="2">
        <v>2609</v>
      </c>
      <c r="B228">
        <v>2478</v>
      </c>
      <c r="C228" t="s">
        <v>10</v>
      </c>
      <c r="D228">
        <v>0</v>
      </c>
      <c r="E228">
        <v>14.5</v>
      </c>
      <c r="F228">
        <v>0</v>
      </c>
      <c r="G228" t="b">
        <v>0</v>
      </c>
      <c r="H228">
        <v>640</v>
      </c>
      <c r="I228" t="b">
        <v>0</v>
      </c>
      <c r="J228" t="b">
        <v>0</v>
      </c>
      <c r="K228">
        <v>0</v>
      </c>
      <c r="L228">
        <v>6</v>
      </c>
      <c r="M228" s="11">
        <v>45978</v>
      </c>
      <c r="N228" s="11">
        <v>46008</v>
      </c>
    </row>
    <row r="229" spans="1:14" x14ac:dyDescent="0.25">
      <c r="A229" s="2">
        <v>2610</v>
      </c>
      <c r="B229">
        <v>2319</v>
      </c>
      <c r="C229" t="s">
        <v>10</v>
      </c>
      <c r="D229">
        <v>0</v>
      </c>
      <c r="E229">
        <v>0</v>
      </c>
      <c r="F229">
        <v>0.3</v>
      </c>
      <c r="G229" t="b">
        <v>1</v>
      </c>
      <c r="H229">
        <v>1524</v>
      </c>
      <c r="I229" t="b">
        <v>0</v>
      </c>
      <c r="J229" t="b">
        <v>0</v>
      </c>
      <c r="K229">
        <v>0</v>
      </c>
      <c r="L229">
        <v>6</v>
      </c>
      <c r="M229" s="11">
        <v>45985</v>
      </c>
      <c r="N229" s="11">
        <v>46015</v>
      </c>
    </row>
    <row r="230" spans="1:14" x14ac:dyDescent="0.25">
      <c r="A230" s="2">
        <v>2611</v>
      </c>
      <c r="B230">
        <v>2937</v>
      </c>
      <c r="C230" t="s">
        <v>10</v>
      </c>
      <c r="D230">
        <v>0</v>
      </c>
      <c r="E230">
        <v>0</v>
      </c>
      <c r="F230">
        <v>0.3</v>
      </c>
      <c r="G230" t="b">
        <v>0</v>
      </c>
      <c r="H230">
        <v>1524</v>
      </c>
      <c r="I230" t="b">
        <v>0</v>
      </c>
      <c r="J230" t="b">
        <v>0</v>
      </c>
      <c r="K230">
        <v>0</v>
      </c>
      <c r="L230">
        <v>6</v>
      </c>
      <c r="M230" s="11">
        <v>45992</v>
      </c>
      <c r="N230" s="11">
        <v>46052</v>
      </c>
    </row>
    <row r="231" spans="1:14" x14ac:dyDescent="0.25">
      <c r="A231" s="2">
        <v>2612</v>
      </c>
      <c r="B231">
        <v>1482</v>
      </c>
      <c r="C231" t="s">
        <v>10</v>
      </c>
      <c r="D231">
        <v>0</v>
      </c>
      <c r="E231">
        <v>36</v>
      </c>
      <c r="F231">
        <v>0</v>
      </c>
      <c r="G231" t="b">
        <v>1</v>
      </c>
      <c r="H231">
        <v>640</v>
      </c>
      <c r="I231" t="b">
        <v>1</v>
      </c>
      <c r="J231" t="b">
        <v>0</v>
      </c>
      <c r="K231">
        <v>0</v>
      </c>
      <c r="L231">
        <v>6</v>
      </c>
      <c r="M231" s="11">
        <v>45999</v>
      </c>
      <c r="N231" s="11">
        <v>46029</v>
      </c>
    </row>
    <row r="232" spans="1:14" x14ac:dyDescent="0.25">
      <c r="A232" s="2">
        <v>2613</v>
      </c>
      <c r="B232">
        <v>798</v>
      </c>
      <c r="C232" t="s">
        <v>10</v>
      </c>
      <c r="D232">
        <v>0</v>
      </c>
      <c r="E232">
        <v>0</v>
      </c>
      <c r="F232">
        <v>0.3</v>
      </c>
      <c r="G232" t="b">
        <v>0</v>
      </c>
      <c r="H232">
        <v>1524</v>
      </c>
      <c r="I232" t="b">
        <v>0</v>
      </c>
      <c r="J232" t="b">
        <v>0</v>
      </c>
      <c r="K232">
        <v>0</v>
      </c>
      <c r="L232">
        <v>6</v>
      </c>
      <c r="M232" s="11">
        <v>46006</v>
      </c>
      <c r="N232" s="11">
        <v>46036</v>
      </c>
    </row>
    <row r="233" spans="1:14" x14ac:dyDescent="0.25">
      <c r="A233" s="2">
        <v>2614</v>
      </c>
      <c r="B233">
        <v>798</v>
      </c>
      <c r="C233" t="s">
        <v>10</v>
      </c>
      <c r="D233">
        <v>0</v>
      </c>
      <c r="E233">
        <v>0</v>
      </c>
      <c r="F233">
        <v>0</v>
      </c>
      <c r="G233" t="b">
        <v>1</v>
      </c>
      <c r="H233">
        <v>1524</v>
      </c>
      <c r="I233" t="b">
        <v>1</v>
      </c>
      <c r="J233" t="b">
        <v>0</v>
      </c>
      <c r="K233">
        <v>0</v>
      </c>
      <c r="L233">
        <v>6</v>
      </c>
      <c r="M233" s="11">
        <v>46013</v>
      </c>
      <c r="N233" s="11">
        <v>46043</v>
      </c>
    </row>
    <row r="234" spans="1:14" x14ac:dyDescent="0.25">
      <c r="A234" s="2">
        <v>2615</v>
      </c>
      <c r="B234">
        <v>27</v>
      </c>
      <c r="C234" t="s">
        <v>10</v>
      </c>
      <c r="D234">
        <v>0</v>
      </c>
      <c r="E234">
        <v>0</v>
      </c>
      <c r="F234">
        <v>0.2</v>
      </c>
      <c r="G234" t="b">
        <v>1</v>
      </c>
      <c r="H234">
        <v>1524</v>
      </c>
      <c r="I234" t="b">
        <v>0</v>
      </c>
      <c r="J234" t="b">
        <v>0</v>
      </c>
      <c r="K234">
        <v>0</v>
      </c>
      <c r="L234">
        <v>6</v>
      </c>
      <c r="M234" s="11">
        <v>46020</v>
      </c>
      <c r="N234" s="11">
        <v>46050</v>
      </c>
    </row>
    <row r="235" spans="1:14" x14ac:dyDescent="0.25">
      <c r="A235" s="2">
        <v>2616</v>
      </c>
      <c r="B235">
        <v>3647</v>
      </c>
      <c r="C235" t="s">
        <v>10</v>
      </c>
      <c r="D235">
        <v>0</v>
      </c>
      <c r="E235">
        <v>19</v>
      </c>
      <c r="F235">
        <v>0</v>
      </c>
      <c r="G235" t="b">
        <v>1</v>
      </c>
      <c r="H235">
        <v>1524</v>
      </c>
      <c r="I235" t="b">
        <v>0</v>
      </c>
      <c r="J235" t="b">
        <v>0</v>
      </c>
      <c r="K235">
        <v>0</v>
      </c>
      <c r="L235">
        <v>6</v>
      </c>
      <c r="M235" s="11">
        <v>46027</v>
      </c>
      <c r="N235" s="11">
        <v>46057</v>
      </c>
    </row>
    <row r="236" spans="1:14" x14ac:dyDescent="0.25">
      <c r="A236" s="2">
        <v>2617</v>
      </c>
      <c r="B236">
        <v>2142</v>
      </c>
      <c r="C236" t="s">
        <v>10</v>
      </c>
      <c r="D236">
        <v>0</v>
      </c>
      <c r="E236">
        <v>0</v>
      </c>
      <c r="F236">
        <v>0.3</v>
      </c>
      <c r="G236" t="b">
        <v>1</v>
      </c>
      <c r="H236">
        <v>1524</v>
      </c>
      <c r="I236" t="b">
        <v>0</v>
      </c>
      <c r="J236" t="b">
        <v>0</v>
      </c>
      <c r="K236">
        <v>0</v>
      </c>
      <c r="L236">
        <v>6</v>
      </c>
      <c r="M236" s="11">
        <v>46034</v>
      </c>
      <c r="N236" s="11">
        <v>46064</v>
      </c>
    </row>
    <row r="237" spans="1:14" x14ac:dyDescent="0.25">
      <c r="A237" s="2">
        <v>2618</v>
      </c>
      <c r="B237">
        <v>2345</v>
      </c>
      <c r="C237" t="s">
        <v>10</v>
      </c>
      <c r="D237">
        <v>0</v>
      </c>
      <c r="E237">
        <v>0</v>
      </c>
      <c r="F237">
        <v>0</v>
      </c>
      <c r="G237" t="b">
        <v>0</v>
      </c>
      <c r="H237">
        <v>1524</v>
      </c>
      <c r="I237" t="b">
        <v>0</v>
      </c>
      <c r="J237" t="b">
        <v>0</v>
      </c>
      <c r="K237">
        <v>0</v>
      </c>
      <c r="L237">
        <v>6</v>
      </c>
      <c r="M237" s="11">
        <v>46041</v>
      </c>
      <c r="N237" s="11">
        <v>46071</v>
      </c>
    </row>
    <row r="238" spans="1:14" x14ac:dyDescent="0.25">
      <c r="A238" s="2">
        <v>2619</v>
      </c>
      <c r="B238">
        <v>2568</v>
      </c>
      <c r="C238" t="s">
        <v>10</v>
      </c>
      <c r="D238">
        <v>0</v>
      </c>
      <c r="E238">
        <v>0</v>
      </c>
      <c r="F238">
        <v>0.3</v>
      </c>
      <c r="G238" t="b">
        <v>0</v>
      </c>
      <c r="H238">
        <v>1524</v>
      </c>
      <c r="I238" t="b">
        <v>0</v>
      </c>
      <c r="J238" t="b">
        <v>0</v>
      </c>
      <c r="K238">
        <v>0</v>
      </c>
      <c r="L238">
        <v>6</v>
      </c>
      <c r="M238" s="11">
        <v>46048</v>
      </c>
      <c r="N238" s="11">
        <v>46078</v>
      </c>
    </row>
    <row r="239" spans="1:14" x14ac:dyDescent="0.25">
      <c r="A239" s="2">
        <v>2620</v>
      </c>
      <c r="B239">
        <v>1395</v>
      </c>
      <c r="C239" t="s">
        <v>10</v>
      </c>
      <c r="D239">
        <v>0</v>
      </c>
      <c r="E239">
        <v>0</v>
      </c>
      <c r="F239">
        <v>0</v>
      </c>
      <c r="G239" t="b">
        <v>0</v>
      </c>
      <c r="H239">
        <v>1524</v>
      </c>
      <c r="I239" t="b">
        <v>0</v>
      </c>
      <c r="J239" t="b">
        <v>0</v>
      </c>
      <c r="K239">
        <v>0</v>
      </c>
      <c r="L239">
        <v>6</v>
      </c>
      <c r="M239" s="11">
        <v>46055</v>
      </c>
      <c r="N239" s="11">
        <v>46085</v>
      </c>
    </row>
  </sheetData>
  <autoFilter ref="A1:N239" xr:uid="{F703CDA5-D59B-4CDD-AB3F-C117D8A4876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61727EDD2BA842A70BB154AA27859C" ma:contentTypeVersion="11" ma:contentTypeDescription="Crée un document." ma:contentTypeScope="" ma:versionID="77d649c45aad758e85381104493b6741">
  <xsd:schema xmlns:xsd="http://www.w3.org/2001/XMLSchema" xmlns:xs="http://www.w3.org/2001/XMLSchema" xmlns:p="http://schemas.microsoft.com/office/2006/metadata/properties" xmlns:ns3="3177cb0a-3b49-4615-ba46-166a7d7cb80d" xmlns:ns4="714e3b44-cd55-459f-8df6-e387f880ae3d" targetNamespace="http://schemas.microsoft.com/office/2006/metadata/properties" ma:root="true" ma:fieldsID="b6d94736055ec6315d182a01f24f6855" ns3:_="" ns4:_="">
    <xsd:import namespace="3177cb0a-3b49-4615-ba46-166a7d7cb80d"/>
    <xsd:import namespace="714e3b44-cd55-459f-8df6-e387f880ae3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7cb0a-3b49-4615-ba46-166a7d7cb8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e3b44-cd55-459f-8df6-e387f880ae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5C61D0-839E-4F63-8FA5-49EE1498C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77cb0a-3b49-4615-ba46-166a7d7cb80d"/>
    <ds:schemaRef ds:uri="714e3b44-cd55-459f-8df6-e387f880a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EEADE8-4714-4F49-9564-121D39A58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EA70F6-AA54-4507-ABE0-BB1F922DAC95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714e3b44-cd55-459f-8df6-e387f880ae3d"/>
    <ds:schemaRef ds:uri="3177cb0a-3b49-4615-ba46-166a7d7cb80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INFOS</vt:lpstr>
      <vt:lpstr>FacturesCALC</vt:lpstr>
      <vt:lpstr>DetFactures</vt:lpstr>
      <vt:lpstr>Clients</vt:lpstr>
      <vt:lpstr>Articles</vt:lpstr>
      <vt:lpstr>FacturesCALC (2)</vt:lpstr>
      <vt:lpstr>FacturesCALC (4)</vt:lpstr>
      <vt:lpstr>Factures</vt:lpstr>
      <vt:lpstr>DateDeb</vt:lpstr>
      <vt:lpstr>DateFin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Exemples Power BI</dc:title>
  <dc:creator>Olivier Aillery</dc:creator>
  <cp:keywords>Microsoft Power BI Desktop;Data;statistiques</cp:keywords>
  <cp:lastModifiedBy>Olivier Aillery</cp:lastModifiedBy>
  <dcterms:created xsi:type="dcterms:W3CDTF">2019-11-01T14:30:06Z</dcterms:created>
  <dcterms:modified xsi:type="dcterms:W3CDTF">2026-02-02T06:52:44Z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0x0101008C61727EDD2BA842A70BB154AA27859C</vt:lpwstr>
  </property>
</Properties>
</file>