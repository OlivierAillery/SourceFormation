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illery-my.sharepoint.com/personal/olivier_aillery_com/Documents/Sources_POWER-BI/SOURCES PERSO/"/>
    </mc:Choice>
  </mc:AlternateContent>
  <xr:revisionPtr revIDLastSave="291" documentId="8_{6FA5E747-E11B-4247-B54F-109992281A81}" xr6:coauthVersionLast="47" xr6:coauthVersionMax="47" xr10:uidLastSave="{62E7967C-A737-452F-B805-9C0F5A275C15}"/>
  <bookViews>
    <workbookView xWindow="28680" yWindow="-120" windowWidth="29040" windowHeight="15720" activeTab="1" xr2:uid="{606055EC-F3ED-4C92-8195-7F69C75FCF90}"/>
  </bookViews>
  <sheets>
    <sheet name="SCD Types" sheetId="1" r:id="rId1"/>
    <sheet name="DataRH" sheetId="2" r:id="rId2"/>
    <sheet name="DataProduits" sheetId="3" r:id="rId3"/>
    <sheet name="DataPrixProduits" sheetId="4" r:id="rId4"/>
  </sheets>
  <definedNames>
    <definedName name="ListeRH">DataRH!$A$1:$K$49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4" l="1"/>
  <c r="C9" i="4"/>
  <c r="A19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2" i="3"/>
  <c r="H1" i="3"/>
  <c r="I29" i="2"/>
  <c r="I30" i="2"/>
  <c r="I8" i="2"/>
  <c r="I9" i="2"/>
  <c r="I35" i="2"/>
  <c r="I42" i="2"/>
  <c r="I43" i="2"/>
  <c r="I41" i="2"/>
  <c r="I48" i="2"/>
  <c r="I47" i="2"/>
  <c r="I17" i="2"/>
  <c r="I16" i="2"/>
  <c r="I20" i="2"/>
  <c r="I21" i="2"/>
  <c r="I22" i="2"/>
  <c r="I23" i="2"/>
  <c r="I19" i="2"/>
  <c r="C8" i="4" l="1"/>
  <c r="C5" i="4"/>
  <c r="D5" i="4" s="1"/>
  <c r="C6" i="4" s="1"/>
  <c r="D6" i="4" s="1"/>
  <c r="C7" i="4" s="1"/>
  <c r="C2" i="4"/>
  <c r="D2" i="4" s="1"/>
  <c r="C3" i="4" s="1"/>
  <c r="D3" i="4" s="1"/>
  <c r="C4" i="4" s="1"/>
</calcChain>
</file>

<file path=xl/sharedStrings.xml><?xml version="1.0" encoding="utf-8"?>
<sst xmlns="http://schemas.openxmlformats.org/spreadsheetml/2006/main" count="438" uniqueCount="91">
  <si>
    <t>SCD: Slowly Changing Dimension</t>
  </si>
  <si>
    <t>Type</t>
  </si>
  <si>
    <t>Fonctionnement</t>
  </si>
  <si>
    <t>aucun changement accepté</t>
  </si>
  <si>
    <t>Type 4 + Type 1, 
donc une seule valeur historisée dans une table séparée</t>
  </si>
  <si>
    <t>conserver la dernière valeur et la précédente uniquement,
dans une colonne d'historique (pas de  nouvelle ligne)</t>
  </si>
  <si>
    <t>comme le type 2,
mais avec une table séparée pour l'historique</t>
  </si>
  <si>
    <t>ne conserver que la dernière valeur saisie
(pas d'historique)</t>
  </si>
  <si>
    <t>conserver l'historique avec des dates de début et de fin
donc création d'une nouvelle ligne à chaque modification</t>
  </si>
  <si>
    <t>Matricule</t>
  </si>
  <si>
    <t>NOM</t>
  </si>
  <si>
    <t>PRENOM</t>
  </si>
  <si>
    <t>Sexe</t>
  </si>
  <si>
    <t>Site</t>
  </si>
  <si>
    <t>Statut</t>
  </si>
  <si>
    <t>Contrat</t>
  </si>
  <si>
    <t>Service</t>
  </si>
  <si>
    <t>Brut</t>
  </si>
  <si>
    <t>A258</t>
  </si>
  <si>
    <t>RIEMANN</t>
  </si>
  <si>
    <t>Catherine</t>
  </si>
  <si>
    <t>Femme</t>
  </si>
  <si>
    <t>Strasbourg</t>
  </si>
  <si>
    <t>Agents de maîtrise</t>
  </si>
  <si>
    <t>Prestataire</t>
  </si>
  <si>
    <t>Finance</t>
  </si>
  <si>
    <t>A1018</t>
  </si>
  <si>
    <t>DOMAS</t>
  </si>
  <si>
    <t>Evelyne</t>
  </si>
  <si>
    <t>Lyon</t>
  </si>
  <si>
    <t>Employé</t>
  </si>
  <si>
    <t>CDI</t>
  </si>
  <si>
    <t>Rel. Humaines</t>
  </si>
  <si>
    <t>A549</t>
  </si>
  <si>
    <t>MARTIN</t>
  </si>
  <si>
    <t>Elisabeth</t>
  </si>
  <si>
    <t>Brest</t>
  </si>
  <si>
    <t>Cadre</t>
  </si>
  <si>
    <t>CDD</t>
  </si>
  <si>
    <t>A1265</t>
  </si>
  <si>
    <t>CARRETIER</t>
  </si>
  <si>
    <t>Michel</t>
  </si>
  <si>
    <t>Homme</t>
  </si>
  <si>
    <t>Nantes</t>
  </si>
  <si>
    <t>Intérim</t>
  </si>
  <si>
    <t>Informatique</t>
  </si>
  <si>
    <t>A1102</t>
  </si>
  <si>
    <t>DECAZENAVE</t>
  </si>
  <si>
    <t>Noëlle</t>
  </si>
  <si>
    <t>Marseille</t>
  </si>
  <si>
    <t>Stagiaire</t>
  </si>
  <si>
    <t>A835</t>
  </si>
  <si>
    <t>GEMIEUX</t>
  </si>
  <si>
    <t>Sophie</t>
  </si>
  <si>
    <t>Lille</t>
  </si>
  <si>
    <t>Admin</t>
  </si>
  <si>
    <t>A397</t>
  </si>
  <si>
    <t>PAROGUES</t>
  </si>
  <si>
    <t>Jacques</t>
  </si>
  <si>
    <t>Production</t>
  </si>
  <si>
    <t>A330</t>
  </si>
  <si>
    <t>PRENET</t>
  </si>
  <si>
    <t>Sidonie</t>
  </si>
  <si>
    <t>A236</t>
  </si>
  <si>
    <t>ROUCLA</t>
  </si>
  <si>
    <t>A1373</t>
  </si>
  <si>
    <t>BOREAL</t>
  </si>
  <si>
    <t>Martine</t>
  </si>
  <si>
    <t>A482</t>
  </si>
  <si>
    <t>MIROTTA</t>
  </si>
  <si>
    <t>A988</t>
  </si>
  <si>
    <t>DURANDET</t>
  </si>
  <si>
    <t>Sylviane</t>
  </si>
  <si>
    <t>A1050</t>
  </si>
  <si>
    <t>DERUELLE</t>
  </si>
  <si>
    <t>Jean-Pierre</t>
  </si>
  <si>
    <t>Le Havre</t>
  </si>
  <si>
    <t>A1048</t>
  </si>
  <si>
    <t>Stéphanie</t>
  </si>
  <si>
    <t>Paris</t>
  </si>
  <si>
    <t>DateDébut</t>
  </si>
  <si>
    <t>DateFin</t>
  </si>
  <si>
    <t>KALORIS</t>
  </si>
  <si>
    <t>DateAchat</t>
  </si>
  <si>
    <t>Produit</t>
  </si>
  <si>
    <t>Quantite</t>
  </si>
  <si>
    <t>PR01</t>
  </si>
  <si>
    <t>PR02</t>
  </si>
  <si>
    <t>PR03</t>
  </si>
  <si>
    <t>Prix</t>
  </si>
  <si>
    <t>DateDebut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</si>
</sst>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6" x14ac:knownFonts="1">
    <font>
      <sz val="11"/>
      <color theme="1"/>
      <name val="Aptos Narrow"/>
      <family val="2"/>
      <scheme val="minor"/>
    </font>
    <font>
      <b/>
      <sz val="13"/>
      <color rgb="FF404040"/>
      <name val="Arial"/>
      <family val="2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Continuous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14" fontId="0" fillId="0" borderId="0" xfId="0" applyNumberFormat="1"/>
    <xf numFmtId="44" fontId="0" fillId="0" borderId="0" xfId="1" applyFont="1"/>
    <xf numFmtId="0" fontId="5" fillId="0" borderId="0" xfId="0" applyFont="1"/>
  </cellXfs>
  <cellStyles count="2">
    <cellStyle name="Monétaire" xfId="1" builtinId="4"/>
    <cellStyle name="Normal" xfId="0" builtinId="0"/>
  </cellStyles>
  <dxfs count="8"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d/mm/yyyy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68851D-BE64-40FF-A650-26B403EA64B9}" name="Tableau1" displayName="Tableau1" ref="A2:B8" totalsRowShown="0" headerRowDxfId="7" dataDxfId="6">
  <autoFilter ref="A2:B8" xr:uid="{1768851D-BE64-40FF-A650-26B403EA64B9}"/>
  <tableColumns count="2">
    <tableColumn id="1" xr3:uid="{C6448EDB-4140-4266-9765-77D2EAA2982E}" name="Type" dataDxfId="5"/>
    <tableColumn id="2" xr3:uid="{AF1C49BE-ABDC-4F0A-BF3C-366CC7F67072}" name="Fonctionnement" dataDxfId="4"/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D6083-2501-4181-802D-C5F73C1705B7}" name="TableVentes" displayName="TableVentes" ref="A1:C19" totalsRowShown="0">
  <autoFilter ref="A1:C19" xr:uid="{DC4D6083-2501-4181-802D-C5F73C1705B7}"/>
  <tableColumns count="3">
    <tableColumn id="1" xr3:uid="{95898D3B-F30F-484F-9B5F-6C73A567484B}" name="DateAchat" dataDxfId="3">
      <calculatedColumnFormula>RANDBETWEEN($H$1,$G$1)</calculatedColumnFormula>
    </tableColumn>
    <tableColumn id="2" xr3:uid="{0FF838AD-7AE2-4C95-9FE2-97DA61300087}" name="Produit"/>
    <tableColumn id="3" xr3:uid="{ABC02093-379D-42D6-8C8E-11FA690D84E9}" name="Quantite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3FE7EA-6E56-48DB-8CD9-B29076DB98D6}" name="TablePrixProduits" displayName="TablePrixProduits" ref="A1:D10" totalsRowShown="0">
  <autoFilter ref="A1:D10" xr:uid="{603FE7EA-6E56-48DB-8CD9-B29076DB98D6}"/>
  <tableColumns count="4">
    <tableColumn id="1" xr3:uid="{5AE4CEEB-8C0F-464B-AED4-7EB0399A68F1}" name="Produit"/>
    <tableColumn id="2" xr3:uid="{89EE026C-F7B4-4B51-A250-81275796F9DA}" name="Prix" dataDxfId="2" dataCellStyle="Monétaire"/>
    <tableColumn id="3" xr3:uid="{11320184-2404-48C1-8380-DAF37B21EA73}" name="DateDebut" dataDxfId="1">
      <calculatedColumnFormula>D1+1</calculatedColumnFormula>
    </tableColumn>
    <tableColumn id="4" xr3:uid="{7EF08F8D-26DE-4E22-9049-3491B219BDBB}" name="DateFin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DCE78-CD7B-4ABF-8581-DE914EF838F8}">
  <dimension ref="A1:D8"/>
  <sheetViews>
    <sheetView workbookViewId="0">
      <selection activeCell="B8" sqref="A2:B8"/>
    </sheetView>
  </sheetViews>
  <sheetFormatPr baseColWidth="10" defaultRowHeight="15" x14ac:dyDescent="0.25"/>
  <cols>
    <col min="2" max="2" width="51.28515625" bestFit="1" customWidth="1"/>
  </cols>
  <sheetData>
    <row r="1" spans="1:4" ht="16.5" x14ac:dyDescent="0.25">
      <c r="A1" s="3" t="s">
        <v>0</v>
      </c>
      <c r="B1" s="2"/>
      <c r="C1" s="1"/>
      <c r="D1" s="1"/>
    </row>
    <row r="2" spans="1:4" ht="15.75" x14ac:dyDescent="0.25">
      <c r="A2" s="5" t="s">
        <v>1</v>
      </c>
      <c r="B2" s="4" t="s">
        <v>2</v>
      </c>
    </row>
    <row r="3" spans="1:4" ht="15.75" x14ac:dyDescent="0.25">
      <c r="A3" s="5">
        <v>0</v>
      </c>
      <c r="B3" s="4" t="s">
        <v>3</v>
      </c>
    </row>
    <row r="4" spans="1:4" ht="31.5" x14ac:dyDescent="0.25">
      <c r="A4" s="5">
        <v>1</v>
      </c>
      <c r="B4" s="6" t="s">
        <v>7</v>
      </c>
    </row>
    <row r="5" spans="1:4" ht="63" x14ac:dyDescent="0.25">
      <c r="A5" s="5">
        <v>2</v>
      </c>
      <c r="B5" s="6" t="s">
        <v>8</v>
      </c>
    </row>
    <row r="6" spans="1:4" ht="47.25" x14ac:dyDescent="0.25">
      <c r="A6" s="5">
        <v>3</v>
      </c>
      <c r="B6" s="6" t="s">
        <v>5</v>
      </c>
    </row>
    <row r="7" spans="1:4" ht="31.5" x14ac:dyDescent="0.25">
      <c r="A7" s="5">
        <v>4</v>
      </c>
      <c r="B7" s="6" t="s">
        <v>6</v>
      </c>
    </row>
    <row r="8" spans="1:4" ht="47.25" x14ac:dyDescent="0.25">
      <c r="A8" s="5">
        <v>5</v>
      </c>
      <c r="B8" s="6" t="s">
        <v>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4E2D-016E-4742-8CCD-E08C77791D6D}">
  <dimension ref="A1:K49"/>
  <sheetViews>
    <sheetView tabSelected="1" workbookViewId="0">
      <selection activeCell="A5" sqref="A5"/>
    </sheetView>
  </sheetViews>
  <sheetFormatPr baseColWidth="10" defaultRowHeight="15" x14ac:dyDescent="0.25"/>
  <cols>
    <col min="2" max="2" width="16.140625" customWidth="1"/>
    <col min="6" max="6" width="15.85546875" customWidth="1"/>
    <col min="8" max="8" width="18.5703125" customWidth="1"/>
    <col min="11" max="11" width="11.7109375" bestFit="1" customWidth="1"/>
  </cols>
  <sheetData>
    <row r="1" spans="1:11" x14ac:dyDescent="0.25">
      <c r="A1" s="9" t="s">
        <v>9</v>
      </c>
      <c r="B1" s="9" t="s">
        <v>10</v>
      </c>
      <c r="C1" s="9" t="s">
        <v>11</v>
      </c>
      <c r="D1" s="9" t="s">
        <v>12</v>
      </c>
      <c r="E1" s="9" t="s">
        <v>13</v>
      </c>
      <c r="F1" s="9" t="s">
        <v>14</v>
      </c>
      <c r="G1" s="9" t="s">
        <v>15</v>
      </c>
      <c r="H1" s="9" t="s">
        <v>16</v>
      </c>
      <c r="I1" s="9" t="s">
        <v>80</v>
      </c>
      <c r="J1" s="9" t="s">
        <v>81</v>
      </c>
      <c r="K1" s="9" t="s">
        <v>17</v>
      </c>
    </row>
    <row r="2" spans="1:11" x14ac:dyDescent="0.25">
      <c r="A2" t="s">
        <v>26</v>
      </c>
      <c r="B2" t="s">
        <v>27</v>
      </c>
      <c r="C2" t="s">
        <v>28</v>
      </c>
      <c r="D2" t="s">
        <v>21</v>
      </c>
      <c r="E2" t="s">
        <v>29</v>
      </c>
      <c r="F2" t="s">
        <v>30</v>
      </c>
      <c r="G2" t="s">
        <v>31</v>
      </c>
      <c r="H2" t="s">
        <v>32</v>
      </c>
      <c r="I2" s="7">
        <v>43301</v>
      </c>
      <c r="J2" s="7">
        <v>44398</v>
      </c>
      <c r="K2" s="8">
        <v>3004</v>
      </c>
    </row>
    <row r="3" spans="1:11" x14ac:dyDescent="0.25">
      <c r="A3" t="s">
        <v>26</v>
      </c>
      <c r="B3" t="s">
        <v>27</v>
      </c>
      <c r="C3" t="s">
        <v>28</v>
      </c>
      <c r="D3" t="s">
        <v>21</v>
      </c>
      <c r="E3" t="s">
        <v>29</v>
      </c>
      <c r="F3" t="s">
        <v>30</v>
      </c>
      <c r="G3" t="s">
        <v>31</v>
      </c>
      <c r="H3" t="s">
        <v>32</v>
      </c>
      <c r="I3" s="7">
        <v>44399</v>
      </c>
      <c r="J3" s="7">
        <v>45474</v>
      </c>
      <c r="K3" s="8">
        <v>3102</v>
      </c>
    </row>
    <row r="4" spans="1:11" x14ac:dyDescent="0.25">
      <c r="A4" t="s">
        <v>26</v>
      </c>
      <c r="B4" t="s">
        <v>27</v>
      </c>
      <c r="C4" t="s">
        <v>28</v>
      </c>
      <c r="D4" t="s">
        <v>21</v>
      </c>
      <c r="E4" t="s">
        <v>49</v>
      </c>
      <c r="F4" t="s">
        <v>30</v>
      </c>
      <c r="G4" t="s">
        <v>31</v>
      </c>
      <c r="H4" t="s">
        <v>45</v>
      </c>
      <c r="I4" s="7">
        <v>45505</v>
      </c>
      <c r="J4" s="7">
        <v>45857</v>
      </c>
      <c r="K4" s="8">
        <v>3205</v>
      </c>
    </row>
    <row r="5" spans="1:11" x14ac:dyDescent="0.25">
      <c r="A5" t="s">
        <v>26</v>
      </c>
      <c r="B5" t="s">
        <v>27</v>
      </c>
      <c r="C5" t="s">
        <v>28</v>
      </c>
      <c r="D5" t="s">
        <v>21</v>
      </c>
      <c r="E5" t="s">
        <v>29</v>
      </c>
      <c r="F5" t="s">
        <v>37</v>
      </c>
      <c r="G5" t="s">
        <v>31</v>
      </c>
      <c r="H5" t="s">
        <v>32</v>
      </c>
      <c r="I5" s="7">
        <v>45858</v>
      </c>
      <c r="J5" s="7"/>
      <c r="K5" s="8">
        <v>3304</v>
      </c>
    </row>
    <row r="6" spans="1:11" x14ac:dyDescent="0.25">
      <c r="A6" t="s">
        <v>77</v>
      </c>
      <c r="B6" t="s">
        <v>74</v>
      </c>
      <c r="C6" t="s">
        <v>78</v>
      </c>
      <c r="D6" t="s">
        <v>21</v>
      </c>
      <c r="E6" t="s">
        <v>76</v>
      </c>
      <c r="F6" t="s">
        <v>37</v>
      </c>
      <c r="G6" t="s">
        <v>38</v>
      </c>
      <c r="H6" t="s">
        <v>59</v>
      </c>
      <c r="I6" s="7">
        <v>40281</v>
      </c>
      <c r="J6" s="7">
        <v>42107</v>
      </c>
      <c r="K6" s="8">
        <v>4001</v>
      </c>
    </row>
    <row r="7" spans="1:11" x14ac:dyDescent="0.25">
      <c r="A7" t="s">
        <v>77</v>
      </c>
      <c r="B7" t="s">
        <v>74</v>
      </c>
      <c r="C7" t="s">
        <v>78</v>
      </c>
      <c r="D7" t="s">
        <v>21</v>
      </c>
      <c r="E7" t="s">
        <v>79</v>
      </c>
      <c r="F7" t="s">
        <v>37</v>
      </c>
      <c r="G7" t="s">
        <v>31</v>
      </c>
      <c r="H7" t="s">
        <v>59</v>
      </c>
      <c r="I7" s="7">
        <v>42248</v>
      </c>
      <c r="J7" s="7">
        <v>43646</v>
      </c>
      <c r="K7" s="8">
        <v>4207</v>
      </c>
    </row>
    <row r="8" spans="1:11" x14ac:dyDescent="0.25">
      <c r="A8" t="s">
        <v>77</v>
      </c>
      <c r="B8" t="s">
        <v>74</v>
      </c>
      <c r="C8" t="s">
        <v>78</v>
      </c>
      <c r="D8" t="s">
        <v>21</v>
      </c>
      <c r="E8" t="s">
        <v>36</v>
      </c>
      <c r="F8" t="s">
        <v>37</v>
      </c>
      <c r="G8" t="s">
        <v>31</v>
      </c>
      <c r="H8" t="s">
        <v>59</v>
      </c>
      <c r="I8" s="7">
        <f>J7+1</f>
        <v>43647</v>
      </c>
      <c r="J8" s="7">
        <v>45444</v>
      </c>
      <c r="K8" s="8">
        <v>4208</v>
      </c>
    </row>
    <row r="9" spans="1:11" x14ac:dyDescent="0.25">
      <c r="A9" t="s">
        <v>77</v>
      </c>
      <c r="B9" t="s">
        <v>74</v>
      </c>
      <c r="C9" t="s">
        <v>78</v>
      </c>
      <c r="D9" t="s">
        <v>21</v>
      </c>
      <c r="E9" t="s">
        <v>49</v>
      </c>
      <c r="F9" t="s">
        <v>37</v>
      </c>
      <c r="G9" t="s">
        <v>31</v>
      </c>
      <c r="H9" t="s">
        <v>59</v>
      </c>
      <c r="I9" s="7">
        <f>J8+1</f>
        <v>45445</v>
      </c>
      <c r="J9" s="7"/>
      <c r="K9" s="8">
        <v>4209</v>
      </c>
    </row>
    <row r="10" spans="1:11" x14ac:dyDescent="0.25">
      <c r="A10" t="s">
        <v>73</v>
      </c>
      <c r="B10" t="s">
        <v>74</v>
      </c>
      <c r="C10" t="s">
        <v>75</v>
      </c>
      <c r="D10" t="s">
        <v>42</v>
      </c>
      <c r="E10" t="s">
        <v>76</v>
      </c>
      <c r="F10" t="s">
        <v>30</v>
      </c>
      <c r="G10" t="s">
        <v>38</v>
      </c>
      <c r="H10" t="s">
        <v>59</v>
      </c>
      <c r="I10" s="7">
        <v>42095</v>
      </c>
      <c r="J10" s="7">
        <v>42247</v>
      </c>
      <c r="K10" s="8">
        <v>3203</v>
      </c>
    </row>
    <row r="11" spans="1:11" x14ac:dyDescent="0.25">
      <c r="A11" t="s">
        <v>73</v>
      </c>
      <c r="B11" t="s">
        <v>74</v>
      </c>
      <c r="C11" t="s">
        <v>75</v>
      </c>
      <c r="D11" t="s">
        <v>42</v>
      </c>
      <c r="E11" t="s">
        <v>79</v>
      </c>
      <c r="F11" t="s">
        <v>30</v>
      </c>
      <c r="G11" t="s">
        <v>38</v>
      </c>
      <c r="H11" t="s">
        <v>59</v>
      </c>
      <c r="I11" s="7">
        <v>42248</v>
      </c>
      <c r="J11" s="7">
        <v>43676</v>
      </c>
      <c r="K11" s="8">
        <v>3254</v>
      </c>
    </row>
    <row r="12" spans="1:11" x14ac:dyDescent="0.25">
      <c r="A12" t="s">
        <v>73</v>
      </c>
      <c r="B12" t="s">
        <v>74</v>
      </c>
      <c r="C12" t="s">
        <v>75</v>
      </c>
      <c r="D12" t="s">
        <v>42</v>
      </c>
      <c r="E12" t="s">
        <v>36</v>
      </c>
      <c r="F12" t="s">
        <v>30</v>
      </c>
      <c r="G12" t="s">
        <v>38</v>
      </c>
      <c r="H12" t="s">
        <v>59</v>
      </c>
      <c r="I12" s="7">
        <v>44011</v>
      </c>
      <c r="J12" s="7">
        <v>44012</v>
      </c>
      <c r="K12" s="8">
        <v>3305</v>
      </c>
    </row>
    <row r="13" spans="1:11" x14ac:dyDescent="0.25">
      <c r="A13" t="s">
        <v>73</v>
      </c>
      <c r="B13" t="s">
        <v>74</v>
      </c>
      <c r="C13" t="s">
        <v>75</v>
      </c>
      <c r="D13" t="s">
        <v>42</v>
      </c>
      <c r="E13" t="s">
        <v>49</v>
      </c>
      <c r="F13" t="s">
        <v>30</v>
      </c>
      <c r="G13" t="s">
        <v>31</v>
      </c>
      <c r="H13" t="s">
        <v>59</v>
      </c>
      <c r="I13" s="7">
        <v>44013</v>
      </c>
      <c r="J13" s="7">
        <v>44196</v>
      </c>
      <c r="K13" s="8">
        <v>3406</v>
      </c>
    </row>
    <row r="14" spans="1:11" x14ac:dyDescent="0.25">
      <c r="A14" t="s">
        <v>73</v>
      </c>
      <c r="B14" t="s">
        <v>74</v>
      </c>
      <c r="C14" t="s">
        <v>75</v>
      </c>
      <c r="D14" t="s">
        <v>42</v>
      </c>
      <c r="E14" t="s">
        <v>76</v>
      </c>
      <c r="F14" t="s">
        <v>30</v>
      </c>
      <c r="G14" t="s">
        <v>31</v>
      </c>
      <c r="H14" t="s">
        <v>59</v>
      </c>
      <c r="I14" s="7">
        <v>44197</v>
      </c>
      <c r="J14" s="7">
        <v>45473</v>
      </c>
      <c r="K14" s="8">
        <v>3507</v>
      </c>
    </row>
    <row r="15" spans="1:11" x14ac:dyDescent="0.25">
      <c r="A15" t="s">
        <v>46</v>
      </c>
      <c r="B15" t="s">
        <v>47</v>
      </c>
      <c r="C15" t="s">
        <v>48</v>
      </c>
      <c r="D15" t="s">
        <v>21</v>
      </c>
      <c r="E15" t="s">
        <v>49</v>
      </c>
      <c r="F15" t="s">
        <v>37</v>
      </c>
      <c r="G15" t="s">
        <v>50</v>
      </c>
      <c r="H15" t="s">
        <v>25</v>
      </c>
      <c r="I15" s="7">
        <v>40179</v>
      </c>
      <c r="J15" s="7">
        <v>43832</v>
      </c>
      <c r="K15" s="8">
        <v>1201</v>
      </c>
    </row>
    <row r="16" spans="1:11" x14ac:dyDescent="0.25">
      <c r="A16" t="s">
        <v>46</v>
      </c>
      <c r="B16" t="s">
        <v>82</v>
      </c>
      <c r="C16" t="s">
        <v>48</v>
      </c>
      <c r="D16" t="s">
        <v>21</v>
      </c>
      <c r="E16" t="s">
        <v>49</v>
      </c>
      <c r="F16" t="s">
        <v>37</v>
      </c>
      <c r="G16" t="s">
        <v>38</v>
      </c>
      <c r="H16" t="s">
        <v>25</v>
      </c>
      <c r="I16" s="7">
        <f>J15+1</f>
        <v>43833</v>
      </c>
      <c r="J16" s="7">
        <v>45659</v>
      </c>
      <c r="K16" s="8">
        <v>30023</v>
      </c>
    </row>
    <row r="17" spans="1:11" x14ac:dyDescent="0.25">
      <c r="A17" t="s">
        <v>46</v>
      </c>
      <c r="B17" t="s">
        <v>82</v>
      </c>
      <c r="C17" t="s">
        <v>48</v>
      </c>
      <c r="D17" t="s">
        <v>21</v>
      </c>
      <c r="E17" t="s">
        <v>49</v>
      </c>
      <c r="F17" t="s">
        <v>37</v>
      </c>
      <c r="G17" t="s">
        <v>31</v>
      </c>
      <c r="H17" t="s">
        <v>25</v>
      </c>
      <c r="I17" s="7">
        <f>J16+1</f>
        <v>45660</v>
      </c>
      <c r="J17" s="7"/>
      <c r="K17" s="8">
        <v>32024</v>
      </c>
    </row>
    <row r="18" spans="1:11" x14ac:dyDescent="0.25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30</v>
      </c>
      <c r="G18" t="s">
        <v>44</v>
      </c>
      <c r="H18" t="s">
        <v>45</v>
      </c>
      <c r="I18" s="7">
        <v>42159</v>
      </c>
      <c r="J18" s="7">
        <v>43256</v>
      </c>
      <c r="K18" s="8">
        <v>7002</v>
      </c>
    </row>
    <row r="19" spans="1:11" x14ac:dyDescent="0.25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30</v>
      </c>
      <c r="G19" t="s">
        <v>38</v>
      </c>
      <c r="H19" t="s">
        <v>45</v>
      </c>
      <c r="I19" s="7">
        <f>J18+1</f>
        <v>43257</v>
      </c>
      <c r="J19" s="7">
        <v>43348</v>
      </c>
      <c r="K19" s="8">
        <v>3007</v>
      </c>
    </row>
    <row r="20" spans="1:11" x14ac:dyDescent="0.25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30</v>
      </c>
      <c r="G20" t="s">
        <v>38</v>
      </c>
      <c r="H20" t="s">
        <v>45</v>
      </c>
      <c r="I20" s="7">
        <f>J19+1</f>
        <v>43349</v>
      </c>
      <c r="J20" s="7">
        <v>43466</v>
      </c>
      <c r="K20" s="8">
        <v>3050</v>
      </c>
    </row>
    <row r="21" spans="1:11" x14ac:dyDescent="0.25">
      <c r="A21" t="s">
        <v>39</v>
      </c>
      <c r="B21" t="s">
        <v>40</v>
      </c>
      <c r="C21" t="s">
        <v>41</v>
      </c>
      <c r="D21" t="s">
        <v>42</v>
      </c>
      <c r="E21" t="s">
        <v>43</v>
      </c>
      <c r="F21" t="s">
        <v>30</v>
      </c>
      <c r="G21" t="s">
        <v>31</v>
      </c>
      <c r="H21" t="s">
        <v>45</v>
      </c>
      <c r="I21" s="7">
        <f>J20+1</f>
        <v>43467</v>
      </c>
      <c r="J21" s="7">
        <v>43646</v>
      </c>
      <c r="K21" s="8">
        <v>3101</v>
      </c>
    </row>
    <row r="22" spans="1:11" x14ac:dyDescent="0.25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t="s">
        <v>30</v>
      </c>
      <c r="G22" t="s">
        <v>31</v>
      </c>
      <c r="H22" t="s">
        <v>45</v>
      </c>
      <c r="I22" s="7">
        <f>J21+1</f>
        <v>43647</v>
      </c>
      <c r="J22" s="7">
        <v>45474</v>
      </c>
      <c r="K22" s="8">
        <v>3158</v>
      </c>
    </row>
    <row r="23" spans="1:11" x14ac:dyDescent="0.25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30</v>
      </c>
      <c r="G23" t="s">
        <v>31</v>
      </c>
      <c r="H23" t="s">
        <v>45</v>
      </c>
      <c r="I23" s="7">
        <f>J22+1</f>
        <v>45475</v>
      </c>
      <c r="J23" s="7"/>
      <c r="K23" s="8">
        <v>3209</v>
      </c>
    </row>
    <row r="24" spans="1:11" x14ac:dyDescent="0.25">
      <c r="A24" t="s">
        <v>65</v>
      </c>
      <c r="B24" t="s">
        <v>66</v>
      </c>
      <c r="C24" t="s">
        <v>67</v>
      </c>
      <c r="D24" t="s">
        <v>21</v>
      </c>
      <c r="E24" t="s">
        <v>36</v>
      </c>
      <c r="F24" t="s">
        <v>37</v>
      </c>
      <c r="G24" t="s">
        <v>24</v>
      </c>
      <c r="H24" t="s">
        <v>25</v>
      </c>
      <c r="I24" s="7">
        <v>42038</v>
      </c>
      <c r="J24" s="7">
        <v>42185</v>
      </c>
      <c r="K24" s="8">
        <v>4002</v>
      </c>
    </row>
    <row r="25" spans="1:11" x14ac:dyDescent="0.25">
      <c r="A25" t="s">
        <v>65</v>
      </c>
      <c r="B25" t="s">
        <v>66</v>
      </c>
      <c r="C25" t="s">
        <v>67</v>
      </c>
      <c r="D25" t="s">
        <v>21</v>
      </c>
      <c r="E25" t="s">
        <v>36</v>
      </c>
      <c r="F25" t="s">
        <v>37</v>
      </c>
      <c r="G25" t="s">
        <v>24</v>
      </c>
      <c r="H25" t="s">
        <v>25</v>
      </c>
      <c r="I25" s="7">
        <v>42401</v>
      </c>
      <c r="J25" s="7">
        <v>42551</v>
      </c>
      <c r="K25" s="8">
        <v>4003</v>
      </c>
    </row>
    <row r="26" spans="1:11" x14ac:dyDescent="0.25">
      <c r="A26" t="s">
        <v>65</v>
      </c>
      <c r="B26" t="s">
        <v>66</v>
      </c>
      <c r="C26" t="s">
        <v>67</v>
      </c>
      <c r="D26" t="s">
        <v>21</v>
      </c>
      <c r="E26" t="s">
        <v>36</v>
      </c>
      <c r="F26" t="s">
        <v>37</v>
      </c>
      <c r="G26" t="s">
        <v>24</v>
      </c>
      <c r="H26" t="s">
        <v>25</v>
      </c>
      <c r="I26" s="7">
        <v>45689</v>
      </c>
      <c r="J26" s="7">
        <v>45838</v>
      </c>
      <c r="K26" s="8">
        <v>4504</v>
      </c>
    </row>
    <row r="27" spans="1:11" x14ac:dyDescent="0.25">
      <c r="A27" t="s">
        <v>63</v>
      </c>
      <c r="B27" t="s">
        <v>64</v>
      </c>
      <c r="C27" t="s">
        <v>41</v>
      </c>
      <c r="D27" t="s">
        <v>42</v>
      </c>
      <c r="E27" t="s">
        <v>54</v>
      </c>
      <c r="F27" t="s">
        <v>37</v>
      </c>
      <c r="G27" t="s">
        <v>31</v>
      </c>
      <c r="H27" t="s">
        <v>59</v>
      </c>
      <c r="I27" s="7">
        <v>42318</v>
      </c>
      <c r="J27" s="7">
        <v>42318</v>
      </c>
      <c r="K27" s="8">
        <v>3005</v>
      </c>
    </row>
    <row r="28" spans="1:11" x14ac:dyDescent="0.25">
      <c r="A28" t="s">
        <v>63</v>
      </c>
      <c r="B28" t="s">
        <v>64</v>
      </c>
      <c r="C28" t="s">
        <v>41</v>
      </c>
      <c r="D28" t="s">
        <v>42</v>
      </c>
      <c r="E28" t="s">
        <v>54</v>
      </c>
      <c r="F28" t="s">
        <v>37</v>
      </c>
      <c r="G28" t="s">
        <v>31</v>
      </c>
      <c r="H28" t="s">
        <v>59</v>
      </c>
      <c r="I28" s="7">
        <v>42320</v>
      </c>
      <c r="J28" s="7">
        <v>42917</v>
      </c>
      <c r="K28" s="8">
        <v>3010</v>
      </c>
    </row>
    <row r="29" spans="1:11" x14ac:dyDescent="0.25">
      <c r="A29" t="s">
        <v>63</v>
      </c>
      <c r="B29" t="s">
        <v>64</v>
      </c>
      <c r="C29" t="s">
        <v>41</v>
      </c>
      <c r="D29" t="s">
        <v>42</v>
      </c>
      <c r="E29" t="s">
        <v>43</v>
      </c>
      <c r="F29" t="s">
        <v>37</v>
      </c>
      <c r="G29" t="s">
        <v>31</v>
      </c>
      <c r="H29" t="s">
        <v>59</v>
      </c>
      <c r="I29" s="7">
        <f>J28+1</f>
        <v>42918</v>
      </c>
      <c r="J29" s="7">
        <v>44444</v>
      </c>
      <c r="K29" s="8">
        <v>3050</v>
      </c>
    </row>
    <row r="30" spans="1:11" x14ac:dyDescent="0.25">
      <c r="A30" t="s">
        <v>63</v>
      </c>
      <c r="B30" t="s">
        <v>64</v>
      </c>
      <c r="C30" t="s">
        <v>41</v>
      </c>
      <c r="D30" t="s">
        <v>42</v>
      </c>
      <c r="E30" t="s">
        <v>54</v>
      </c>
      <c r="F30" t="s">
        <v>37</v>
      </c>
      <c r="G30" t="s">
        <v>31</v>
      </c>
      <c r="H30" t="s">
        <v>59</v>
      </c>
      <c r="I30" s="7">
        <f>J29+1</f>
        <v>44445</v>
      </c>
      <c r="J30" s="7"/>
      <c r="K30" s="8">
        <v>3109</v>
      </c>
    </row>
    <row r="31" spans="1:11" x14ac:dyDescent="0.25">
      <c r="A31" t="s">
        <v>18</v>
      </c>
      <c r="B31" t="s">
        <v>19</v>
      </c>
      <c r="C31" t="s">
        <v>20</v>
      </c>
      <c r="D31" t="s">
        <v>21</v>
      </c>
      <c r="E31" t="s">
        <v>22</v>
      </c>
      <c r="F31" t="s">
        <v>23</v>
      </c>
      <c r="G31" t="s">
        <v>50</v>
      </c>
      <c r="H31" t="s">
        <v>25</v>
      </c>
      <c r="I31" s="7">
        <v>43278</v>
      </c>
      <c r="J31" s="7">
        <v>43643</v>
      </c>
      <c r="K31" s="8">
        <v>3020</v>
      </c>
    </row>
    <row r="32" spans="1:11" x14ac:dyDescent="0.25">
      <c r="A32" t="s">
        <v>18</v>
      </c>
      <c r="B32" t="s">
        <v>19</v>
      </c>
      <c r="C32" t="s">
        <v>20</v>
      </c>
      <c r="D32" t="s">
        <v>21</v>
      </c>
      <c r="E32" t="s">
        <v>79</v>
      </c>
      <c r="F32" t="s">
        <v>24</v>
      </c>
      <c r="G32" t="s">
        <v>24</v>
      </c>
      <c r="H32" t="s">
        <v>25</v>
      </c>
      <c r="I32" s="7">
        <v>43709</v>
      </c>
      <c r="J32" s="7">
        <v>44742</v>
      </c>
      <c r="K32" s="8">
        <v>6040</v>
      </c>
    </row>
    <row r="33" spans="1:11" x14ac:dyDescent="0.25">
      <c r="A33" t="s">
        <v>18</v>
      </c>
      <c r="B33" t="s">
        <v>19</v>
      </c>
      <c r="C33" t="s">
        <v>20</v>
      </c>
      <c r="D33" t="s">
        <v>21</v>
      </c>
      <c r="E33" t="s">
        <v>22</v>
      </c>
      <c r="F33" t="s">
        <v>37</v>
      </c>
      <c r="G33" t="s">
        <v>31</v>
      </c>
      <c r="H33" t="s">
        <v>25</v>
      </c>
      <c r="I33" s="7">
        <v>44805</v>
      </c>
      <c r="J33" s="7"/>
      <c r="K33" s="8">
        <v>4520</v>
      </c>
    </row>
    <row r="34" spans="1:11" x14ac:dyDescent="0.25">
      <c r="A34" t="s">
        <v>60</v>
      </c>
      <c r="B34" t="s">
        <v>61</v>
      </c>
      <c r="C34" t="s">
        <v>62</v>
      </c>
      <c r="D34" t="s">
        <v>21</v>
      </c>
      <c r="E34" t="s">
        <v>43</v>
      </c>
      <c r="F34" t="s">
        <v>37</v>
      </c>
      <c r="G34" t="s">
        <v>38</v>
      </c>
      <c r="H34" t="s">
        <v>55</v>
      </c>
      <c r="I34" s="7">
        <v>42007</v>
      </c>
      <c r="J34" s="7">
        <v>42277</v>
      </c>
      <c r="K34" s="8">
        <v>3009</v>
      </c>
    </row>
    <row r="35" spans="1:11" x14ac:dyDescent="0.25">
      <c r="A35" t="s">
        <v>60</v>
      </c>
      <c r="B35" t="s">
        <v>34</v>
      </c>
      <c r="C35" t="s">
        <v>62</v>
      </c>
      <c r="D35" t="s">
        <v>21</v>
      </c>
      <c r="E35" t="s">
        <v>36</v>
      </c>
      <c r="F35" t="s">
        <v>37</v>
      </c>
      <c r="G35" t="s">
        <v>38</v>
      </c>
      <c r="H35" t="s">
        <v>55</v>
      </c>
      <c r="I35" s="7">
        <f>J34+1</f>
        <v>42278</v>
      </c>
      <c r="J35" s="7">
        <v>42139</v>
      </c>
      <c r="K35" s="8">
        <v>3052</v>
      </c>
    </row>
    <row r="36" spans="1:11" x14ac:dyDescent="0.25">
      <c r="A36" t="s">
        <v>60</v>
      </c>
      <c r="B36" t="s">
        <v>34</v>
      </c>
      <c r="C36" t="s">
        <v>62</v>
      </c>
      <c r="D36" t="s">
        <v>21</v>
      </c>
      <c r="E36" t="s">
        <v>54</v>
      </c>
      <c r="F36" t="s">
        <v>37</v>
      </c>
      <c r="G36" t="s">
        <v>38</v>
      </c>
      <c r="H36" t="s">
        <v>55</v>
      </c>
      <c r="I36" s="7">
        <v>42737</v>
      </c>
      <c r="J36" s="7">
        <v>42916</v>
      </c>
      <c r="K36" s="8">
        <v>3007</v>
      </c>
    </row>
    <row r="37" spans="1:11" x14ac:dyDescent="0.25">
      <c r="A37" t="s">
        <v>60</v>
      </c>
      <c r="B37" t="s">
        <v>61</v>
      </c>
      <c r="C37" t="s">
        <v>62</v>
      </c>
      <c r="D37" t="s">
        <v>21</v>
      </c>
      <c r="E37" t="s">
        <v>49</v>
      </c>
      <c r="F37" t="s">
        <v>37</v>
      </c>
      <c r="G37" t="s">
        <v>38</v>
      </c>
      <c r="H37" t="s">
        <v>55</v>
      </c>
      <c r="I37" s="7">
        <v>43009</v>
      </c>
      <c r="J37" s="7">
        <v>43100</v>
      </c>
      <c r="K37" s="8">
        <v>3108</v>
      </c>
    </row>
    <row r="38" spans="1:11" x14ac:dyDescent="0.25">
      <c r="A38" t="s">
        <v>60</v>
      </c>
      <c r="B38" t="s">
        <v>61</v>
      </c>
      <c r="C38" t="s">
        <v>62</v>
      </c>
      <c r="D38" t="s">
        <v>21</v>
      </c>
      <c r="E38" t="s">
        <v>36</v>
      </c>
      <c r="F38" t="s">
        <v>37</v>
      </c>
      <c r="G38" t="s">
        <v>38</v>
      </c>
      <c r="H38" t="s">
        <v>55</v>
      </c>
      <c r="I38" s="7">
        <v>43281</v>
      </c>
      <c r="J38" s="7">
        <v>43586</v>
      </c>
      <c r="K38" s="8">
        <v>3109</v>
      </c>
    </row>
    <row r="39" spans="1:11" x14ac:dyDescent="0.25">
      <c r="A39" t="s">
        <v>60</v>
      </c>
      <c r="B39" t="s">
        <v>61</v>
      </c>
      <c r="C39" t="s">
        <v>62</v>
      </c>
      <c r="D39" t="s">
        <v>21</v>
      </c>
      <c r="E39" t="s">
        <v>43</v>
      </c>
      <c r="F39" t="s">
        <v>37</v>
      </c>
      <c r="G39" t="s">
        <v>31</v>
      </c>
      <c r="H39" t="s">
        <v>55</v>
      </c>
      <c r="I39" s="7">
        <v>45293</v>
      </c>
      <c r="J39" s="7"/>
      <c r="K39" s="8">
        <v>3110</v>
      </c>
    </row>
    <row r="40" spans="1:11" x14ac:dyDescent="0.25">
      <c r="A40" t="s">
        <v>56</v>
      </c>
      <c r="B40" t="s">
        <v>57</v>
      </c>
      <c r="C40" t="s">
        <v>58</v>
      </c>
      <c r="D40" t="s">
        <v>42</v>
      </c>
      <c r="E40" t="s">
        <v>36</v>
      </c>
      <c r="F40" t="s">
        <v>23</v>
      </c>
      <c r="G40" t="s">
        <v>38</v>
      </c>
      <c r="H40" t="s">
        <v>59</v>
      </c>
      <c r="I40" s="7">
        <v>42225</v>
      </c>
      <c r="J40" s="7">
        <v>42226</v>
      </c>
      <c r="K40" s="8">
        <v>400</v>
      </c>
    </row>
    <row r="41" spans="1:11" x14ac:dyDescent="0.25">
      <c r="A41" t="s">
        <v>56</v>
      </c>
      <c r="B41" t="s">
        <v>57</v>
      </c>
      <c r="C41" t="s">
        <v>58</v>
      </c>
      <c r="D41" t="s">
        <v>42</v>
      </c>
      <c r="E41" t="s">
        <v>36</v>
      </c>
      <c r="F41" t="s">
        <v>23</v>
      </c>
      <c r="G41" t="s">
        <v>44</v>
      </c>
      <c r="H41" t="s">
        <v>59</v>
      </c>
      <c r="I41" s="7">
        <f>J40+1</f>
        <v>42227</v>
      </c>
      <c r="J41" s="7">
        <v>42236</v>
      </c>
      <c r="K41" s="8">
        <v>1008</v>
      </c>
    </row>
    <row r="42" spans="1:11" x14ac:dyDescent="0.25">
      <c r="A42" t="s">
        <v>56</v>
      </c>
      <c r="B42" t="s">
        <v>57</v>
      </c>
      <c r="C42" t="s">
        <v>58</v>
      </c>
      <c r="D42" t="s">
        <v>42</v>
      </c>
      <c r="E42" t="s">
        <v>36</v>
      </c>
      <c r="F42" t="s">
        <v>23</v>
      </c>
      <c r="G42" t="s">
        <v>31</v>
      </c>
      <c r="H42" t="s">
        <v>59</v>
      </c>
      <c r="I42" s="7">
        <f>J41+1</f>
        <v>42237</v>
      </c>
      <c r="J42" s="7">
        <v>45536</v>
      </c>
      <c r="K42" s="8">
        <v>3003</v>
      </c>
    </row>
    <row r="43" spans="1:11" x14ac:dyDescent="0.25">
      <c r="A43" t="s">
        <v>56</v>
      </c>
      <c r="B43" t="s">
        <v>57</v>
      </c>
      <c r="C43" t="s">
        <v>58</v>
      </c>
      <c r="D43" t="s">
        <v>42</v>
      </c>
      <c r="E43" t="s">
        <v>36</v>
      </c>
      <c r="F43" t="s">
        <v>23</v>
      </c>
      <c r="G43" t="s">
        <v>31</v>
      </c>
      <c r="H43" t="s">
        <v>59</v>
      </c>
      <c r="I43" s="7">
        <f>J42+1</f>
        <v>45537</v>
      </c>
      <c r="J43" s="7"/>
      <c r="K43" s="8">
        <v>3106</v>
      </c>
    </row>
    <row r="44" spans="1:11" x14ac:dyDescent="0.25">
      <c r="A44" t="s">
        <v>68</v>
      </c>
      <c r="B44" t="s">
        <v>69</v>
      </c>
      <c r="C44" t="s">
        <v>41</v>
      </c>
      <c r="D44" t="s">
        <v>42</v>
      </c>
      <c r="E44" t="s">
        <v>49</v>
      </c>
      <c r="F44" t="s">
        <v>23</v>
      </c>
      <c r="G44" t="s">
        <v>31</v>
      </c>
      <c r="H44" t="s">
        <v>32</v>
      </c>
      <c r="I44" s="7">
        <v>45353</v>
      </c>
      <c r="J44" s="7"/>
      <c r="K44" s="8">
        <v>3202</v>
      </c>
    </row>
    <row r="45" spans="1:11" x14ac:dyDescent="0.25">
      <c r="A45" t="s">
        <v>33</v>
      </c>
      <c r="B45" t="s">
        <v>34</v>
      </c>
      <c r="C45" t="s">
        <v>35</v>
      </c>
      <c r="D45" t="s">
        <v>21</v>
      </c>
      <c r="E45" t="s">
        <v>36</v>
      </c>
      <c r="F45" t="s">
        <v>37</v>
      </c>
      <c r="G45" t="s">
        <v>38</v>
      </c>
      <c r="H45" t="s">
        <v>32</v>
      </c>
      <c r="I45" s="7">
        <v>43237</v>
      </c>
      <c r="J45" s="7"/>
      <c r="K45" s="8">
        <v>3000</v>
      </c>
    </row>
    <row r="46" spans="1:11" x14ac:dyDescent="0.25">
      <c r="A46" t="s">
        <v>51</v>
      </c>
      <c r="B46" t="s">
        <v>52</v>
      </c>
      <c r="C46" t="s">
        <v>53</v>
      </c>
      <c r="D46" t="s">
        <v>21</v>
      </c>
      <c r="E46" t="s">
        <v>54</v>
      </c>
      <c r="F46" t="s">
        <v>30</v>
      </c>
      <c r="G46" t="s">
        <v>44</v>
      </c>
      <c r="H46" t="s">
        <v>55</v>
      </c>
      <c r="I46" s="7">
        <v>42102</v>
      </c>
      <c r="J46" s="7">
        <v>42114</v>
      </c>
      <c r="K46" s="8">
        <v>6003</v>
      </c>
    </row>
    <row r="47" spans="1:11" x14ac:dyDescent="0.25">
      <c r="A47" t="s">
        <v>51</v>
      </c>
      <c r="B47" t="s">
        <v>52</v>
      </c>
      <c r="C47" t="s">
        <v>53</v>
      </c>
      <c r="D47" t="s">
        <v>21</v>
      </c>
      <c r="E47" t="s">
        <v>54</v>
      </c>
      <c r="F47" t="s">
        <v>30</v>
      </c>
      <c r="G47" t="s">
        <v>24</v>
      </c>
      <c r="H47" t="s">
        <v>55</v>
      </c>
      <c r="I47" s="7">
        <f>J46+1</f>
        <v>42115</v>
      </c>
      <c r="J47" s="7">
        <v>45443</v>
      </c>
      <c r="K47" s="8">
        <v>6502</v>
      </c>
    </row>
    <row r="48" spans="1:11" x14ac:dyDescent="0.25">
      <c r="A48" t="s">
        <v>51</v>
      </c>
      <c r="B48" t="s">
        <v>52</v>
      </c>
      <c r="C48" t="s">
        <v>53</v>
      </c>
      <c r="D48" t="s">
        <v>21</v>
      </c>
      <c r="E48" t="s">
        <v>54</v>
      </c>
      <c r="F48" t="s">
        <v>30</v>
      </c>
      <c r="G48" t="s">
        <v>38</v>
      </c>
      <c r="H48" t="s">
        <v>55</v>
      </c>
      <c r="I48" s="7">
        <f>J47+1</f>
        <v>45444</v>
      </c>
      <c r="J48" s="7"/>
      <c r="K48" s="8">
        <v>3004</v>
      </c>
    </row>
    <row r="49" spans="1:11" x14ac:dyDescent="0.25">
      <c r="A49" t="s">
        <v>70</v>
      </c>
      <c r="B49" t="s">
        <v>71</v>
      </c>
      <c r="C49" t="s">
        <v>72</v>
      </c>
      <c r="D49" t="s">
        <v>21</v>
      </c>
      <c r="E49" t="s">
        <v>54</v>
      </c>
      <c r="F49" t="s">
        <v>37</v>
      </c>
      <c r="G49" t="s">
        <v>31</v>
      </c>
      <c r="H49" t="s">
        <v>45</v>
      </c>
      <c r="I49" s="7">
        <v>45138</v>
      </c>
      <c r="J49" s="7"/>
      <c r="K49" s="8">
        <v>3158</v>
      </c>
    </row>
  </sheetData>
  <sortState xmlns:xlrd2="http://schemas.microsoft.com/office/spreadsheetml/2017/richdata2" ref="A2:K49">
    <sortCondition ref="A2:A4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1CAF2-6EB4-4DAD-B224-D77EA0220FC4}">
  <dimension ref="A1:H19"/>
  <sheetViews>
    <sheetView workbookViewId="0">
      <selection activeCell="B14" sqref="B14"/>
    </sheetView>
  </sheetViews>
  <sheetFormatPr baseColWidth="10" defaultRowHeight="15" x14ac:dyDescent="0.25"/>
  <cols>
    <col min="1" max="1" width="11.42578125" customWidth="1"/>
  </cols>
  <sheetData>
    <row r="1" spans="1:8" x14ac:dyDescent="0.25">
      <c r="A1" t="s">
        <v>83</v>
      </c>
      <c r="B1" t="s">
        <v>84</v>
      </c>
      <c r="C1" t="s">
        <v>85</v>
      </c>
      <c r="G1">
        <v>46079</v>
      </c>
      <c r="H1">
        <f>G1-254</f>
        <v>45825</v>
      </c>
    </row>
    <row r="2" spans="1:8" x14ac:dyDescent="0.25">
      <c r="A2" s="7">
        <f ca="1">RANDBETWEEN($H$1,$G$1)</f>
        <v>45948</v>
      </c>
      <c r="B2" t="s">
        <v>86</v>
      </c>
      <c r="C2">
        <v>2</v>
      </c>
    </row>
    <row r="3" spans="1:8" x14ac:dyDescent="0.25">
      <c r="A3" s="7">
        <f t="shared" ref="A3:A19" ca="1" si="0">RANDBETWEEN($H$1,$G$1)</f>
        <v>45954</v>
      </c>
      <c r="B3" t="s">
        <v>87</v>
      </c>
      <c r="C3">
        <v>5</v>
      </c>
    </row>
    <row r="4" spans="1:8" x14ac:dyDescent="0.25">
      <c r="A4" s="7">
        <f t="shared" ca="1" si="0"/>
        <v>45862</v>
      </c>
      <c r="B4" t="s">
        <v>88</v>
      </c>
      <c r="C4">
        <v>2</v>
      </c>
    </row>
    <row r="5" spans="1:8" x14ac:dyDescent="0.25">
      <c r="A5" s="7">
        <f t="shared" ca="1" si="0"/>
        <v>45869</v>
      </c>
      <c r="B5" t="s">
        <v>86</v>
      </c>
      <c r="C5">
        <v>2</v>
      </c>
    </row>
    <row r="6" spans="1:8" x14ac:dyDescent="0.25">
      <c r="A6" s="7">
        <f t="shared" ca="1" si="0"/>
        <v>45907</v>
      </c>
      <c r="B6" t="s">
        <v>87</v>
      </c>
      <c r="C6">
        <v>2</v>
      </c>
    </row>
    <row r="7" spans="1:8" x14ac:dyDescent="0.25">
      <c r="A7" s="7">
        <f t="shared" ca="1" si="0"/>
        <v>45936</v>
      </c>
      <c r="B7" t="s">
        <v>88</v>
      </c>
      <c r="C7">
        <v>10</v>
      </c>
    </row>
    <row r="8" spans="1:8" x14ac:dyDescent="0.25">
      <c r="A8" s="7">
        <f t="shared" ca="1" si="0"/>
        <v>45903</v>
      </c>
      <c r="B8" t="s">
        <v>86</v>
      </c>
      <c r="C8">
        <v>12</v>
      </c>
    </row>
    <row r="9" spans="1:8" x14ac:dyDescent="0.25">
      <c r="A9" s="7">
        <f t="shared" ca="1" si="0"/>
        <v>45891</v>
      </c>
      <c r="B9" t="s">
        <v>87</v>
      </c>
      <c r="C9">
        <v>2</v>
      </c>
    </row>
    <row r="10" spans="1:8" x14ac:dyDescent="0.25">
      <c r="A10" s="7">
        <f t="shared" ca="1" si="0"/>
        <v>45951</v>
      </c>
      <c r="B10" t="s">
        <v>88</v>
      </c>
      <c r="C10">
        <v>2</v>
      </c>
    </row>
    <row r="11" spans="1:8" x14ac:dyDescent="0.25">
      <c r="A11" s="7">
        <f t="shared" ca="1" si="0"/>
        <v>45940</v>
      </c>
      <c r="B11" t="s">
        <v>86</v>
      </c>
      <c r="C11">
        <v>20</v>
      </c>
    </row>
    <row r="12" spans="1:8" x14ac:dyDescent="0.25">
      <c r="A12" s="7">
        <f t="shared" ca="1" si="0"/>
        <v>45898</v>
      </c>
      <c r="B12" t="s">
        <v>87</v>
      </c>
      <c r="C12">
        <v>4</v>
      </c>
    </row>
    <row r="13" spans="1:8" x14ac:dyDescent="0.25">
      <c r="A13" s="7">
        <f t="shared" ca="1" si="0"/>
        <v>45904</v>
      </c>
      <c r="B13" t="s">
        <v>88</v>
      </c>
      <c r="C13">
        <v>3</v>
      </c>
    </row>
    <row r="14" spans="1:8" x14ac:dyDescent="0.25">
      <c r="A14" s="7">
        <f t="shared" ca="1" si="0"/>
        <v>45872</v>
      </c>
      <c r="B14" t="s">
        <v>86</v>
      </c>
      <c r="C14">
        <v>2</v>
      </c>
    </row>
    <row r="15" spans="1:8" x14ac:dyDescent="0.25">
      <c r="A15" s="7">
        <f t="shared" ca="1" si="0"/>
        <v>45990</v>
      </c>
      <c r="B15" t="s">
        <v>87</v>
      </c>
      <c r="C15">
        <v>10</v>
      </c>
    </row>
    <row r="16" spans="1:8" x14ac:dyDescent="0.25">
      <c r="A16" s="7">
        <f t="shared" ca="1" si="0"/>
        <v>46073</v>
      </c>
      <c r="B16" t="s">
        <v>88</v>
      </c>
      <c r="C16">
        <v>30</v>
      </c>
    </row>
    <row r="17" spans="1:3" x14ac:dyDescent="0.25">
      <c r="A17" s="7">
        <f t="shared" ca="1" si="0"/>
        <v>46051</v>
      </c>
      <c r="B17" t="s">
        <v>86</v>
      </c>
      <c r="C17">
        <v>10</v>
      </c>
    </row>
    <row r="18" spans="1:3" x14ac:dyDescent="0.25">
      <c r="A18" s="7">
        <f t="shared" ca="1" si="0"/>
        <v>45894</v>
      </c>
      <c r="B18" t="s">
        <v>87</v>
      </c>
      <c r="C18">
        <v>5</v>
      </c>
    </row>
    <row r="19" spans="1:3" x14ac:dyDescent="0.25">
      <c r="A19" s="7">
        <f t="shared" ca="1" si="0"/>
        <v>45914</v>
      </c>
      <c r="B19" t="s">
        <v>88</v>
      </c>
      <c r="C19">
        <v>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45590-9184-4F33-A39D-A7BD80D24A43}">
  <dimension ref="A1:D12"/>
  <sheetViews>
    <sheetView workbookViewId="0">
      <selection activeCell="C10" sqref="C10"/>
    </sheetView>
  </sheetViews>
  <sheetFormatPr baseColWidth="10" defaultRowHeight="15" x14ac:dyDescent="0.25"/>
  <cols>
    <col min="3" max="3" width="11.5703125" customWidth="1"/>
  </cols>
  <sheetData>
    <row r="1" spans="1:4" x14ac:dyDescent="0.25">
      <c r="A1" t="s">
        <v>84</v>
      </c>
      <c r="B1" t="s">
        <v>89</v>
      </c>
      <c r="C1" t="s">
        <v>90</v>
      </c>
      <c r="D1" t="s">
        <v>81</v>
      </c>
    </row>
    <row r="2" spans="1:4" x14ac:dyDescent="0.25">
      <c r="A2" t="s">
        <v>86</v>
      </c>
      <c r="B2" s="8">
        <v>10</v>
      </c>
      <c r="C2" s="7">
        <f ca="1">MIN(DataProduits!A2:A19)</f>
        <v>45862</v>
      </c>
      <c r="D2" s="7">
        <f ca="1">C2+60</f>
        <v>45922</v>
      </c>
    </row>
    <row r="3" spans="1:4" x14ac:dyDescent="0.25">
      <c r="A3" t="s">
        <v>86</v>
      </c>
      <c r="B3" s="8">
        <v>11</v>
      </c>
      <c r="C3" s="7">
        <f ca="1">D2+1</f>
        <v>45923</v>
      </c>
      <c r="D3" s="7">
        <f ca="1">C3+90</f>
        <v>46013</v>
      </c>
    </row>
    <row r="4" spans="1:4" x14ac:dyDescent="0.25">
      <c r="A4" t="s">
        <v>86</v>
      </c>
      <c r="B4" s="8">
        <v>12</v>
      </c>
      <c r="C4" s="7">
        <f ca="1">D3+1</f>
        <v>46014</v>
      </c>
    </row>
    <row r="5" spans="1:4" x14ac:dyDescent="0.25">
      <c r="A5" t="s">
        <v>87</v>
      </c>
      <c r="B5" s="8">
        <v>14</v>
      </c>
      <c r="C5" s="7">
        <f ca="1">MIN(DataProduits!A2:A19)</f>
        <v>45862</v>
      </c>
      <c r="D5" s="7">
        <f ca="1">C5+120</f>
        <v>45982</v>
      </c>
    </row>
    <row r="6" spans="1:4" x14ac:dyDescent="0.25">
      <c r="A6" t="s">
        <v>87</v>
      </c>
      <c r="B6" s="8">
        <v>15</v>
      </c>
      <c r="C6" s="7">
        <f ca="1">D5+1</f>
        <v>45983</v>
      </c>
      <c r="D6" s="7">
        <f ca="1">C6+65</f>
        <v>46048</v>
      </c>
    </row>
    <row r="7" spans="1:4" x14ac:dyDescent="0.25">
      <c r="A7" t="s">
        <v>87</v>
      </c>
      <c r="B7" s="8">
        <v>18</v>
      </c>
      <c r="C7" s="7">
        <f ca="1">D6+1</f>
        <v>46049</v>
      </c>
    </row>
    <row r="8" spans="1:4" x14ac:dyDescent="0.25">
      <c r="A8" t="s">
        <v>88</v>
      </c>
      <c r="B8" s="8">
        <v>101</v>
      </c>
      <c r="C8" s="7">
        <f ca="1">MIN(TableVentes[DateAchat])-50</f>
        <v>45812</v>
      </c>
      <c r="D8" s="7">
        <v>45838</v>
      </c>
    </row>
    <row r="9" spans="1:4" x14ac:dyDescent="0.25">
      <c r="A9" t="s">
        <v>88</v>
      </c>
      <c r="B9" s="8">
        <v>110</v>
      </c>
      <c r="C9" s="7">
        <f>D8+1</f>
        <v>45839</v>
      </c>
      <c r="D9" s="7">
        <v>46022</v>
      </c>
    </row>
    <row r="10" spans="1:4" x14ac:dyDescent="0.25">
      <c r="A10" t="s">
        <v>88</v>
      </c>
      <c r="B10" s="8">
        <v>120</v>
      </c>
      <c r="C10" s="7">
        <f>D9+1</f>
        <v>46023</v>
      </c>
      <c r="D10" s="7"/>
    </row>
    <row r="11" spans="1:4" x14ac:dyDescent="0.25">
      <c r="B11" s="8"/>
    </row>
    <row r="12" spans="1:4" x14ac:dyDescent="0.25">
      <c r="B12" s="8"/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SCD Types</vt:lpstr>
      <vt:lpstr>DataRH</vt:lpstr>
      <vt:lpstr>DataProduits</vt:lpstr>
      <vt:lpstr>DataPrixProduits</vt:lpstr>
      <vt:lpstr>ListeRH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Aillery</dc:creator>
  <cp:lastModifiedBy>Olivier Aillery</cp:lastModifiedBy>
  <dcterms:created xsi:type="dcterms:W3CDTF">2026-02-26T09:48:51Z</dcterms:created>
  <dcterms:modified xsi:type="dcterms:W3CDTF">2026-03-02T12:34:41Z</dcterms:modified>
</cp:coreProperties>
</file>