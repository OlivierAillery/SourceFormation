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illery-my.sharepoint.com/personal/olivier_aillery_com/Documents/Sources_POWER-BI/SOURCES PERSO/"/>
    </mc:Choice>
  </mc:AlternateContent>
  <xr:revisionPtr revIDLastSave="248" documentId="11_BC30058644D6F412E97046798E3E8C1851039F5B" xr6:coauthVersionLast="47" xr6:coauthVersionMax="47" xr10:uidLastSave="{AA0BB9E1-4183-4503-A961-C16AD439E553}"/>
  <bookViews>
    <workbookView xWindow="-120" yWindow="-120" windowWidth="29040" windowHeight="15720" firstSheet="2" activeTab="2" xr2:uid="{00000000-000D-0000-FFFF-FFFF00000000}"/>
  </bookViews>
  <sheets>
    <sheet name="Feuil1" sheetId="1" r:id="rId1"/>
    <sheet name="_56F9DC9755BA473782653E2940F9" sheetId="2" state="veryHidden" r:id="rId2"/>
    <sheet name="TabReponsesFORMS" sheetId="7" r:id="rId3"/>
    <sheet name="Form1" sheetId="3" r:id="rId4"/>
    <sheet name="OBJECTIFS" sheetId="4" r:id="rId5"/>
    <sheet name="TCD Verif" sheetId="5" r:id="rId6"/>
    <sheet name="Copie ecran" sheetId="6" r:id="rId7"/>
  </sheets>
  <definedNames>
    <definedName name="_56F9DC9755BA473782653E2940F9FormId">"SUEP75JOo0CVpvL9DZjpSBB-oUdz4C5DmW1169IL1JhUNUlKT0dEVkhEMFBMQjBFNThYRDFaNEVFTS4u"</definedName>
    <definedName name="_56F9DC9755BA473782653E2940F9ResponseSheet">"Form1"</definedName>
    <definedName name="_56F9DC9755BA473782653E2940F9SourceDocId">"{b9f2fbb5-382f-47fa-9546-8168575c4d39}"</definedName>
    <definedName name="DonnéesExternes_1" localSheetId="2" hidden="1">TabReponsesFORMS!$A$1:$O$23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C2" i="3"/>
  <c r="C3" i="3"/>
  <c r="C4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BACAFB-41DE-4DF9-821E-DDB37185F998}" keepAlive="1" name="Requête - TabReponsesFORMS" description="Connexion à la requête « TabReponsesFORMS » dans le classeur." type="5" refreshedVersion="8" background="1" saveData="1">
    <dbPr connection="Provider=Microsoft.Mashup.OleDb.1;Data Source=$Workbook$;Location=TabReponsesFORMS;Extended Properties=&quot;&quot;" command="SELECT * FROM [TabReponsesFORMS]"/>
  </connection>
</connections>
</file>

<file path=xl/sharedStrings.xml><?xml version="1.0" encoding="utf-8"?>
<sst xmlns="http://schemas.openxmlformats.org/spreadsheetml/2006/main" count="212" uniqueCount="67">
  <si>
    <t>SUEP75JOo0CVpvL9DZjpSBB-oUdz4C5DmW1169IL1JhUNUlKT0dEVkhEMFBMQjBFNThYRDFaNEVFTS4u</t>
  </si>
  <si>
    <t>Form1</t>
  </si>
  <si>
    <t>{b9f2fbb5-382f-47fa-9546-8168575c4d39}</t>
  </si>
  <si>
    <t>ID</t>
  </si>
  <si>
    <t>Heure de début</t>
  </si>
  <si>
    <t>Heure de fin</t>
  </si>
  <si>
    <t>Adresse de messagerie</t>
  </si>
  <si>
    <t>Nom</t>
  </si>
  <si>
    <t>Heure de la dernière modification</t>
  </si>
  <si>
    <t>Disponibilité du formateur</t>
  </si>
  <si>
    <t>Compétence techniques du formateur</t>
  </si>
  <si>
    <t>Le contenu du stage correspondait à vos attentes</t>
  </si>
  <si>
    <t>Vos nouvelles connaissances vous semblent elles immédiatement applicables</t>
  </si>
  <si>
    <t>Vous êtes satisfaits des travaux pratiques</t>
  </si>
  <si>
    <t>Vous êtes satisfaits des apports théoriques</t>
  </si>
  <si>
    <t>Votre Nom</t>
  </si>
  <si>
    <t>Votre Direction</t>
  </si>
  <si>
    <t>Votre contrat de travail</t>
  </si>
  <si>
    <t>Jasmine</t>
  </si>
  <si>
    <t>DRH</t>
  </si>
  <si>
    <t>CDI</t>
  </si>
  <si>
    <t>Pedro</t>
  </si>
  <si>
    <t>DCOM</t>
  </si>
  <si>
    <t>Elisabeth</t>
  </si>
  <si>
    <t>Xavier</t>
  </si>
  <si>
    <t>DFI</t>
  </si>
  <si>
    <t>Romain</t>
  </si>
  <si>
    <t>Olivier</t>
  </si>
  <si>
    <t>Gizem</t>
  </si>
  <si>
    <t>DSI</t>
  </si>
  <si>
    <t>Yannick</t>
  </si>
  <si>
    <t>Emmanuel</t>
  </si>
  <si>
    <t>Gilles</t>
  </si>
  <si>
    <t>CDD</t>
  </si>
  <si>
    <t>Carole</t>
  </si>
  <si>
    <t>Carine</t>
  </si>
  <si>
    <t>Stagiaire</t>
  </si>
  <si>
    <t>Khalil</t>
  </si>
  <si>
    <t>Sabri</t>
  </si>
  <si>
    <t>Catherine</t>
  </si>
  <si>
    <t>Albert</t>
  </si>
  <si>
    <t>Salim</t>
  </si>
  <si>
    <t>Donatien</t>
  </si>
  <si>
    <t>Maria</t>
  </si>
  <si>
    <t>Nicolas</t>
  </si>
  <si>
    <t>Sylvie</t>
  </si>
  <si>
    <t>Margaux</t>
  </si>
  <si>
    <t>QUESTIONS</t>
  </si>
  <si>
    <t>Ordre</t>
  </si>
  <si>
    <t>OBJECTIF NOTE</t>
  </si>
  <si>
    <t>Average of Disponibilité du formateur</t>
  </si>
  <si>
    <t>Average of Compétence techniques du formateur</t>
  </si>
  <si>
    <t>Average of Le contenu du stage correspondait à vos attentes</t>
  </si>
  <si>
    <t>Average of Vos nouvelles connaissances vous semblent elles immédiatement applicables</t>
  </si>
  <si>
    <t>Average of Vous êtes satisfaits des travaux pratiques</t>
  </si>
  <si>
    <t>Average of Vous êtes satisfaits des apports théoriques</t>
  </si>
  <si>
    <t>Date de début</t>
  </si>
  <si>
    <t>ID Test</t>
  </si>
  <si>
    <t>Epreuve 1 (note sur 6)</t>
  </si>
  <si>
    <t>Epreuve 2 (note sur 6)</t>
  </si>
  <si>
    <t>Epreuve 3 (note sur 6)</t>
  </si>
  <si>
    <t>DIR</t>
  </si>
  <si>
    <t>R.D.</t>
  </si>
  <si>
    <t>r.d.</t>
  </si>
  <si>
    <t>R.d.</t>
  </si>
  <si>
    <t>r.D.</t>
  </si>
  <si>
    <t>Nom2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</si>
</sst>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164" formatCode="m/d/yy\ h:mm:ss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164" formatCode="m/d/yy\ h:mm:ss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er Aillery" refreshedDate="45373.576305555558" createdVersion="8" refreshedVersion="8" minRefreshableVersion="3" recordCount="15" xr:uid="{29676BCD-2AE7-4724-8A80-50CE7EE6A85F}">
  <cacheSource type="worksheet">
    <worksheetSource name="TabReponsesFORMS"/>
  </cacheSource>
  <cacheFields count="15">
    <cacheField name="ID" numFmtId="0">
      <sharedItems containsSemiMixedTypes="0" containsString="0" containsNumber="1" containsInteger="1" minValue="6" maxValue="20"/>
    </cacheField>
    <cacheField name="Heure de début" numFmtId="164">
      <sharedItems containsSemiMixedTypes="0" containsNonDate="0" containsDate="1" containsString="0" minDate="2024-03-09T12:32:20" maxDate="2024-03-22T13:38:38"/>
    </cacheField>
    <cacheField name="Heure de fin" numFmtId="164">
      <sharedItems containsSemiMixedTypes="0" containsNonDate="0" containsDate="1" containsString="0" minDate="2024-03-22T12:32:34" maxDate="2024-03-22T13:39:04"/>
    </cacheField>
    <cacheField name="Adresse de messagerie" numFmtId="0">
      <sharedItems/>
    </cacheField>
    <cacheField name="Nom" numFmtId="0">
      <sharedItems containsNonDate="0" containsString="0" containsBlank="1"/>
    </cacheField>
    <cacheField name="Heure de la dernière modification" numFmtId="164">
      <sharedItems containsNonDate="0" containsString="0" containsBlank="1"/>
    </cacheField>
    <cacheField name="Disponibilité du formateur" numFmtId="0">
      <sharedItems containsSemiMixedTypes="0" containsString="0" containsNumber="1" containsInteger="1" minValue="3" maxValue="6" count="4">
        <n v="5"/>
        <n v="4"/>
        <n v="6"/>
        <n v="3"/>
      </sharedItems>
    </cacheField>
    <cacheField name="Compétence techniques du formateur" numFmtId="0">
      <sharedItems containsSemiMixedTypes="0" containsString="0" containsNumber="1" containsInteger="1" minValue="3" maxValue="6"/>
    </cacheField>
    <cacheField name="Le contenu du stage correspondait à vos attentes" numFmtId="0">
      <sharedItems containsSemiMixedTypes="0" containsString="0" containsNumber="1" containsInteger="1" minValue="3" maxValue="6"/>
    </cacheField>
    <cacheField name="Vos nouvelles connaissances vous semblent elles immédiatement applicables" numFmtId="0">
      <sharedItems containsSemiMixedTypes="0" containsString="0" containsNumber="1" containsInteger="1" minValue="4" maxValue="6"/>
    </cacheField>
    <cacheField name="Vous êtes satisfaits des travaux pratiques" numFmtId="0">
      <sharedItems containsSemiMixedTypes="0" containsString="0" containsNumber="1" containsInteger="1" minValue="3" maxValue="5"/>
    </cacheField>
    <cacheField name="Vous êtes satisfaits des apports théoriques" numFmtId="0">
      <sharedItems containsSemiMixedTypes="0" containsString="0" containsNumber="1" containsInteger="1" minValue="2" maxValue="6"/>
    </cacheField>
    <cacheField name="Votre Nom" numFmtId="0">
      <sharedItems/>
    </cacheField>
    <cacheField name="Votre Direction" numFmtId="0">
      <sharedItems count="4">
        <s v="DRH"/>
        <s v="DSI"/>
        <s v="DFI"/>
        <s v="DCOM"/>
      </sharedItems>
    </cacheField>
    <cacheField name="Votre contrat de travail" numFmtId="0">
      <sharedItems count="3">
        <s v="CDI"/>
        <s v="CDD"/>
        <s v="Stagiai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6"/>
    <d v="2024-03-09T12:32:20"/>
    <d v="2024-03-22T12:32:34"/>
    <s v="anonymous"/>
    <m/>
    <m/>
    <x v="0"/>
    <n v="5"/>
    <n v="5"/>
    <n v="6"/>
    <n v="5"/>
    <n v="6"/>
    <s v="Olivier"/>
    <x v="0"/>
    <x v="0"/>
  </r>
  <r>
    <n v="7"/>
    <d v="2024-03-10T12:32:20"/>
    <d v="2024-03-22T12:33:01"/>
    <s v="anonymous"/>
    <m/>
    <m/>
    <x v="1"/>
    <n v="5"/>
    <n v="4"/>
    <n v="5"/>
    <n v="4"/>
    <n v="5"/>
    <s v="Gizem"/>
    <x v="1"/>
    <x v="0"/>
  </r>
  <r>
    <n v="8"/>
    <d v="2024-03-11T12:32:20"/>
    <d v="2024-03-22T12:33:24"/>
    <s v="anonymous"/>
    <m/>
    <m/>
    <x v="2"/>
    <n v="6"/>
    <n v="6"/>
    <n v="6"/>
    <n v="5"/>
    <n v="6"/>
    <s v="Yannick"/>
    <x v="2"/>
    <x v="0"/>
  </r>
  <r>
    <n v="9"/>
    <d v="2024-03-12T12:32:20"/>
    <d v="2024-03-22T12:33:52"/>
    <s v="anonymous"/>
    <m/>
    <m/>
    <x v="1"/>
    <n v="5"/>
    <n v="3"/>
    <n v="5"/>
    <n v="4"/>
    <n v="3"/>
    <s v="Emmanuel"/>
    <x v="3"/>
    <x v="0"/>
  </r>
  <r>
    <n v="10"/>
    <d v="2024-03-13T12:32:20"/>
    <d v="2024-03-22T12:34:12"/>
    <s v="anonymous"/>
    <m/>
    <m/>
    <x v="0"/>
    <n v="5"/>
    <n v="4"/>
    <n v="6"/>
    <n v="5"/>
    <n v="4"/>
    <s v="Gilles"/>
    <x v="0"/>
    <x v="1"/>
  </r>
  <r>
    <n v="11"/>
    <d v="2024-03-14T12:32:20"/>
    <d v="2024-03-22T12:34:40"/>
    <s v="anonymous"/>
    <m/>
    <m/>
    <x v="1"/>
    <n v="5"/>
    <n v="4"/>
    <n v="5"/>
    <n v="4"/>
    <n v="2"/>
    <s v="Carole"/>
    <x v="1"/>
    <x v="1"/>
  </r>
  <r>
    <n v="12"/>
    <d v="2024-03-15T12:32:20"/>
    <d v="2024-03-22T12:35:09"/>
    <s v="anonymous"/>
    <m/>
    <m/>
    <x v="3"/>
    <n v="3"/>
    <n v="3"/>
    <n v="4"/>
    <n v="3"/>
    <n v="3"/>
    <s v="Carine"/>
    <x v="2"/>
    <x v="2"/>
  </r>
  <r>
    <n v="13"/>
    <d v="2024-03-16T12:32:20"/>
    <d v="2024-03-22T12:35:33"/>
    <s v="anonymous"/>
    <m/>
    <m/>
    <x v="0"/>
    <n v="5"/>
    <n v="5"/>
    <n v="5"/>
    <n v="5"/>
    <n v="5"/>
    <s v="Khalil"/>
    <x v="1"/>
    <x v="2"/>
  </r>
  <r>
    <n v="14"/>
    <d v="2024-03-17T12:32:20"/>
    <d v="2024-03-22T12:35:57"/>
    <s v="anonymous"/>
    <m/>
    <m/>
    <x v="0"/>
    <n v="5"/>
    <n v="6"/>
    <n v="4"/>
    <n v="5"/>
    <n v="4"/>
    <s v="Sabri"/>
    <x v="2"/>
    <x v="0"/>
  </r>
  <r>
    <n v="15"/>
    <d v="2024-03-18T12:32:20"/>
    <d v="2024-03-22T12:36:19"/>
    <s v="anonymous"/>
    <m/>
    <m/>
    <x v="1"/>
    <n v="5"/>
    <n v="5"/>
    <n v="5"/>
    <n v="5"/>
    <n v="5"/>
    <s v="Catherine"/>
    <x v="3"/>
    <x v="1"/>
  </r>
  <r>
    <n v="16"/>
    <d v="2024-03-19T12:32:20"/>
    <d v="2024-03-22T12:36:40"/>
    <s v="anonymous"/>
    <m/>
    <m/>
    <x v="1"/>
    <n v="4"/>
    <n v="4"/>
    <n v="4"/>
    <n v="4"/>
    <n v="4"/>
    <s v="Albert"/>
    <x v="2"/>
    <x v="0"/>
  </r>
  <r>
    <n v="17"/>
    <d v="2024-03-20T12:32:20"/>
    <d v="2024-03-22T12:37:12"/>
    <s v="anonymous"/>
    <m/>
    <m/>
    <x v="2"/>
    <n v="6"/>
    <n v="4"/>
    <n v="4"/>
    <n v="4"/>
    <n v="4"/>
    <s v="Salim"/>
    <x v="3"/>
    <x v="0"/>
  </r>
  <r>
    <n v="18"/>
    <d v="2024-03-21T12:32:20"/>
    <d v="2024-03-22T12:37:35"/>
    <s v="anonymous"/>
    <m/>
    <m/>
    <x v="0"/>
    <n v="4"/>
    <n v="5"/>
    <n v="4"/>
    <n v="5"/>
    <n v="5"/>
    <s v="Donatien"/>
    <x v="3"/>
    <x v="2"/>
  </r>
  <r>
    <n v="19"/>
    <d v="2024-03-22T12:37:37"/>
    <d v="2024-03-22T13:35:11"/>
    <s v="anonymous"/>
    <m/>
    <m/>
    <x v="1"/>
    <n v="5"/>
    <n v="4"/>
    <n v="5"/>
    <n v="4"/>
    <n v="5"/>
    <s v="Maria"/>
    <x v="0"/>
    <x v="2"/>
  </r>
  <r>
    <n v="20"/>
    <d v="2024-03-22T13:38:38"/>
    <d v="2024-03-22T13:39:04"/>
    <s v="anonymous"/>
    <m/>
    <m/>
    <x v="1"/>
    <n v="4"/>
    <n v="4"/>
    <n v="4"/>
    <n v="3"/>
    <n v="3"/>
    <s v="Nicolas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495B3-E2A7-48F2-B0FA-30D87900B4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5" firstHeaderRow="0" firstDataRow="1" firstDataCol="0" rowPageCount="2" colPageCount="1"/>
  <pivotFields count="15">
    <pivotField showAll="0"/>
    <pivotField numFmtId="164" showAll="0"/>
    <pivotField numFmtId="164" showAll="0"/>
    <pivotField showAll="0"/>
    <pivotField showAll="0"/>
    <pivotField showAll="0"/>
    <pivotField dataField="1" showAll="0">
      <items count="5">
        <item x="3"/>
        <item x="1"/>
        <item x="0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3" item="3" hier="-1"/>
    <pageField fld="14" item="1" hier="-1"/>
  </pageFields>
  <dataFields count="6">
    <dataField name="Average of Disponibilité du formateur" fld="6" subtotal="average" baseField="0" baseItem="19"/>
    <dataField name="Average of Compétence techniques du formateur" fld="7" subtotal="average" baseField="0" baseItem="1"/>
    <dataField name="Average of Le contenu du stage correspondait à vos attentes" fld="8" subtotal="average" baseField="0" baseItem="1"/>
    <dataField name="Average of Vos nouvelles connaissances vous semblent elles immédiatement applicables" fld="9" subtotal="average" baseField="0" baseItem="1"/>
    <dataField name="Average of Vous êtes satisfaits des travaux pratiques" fld="10" subtotal="average" baseField="0" baseItem="3"/>
    <dataField name="Average of Vous êtes satisfaits des apports théoriques" fld="11" subtotal="average" baseField="0" baseItem="4"/>
  </dataFields>
  <formats count="4"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FF66988-12E9-4944-8570-7C33243E6F15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Heure de début" tableColumnId="2"/>
      <queryTableField id="3" name="Heure de fin" tableColumnId="3"/>
      <queryTableField id="4" name="Votre Nom" tableColumnId="4"/>
      <queryTableField id="5" name="Votre Direction" tableColumnId="5"/>
      <queryTableField id="6" name="Votre contrat de travail" tableColumnId="6"/>
      <queryTableField id="7" name="Adresse de messagerie" tableColumnId="7"/>
      <queryTableField id="8" name="Nom2" tableColumnId="8"/>
      <queryTableField id="9" name="Heure de la dernière modification" tableColumnId="9"/>
      <queryTableField id="10" name="Disponibilité du formateur" tableColumnId="10"/>
      <queryTableField id="11" name="Compétence techniques du formateur" tableColumnId="11"/>
      <queryTableField id="12" name="Le contenu du stage correspondait à vos attentes" tableColumnId="12"/>
      <queryTableField id="13" name="Vos nouvelles connaissances vous semblent elles immédiatement applicables" tableColumnId="13"/>
      <queryTableField id="14" name="Vous êtes satisfaits des travaux pratiques" tableColumnId="14"/>
      <queryTableField id="15" name="Vous êtes satisfaits des apports théorique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450AB0-A889-4DC8-B3E3-1EC485FC5E82}" name="TabReponsesFORMS_1" displayName="TabReponsesFORMS_1" ref="A1:O23" tableType="queryTable" totalsRowShown="0">
  <autoFilter ref="A1:O23" xr:uid="{48450AB0-A889-4DC8-B3E3-1EC485FC5E82}"/>
  <tableColumns count="15">
    <tableColumn id="1" xr3:uid="{24383BB5-3CA5-4D64-9959-F29609AB3591}" uniqueName="1" name="ID" queryTableFieldId="1"/>
    <tableColumn id="2" xr3:uid="{1F656C71-ECD5-4805-953D-98278DC9B67C}" uniqueName="2" name="Heure de début" queryTableFieldId="2" dataDxfId="4"/>
    <tableColumn id="3" xr3:uid="{AD93107F-153B-41D2-A0D8-6F02C1650C97}" uniqueName="3" name="Heure de fin" queryTableFieldId="3" dataDxfId="3"/>
    <tableColumn id="4" xr3:uid="{597F0C04-4911-4D53-AD5C-7650FDA9211A}" uniqueName="4" name="Votre Nom" queryTableFieldId="4" dataDxfId="2"/>
    <tableColumn id="5" xr3:uid="{80A7E0C8-341B-4C69-9D46-2F6C8D9E6836}" uniqueName="5" name="Votre Direction" queryTableFieldId="5" dataDxfId="1"/>
    <tableColumn id="6" xr3:uid="{C72736E9-B768-406D-93C7-F9385F24FC74}" uniqueName="6" name="Votre contrat de travail" queryTableFieldId="6" dataDxfId="0"/>
    <tableColumn id="7" xr3:uid="{2B6852B7-D5A2-43A0-BBF6-0128A831B703}" uniqueName="7" name="Adresse de messagerie" queryTableFieldId="7"/>
    <tableColumn id="8" xr3:uid="{7FC5897A-71A7-4AB7-8D00-AFD3AB32CDFA}" uniqueName="8" name="Nom2" queryTableFieldId="8"/>
    <tableColumn id="9" xr3:uid="{619FB84E-BBC0-48D7-8473-A21F734CB56B}" uniqueName="9" name="Heure de la dernière modification" queryTableFieldId="9"/>
    <tableColumn id="10" xr3:uid="{EE795F95-5E8E-4BE5-BCB6-101FF4127869}" uniqueName="10" name="Disponibilité du formateur" queryTableFieldId="10"/>
    <tableColumn id="11" xr3:uid="{92889008-3D92-4AB1-87DF-C364A51C5AEA}" uniqueName="11" name="Compétence techniques du formateur" queryTableFieldId="11"/>
    <tableColumn id="12" xr3:uid="{A543797D-B9EF-49F6-BBA8-B7D17E05F8C5}" uniqueName="12" name="Le contenu du stage correspondait à vos attentes" queryTableFieldId="12"/>
    <tableColumn id="13" xr3:uid="{1463DCD6-F7A2-4AFB-B3BD-1CB64F2C05CF}" uniqueName="13" name="Vos nouvelles connaissances vous semblent elles immédiatement applicables" queryTableFieldId="13"/>
    <tableColumn id="14" xr3:uid="{9260FF56-8D20-46DF-9312-5116016FBC47}" uniqueName="14" name="Vous êtes satisfaits des travaux pratiques" queryTableFieldId="14"/>
    <tableColumn id="15" xr3:uid="{9E12F09B-9A87-448A-832F-91259744A8A6}" uniqueName="15" name="Vous êtes satisfaits des apports théoriques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4AE33B-335C-4017-A101-C8B9D70B8274}" name="TabReponsesFORMS" displayName="TabReponsesFORMS" ref="A1:O23" totalsRowShown="0" headerRowDxfId="31">
  <autoFilter ref="A1:O23" xr:uid="{CC4AE33B-335C-4017-A101-C8B9D70B8274}"/>
  <tableColumns count="15">
    <tableColumn id="1" xr3:uid="{76C46F4C-477C-4993-930B-756AD9504B1D}" name="ID" dataDxfId="30"/>
    <tableColumn id="2" xr3:uid="{385F3D6C-4BF7-432F-8FC5-814C3E31EE01}" name="Heure de début" dataDxfId="29"/>
    <tableColumn id="3" xr3:uid="{BE50E44E-7BA2-4032-9094-58CABC49EC96}" name="Heure de fin" dataDxfId="28">
      <calculatedColumnFormula>TabReponsesFORMS[[#This Row],[Heure de début]]+0.003</calculatedColumnFormula>
    </tableColumn>
    <tableColumn id="4" xr3:uid="{715CE231-BD04-4C92-A95D-CD3CB98FDD66}" name="Adresse de messagerie" dataDxfId="27"/>
    <tableColumn id="5" xr3:uid="{8C28333B-2F80-44A0-9CC9-0740AB154F50}" name="Nom" dataDxfId="26"/>
    <tableColumn id="6" xr3:uid="{EB4B631D-3777-46C3-878E-19FFA81A6BCC}" name="Heure de la dernière modification" dataDxfId="25"/>
    <tableColumn id="7" xr3:uid="{D4F8C885-F53E-4ECA-BF12-7715450B6C6C}" name="Disponibilité du formateur" dataDxfId="24"/>
    <tableColumn id="8" xr3:uid="{487A0E16-490B-4F0D-8464-9FA919C514EB}" name="Compétence techniques du formateur" dataDxfId="23"/>
    <tableColumn id="9" xr3:uid="{0536A53F-CF22-4B4C-B4C5-9DFEE32B5ADE}" name="Le contenu du stage correspondait à vos attentes" dataDxfId="22"/>
    <tableColumn id="10" xr3:uid="{D9C8D7A5-3811-45A9-908D-995C0C6431F0}" name="Vos nouvelles connaissances vous semblent elles immédiatement applicables" dataDxfId="21"/>
    <tableColumn id="11" xr3:uid="{9667F21E-006E-4036-9F41-7083E7FB7C86}" name="Vous êtes satisfaits des travaux pratiques" dataDxfId="20"/>
    <tableColumn id="12" xr3:uid="{FA9B8997-D478-4F39-BAAD-CCF9F1D12C78}" name="Vous êtes satisfaits des apports théoriques" dataDxfId="19"/>
    <tableColumn id="13" xr3:uid="{7C620198-4E75-4521-B80B-EAA2931DDEA6}" name="Votre Nom" dataDxfId="18"/>
    <tableColumn id="14" xr3:uid="{9AFBDFFF-B377-4517-801A-770FED0E27EB}" name="Votre Direction" dataDxfId="17"/>
    <tableColumn id="15" xr3:uid="{875905E1-9DE2-4555-8179-5FE7D33B7432}" name="Votre contrat de travail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831B39-2A5D-4C18-83A4-528B6C4FADAB}" name="TableauObjectif" displayName="TableauObjectif" ref="A1:C7" totalsRowShown="0">
  <autoFilter ref="A1:C7" xr:uid="{2BA97EE2-C5EE-477D-AF09-1D2FD6A1F3D1}"/>
  <sortState xmlns:xlrd2="http://schemas.microsoft.com/office/spreadsheetml/2017/richdata2" ref="A2:C7">
    <sortCondition ref="B1:B7"/>
  </sortState>
  <tableColumns count="3">
    <tableColumn id="1" xr3:uid="{E01F324D-F9AF-4AA2-AAFA-E6D5199C40BD}" name="QUESTIONS"/>
    <tableColumn id="3" xr3:uid="{2A78A0B0-DE8C-4C95-83C0-46663C7141F2}" name="Ordre"/>
    <tableColumn id="2" xr3:uid="{C1620106-D3F5-484F-924C-1D5B7A1AB541}" name="OBJECTIF NOTE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FED4D2-243B-4405-894A-C7F58640D30D}" name="TabReponsesFORMS4" displayName="TabReponsesFORMS4" ref="A1:F23" totalsRowShown="0" headerRowDxfId="11">
  <autoFilter ref="A1:F23" xr:uid="{CC4AE33B-335C-4017-A101-C8B9D70B8274}"/>
  <tableColumns count="6">
    <tableColumn id="1" xr3:uid="{03B70121-4E74-4F6D-97A1-2E948AB48207}" name="ID Test" dataDxfId="10"/>
    <tableColumn id="2" xr3:uid="{D7BCB852-4787-47B8-818B-AE7470682BB4}" name="Date de début" dataDxfId="9"/>
    <tableColumn id="3" xr3:uid="{12C709AD-EB93-4FEF-B494-5EBAFA774902}" name="DIR" dataDxfId="8"/>
    <tableColumn id="7" xr3:uid="{E13792E7-56F0-405F-8A93-C7A1558F4E7A}" name="Epreuve 1 (note sur 6)" dataDxfId="7"/>
    <tableColumn id="8" xr3:uid="{880BC36B-396C-4497-84F0-2DEE92F9735E}" name="Epreuve 2 (note sur 6)" dataDxfId="6"/>
    <tableColumn id="9" xr3:uid="{42FC712C-D5DE-4D98-B9D6-A6817271A51B}" name="Epreuve 3 (note sur 6)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554687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05BA-B5B5-474A-AF08-64811D4F74FE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E6BD-29E1-43A5-B17E-EF3398C6FFB4}">
  <dimension ref="A1:O23"/>
  <sheetViews>
    <sheetView tabSelected="1" workbookViewId="0"/>
  </sheetViews>
  <sheetFormatPr baseColWidth="10" defaultRowHeight="15" x14ac:dyDescent="0.25"/>
  <cols>
    <col min="1" max="1" width="5.140625" bestFit="1" customWidth="1"/>
    <col min="2" max="2" width="17.140625" bestFit="1" customWidth="1"/>
    <col min="3" max="3" width="15.7109375" bestFit="1" customWidth="1"/>
    <col min="4" max="4" width="13" bestFit="1" customWidth="1"/>
    <col min="5" max="5" width="16.85546875" bestFit="1" customWidth="1"/>
    <col min="6" max="7" width="24" bestFit="1" customWidth="1"/>
    <col min="8" max="8" width="8.5703125" bestFit="1" customWidth="1"/>
    <col min="9" max="9" width="33.85546875" bestFit="1" customWidth="1"/>
    <col min="10" max="10" width="27.140625" bestFit="1" customWidth="1"/>
    <col min="11" max="11" width="37.5703125" bestFit="1" customWidth="1"/>
    <col min="12" max="12" width="47.140625" bestFit="1" customWidth="1"/>
    <col min="13" max="13" width="73.7109375" bestFit="1" customWidth="1"/>
    <col min="14" max="14" width="40.42578125" bestFit="1" customWidth="1"/>
    <col min="15" max="15" width="41.85546875" bestFit="1" customWidth="1"/>
  </cols>
  <sheetData>
    <row r="1" spans="1:15" x14ac:dyDescent="0.25">
      <c r="A1" t="s">
        <v>3</v>
      </c>
      <c r="B1" t="s">
        <v>4</v>
      </c>
      <c r="C1" t="s">
        <v>5</v>
      </c>
      <c r="D1" t="s">
        <v>15</v>
      </c>
      <c r="E1" t="s">
        <v>16</v>
      </c>
      <c r="F1" t="s">
        <v>17</v>
      </c>
      <c r="G1" t="s">
        <v>6</v>
      </c>
      <c r="H1" t="s">
        <v>66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5">
        <v>45355.522453703707</v>
      </c>
      <c r="C2" s="5">
        <v>45355.525453703704</v>
      </c>
      <c r="D2" s="6" t="s">
        <v>18</v>
      </c>
      <c r="E2" s="6" t="s">
        <v>19</v>
      </c>
      <c r="F2" s="6" t="s">
        <v>20</v>
      </c>
      <c r="J2">
        <v>6</v>
      </c>
      <c r="K2">
        <v>6</v>
      </c>
      <c r="L2">
        <v>6</v>
      </c>
      <c r="M2">
        <v>5</v>
      </c>
      <c r="N2">
        <v>6</v>
      </c>
      <c r="O2">
        <v>5</v>
      </c>
    </row>
    <row r="3" spans="1:15" x14ac:dyDescent="0.25">
      <c r="A3">
        <v>2</v>
      </c>
      <c r="B3" s="5">
        <v>45356.522453703707</v>
      </c>
      <c r="C3" s="5">
        <v>45356.525453703704</v>
      </c>
      <c r="D3" s="6" t="s">
        <v>21</v>
      </c>
      <c r="E3" s="6" t="s">
        <v>22</v>
      </c>
      <c r="F3" s="6" t="s">
        <v>20</v>
      </c>
      <c r="J3">
        <v>4</v>
      </c>
      <c r="K3">
        <v>4</v>
      </c>
      <c r="L3">
        <v>4</v>
      </c>
      <c r="M3">
        <v>5</v>
      </c>
      <c r="N3">
        <v>4</v>
      </c>
      <c r="O3">
        <v>5</v>
      </c>
    </row>
    <row r="4" spans="1:15" x14ac:dyDescent="0.25">
      <c r="A4">
        <v>3</v>
      </c>
      <c r="B4" s="5">
        <v>45357.522453703707</v>
      </c>
      <c r="C4" s="5">
        <v>45357.525453703704</v>
      </c>
      <c r="D4" s="6" t="s">
        <v>23</v>
      </c>
      <c r="E4" s="6" t="s">
        <v>19</v>
      </c>
      <c r="F4" s="6" t="s">
        <v>20</v>
      </c>
      <c r="J4">
        <v>4</v>
      </c>
      <c r="K4">
        <v>4</v>
      </c>
      <c r="L4">
        <v>4</v>
      </c>
      <c r="M4">
        <v>5</v>
      </c>
      <c r="N4">
        <v>4</v>
      </c>
      <c r="O4">
        <v>5</v>
      </c>
    </row>
    <row r="5" spans="1:15" x14ac:dyDescent="0.25">
      <c r="A5">
        <v>4</v>
      </c>
      <c r="B5" s="5">
        <v>45358.522453703707</v>
      </c>
      <c r="C5" s="5">
        <v>45358.525453703704</v>
      </c>
      <c r="D5" s="6" t="s">
        <v>24</v>
      </c>
      <c r="E5" s="6" t="s">
        <v>25</v>
      </c>
      <c r="F5" s="6" t="s">
        <v>20</v>
      </c>
      <c r="J5">
        <v>5</v>
      </c>
      <c r="K5">
        <v>5</v>
      </c>
      <c r="L5">
        <v>5</v>
      </c>
      <c r="M5">
        <v>6</v>
      </c>
      <c r="N5">
        <v>5</v>
      </c>
      <c r="O5">
        <v>6</v>
      </c>
    </row>
    <row r="6" spans="1:15" x14ac:dyDescent="0.25">
      <c r="A6">
        <v>5</v>
      </c>
      <c r="B6" s="5">
        <v>45359.522453703707</v>
      </c>
      <c r="C6" s="5">
        <v>45359.525453703704</v>
      </c>
      <c r="D6" s="6" t="s">
        <v>26</v>
      </c>
      <c r="E6" s="6" t="s">
        <v>19</v>
      </c>
      <c r="F6" s="6" t="s">
        <v>20</v>
      </c>
      <c r="J6">
        <v>5</v>
      </c>
      <c r="K6">
        <v>5</v>
      </c>
      <c r="L6">
        <v>5</v>
      </c>
      <c r="M6">
        <v>6</v>
      </c>
      <c r="N6">
        <v>5</v>
      </c>
      <c r="O6">
        <v>6</v>
      </c>
    </row>
    <row r="7" spans="1:15" x14ac:dyDescent="0.25">
      <c r="A7">
        <v>6</v>
      </c>
      <c r="B7" s="5">
        <v>45360.522453703707</v>
      </c>
      <c r="C7" s="5">
        <v>45360.525453703704</v>
      </c>
      <c r="D7" s="6" t="s">
        <v>27</v>
      </c>
      <c r="E7" s="6" t="s">
        <v>19</v>
      </c>
      <c r="F7" s="6" t="s">
        <v>20</v>
      </c>
      <c r="J7">
        <v>5</v>
      </c>
      <c r="K7">
        <v>5</v>
      </c>
      <c r="L7">
        <v>5</v>
      </c>
      <c r="M7">
        <v>6</v>
      </c>
      <c r="N7">
        <v>5</v>
      </c>
      <c r="O7">
        <v>6</v>
      </c>
    </row>
    <row r="8" spans="1:15" x14ac:dyDescent="0.25">
      <c r="A8">
        <v>7</v>
      </c>
      <c r="B8" s="5">
        <v>45361.522453703707</v>
      </c>
      <c r="C8" s="5">
        <v>45361.525453703704</v>
      </c>
      <c r="D8" s="6" t="s">
        <v>28</v>
      </c>
      <c r="E8" s="6" t="s">
        <v>29</v>
      </c>
      <c r="F8" s="6" t="s">
        <v>20</v>
      </c>
      <c r="J8">
        <v>4</v>
      </c>
      <c r="K8">
        <v>5</v>
      </c>
      <c r="L8">
        <v>4</v>
      </c>
      <c r="M8">
        <v>5</v>
      </c>
      <c r="N8">
        <v>4</v>
      </c>
      <c r="O8">
        <v>5</v>
      </c>
    </row>
    <row r="9" spans="1:15" x14ac:dyDescent="0.25">
      <c r="A9">
        <v>8</v>
      </c>
      <c r="B9" s="5">
        <v>45362.522453703707</v>
      </c>
      <c r="C9" s="5">
        <v>45362.525453703704</v>
      </c>
      <c r="D9" s="6" t="s">
        <v>30</v>
      </c>
      <c r="E9" s="6" t="s">
        <v>25</v>
      </c>
      <c r="F9" s="6" t="s">
        <v>20</v>
      </c>
      <c r="J9">
        <v>6</v>
      </c>
      <c r="K9">
        <v>6</v>
      </c>
      <c r="L9">
        <v>6</v>
      </c>
      <c r="M9">
        <v>6</v>
      </c>
      <c r="N9">
        <v>5</v>
      </c>
      <c r="O9">
        <v>6</v>
      </c>
    </row>
    <row r="10" spans="1:15" x14ac:dyDescent="0.25">
      <c r="A10">
        <v>9</v>
      </c>
      <c r="B10" s="5">
        <v>45363.522453703707</v>
      </c>
      <c r="C10" s="5">
        <v>45363.525453703704</v>
      </c>
      <c r="D10" s="6" t="s">
        <v>31</v>
      </c>
      <c r="E10" s="6" t="s">
        <v>22</v>
      </c>
      <c r="F10" s="6" t="s">
        <v>20</v>
      </c>
      <c r="J10">
        <v>4</v>
      </c>
      <c r="K10">
        <v>5</v>
      </c>
      <c r="L10">
        <v>3</v>
      </c>
      <c r="M10">
        <v>5</v>
      </c>
      <c r="N10">
        <v>4</v>
      </c>
      <c r="O10">
        <v>3</v>
      </c>
    </row>
    <row r="11" spans="1:15" x14ac:dyDescent="0.25">
      <c r="A11">
        <v>10</v>
      </c>
      <c r="B11" s="5">
        <v>45364.522453703707</v>
      </c>
      <c r="C11" s="5">
        <v>45364.525453703704</v>
      </c>
      <c r="D11" s="6" t="s">
        <v>32</v>
      </c>
      <c r="E11" s="6" t="s">
        <v>19</v>
      </c>
      <c r="F11" s="6" t="s">
        <v>33</v>
      </c>
      <c r="J11">
        <v>5</v>
      </c>
      <c r="K11">
        <v>5</v>
      </c>
      <c r="L11">
        <v>4</v>
      </c>
      <c r="M11">
        <v>6</v>
      </c>
      <c r="N11">
        <v>5</v>
      </c>
      <c r="O11">
        <v>4</v>
      </c>
    </row>
    <row r="12" spans="1:15" x14ac:dyDescent="0.25">
      <c r="A12">
        <v>11</v>
      </c>
      <c r="B12" s="5">
        <v>45365.522453703707</v>
      </c>
      <c r="C12" s="5">
        <v>45365.525453703704</v>
      </c>
      <c r="D12" s="6" t="s">
        <v>34</v>
      </c>
      <c r="E12" s="6" t="s">
        <v>29</v>
      </c>
      <c r="F12" s="6" t="s">
        <v>33</v>
      </c>
      <c r="J12">
        <v>4</v>
      </c>
      <c r="K12">
        <v>5</v>
      </c>
      <c r="L12">
        <v>4</v>
      </c>
      <c r="M12">
        <v>5</v>
      </c>
      <c r="N12">
        <v>4</v>
      </c>
      <c r="O12">
        <v>2</v>
      </c>
    </row>
    <row r="13" spans="1:15" x14ac:dyDescent="0.25">
      <c r="A13">
        <v>12</v>
      </c>
      <c r="B13" s="5">
        <v>45366.522453703707</v>
      </c>
      <c r="C13" s="5">
        <v>45366.525453703704</v>
      </c>
      <c r="D13" s="6" t="s">
        <v>35</v>
      </c>
      <c r="E13" s="6" t="s">
        <v>25</v>
      </c>
      <c r="F13" s="6" t="s">
        <v>36</v>
      </c>
      <c r="J13">
        <v>4</v>
      </c>
      <c r="K13">
        <v>4</v>
      </c>
      <c r="L13">
        <v>4</v>
      </c>
      <c r="M13">
        <v>5</v>
      </c>
      <c r="N13">
        <v>4</v>
      </c>
      <c r="O13">
        <v>4</v>
      </c>
    </row>
    <row r="14" spans="1:15" x14ac:dyDescent="0.25">
      <c r="A14">
        <v>13</v>
      </c>
      <c r="B14" s="5">
        <v>45367.522453703707</v>
      </c>
      <c r="C14" s="5">
        <v>45367.525453703704</v>
      </c>
      <c r="D14" s="6" t="s">
        <v>37</v>
      </c>
      <c r="E14" s="6" t="s">
        <v>29</v>
      </c>
      <c r="F14" s="6" t="s">
        <v>36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</row>
    <row r="15" spans="1:15" x14ac:dyDescent="0.25">
      <c r="A15">
        <v>14</v>
      </c>
      <c r="B15" s="5">
        <v>45368.522453703707</v>
      </c>
      <c r="C15" s="5">
        <v>45368.525453703704</v>
      </c>
      <c r="D15" s="6" t="s">
        <v>38</v>
      </c>
      <c r="E15" s="6" t="s">
        <v>25</v>
      </c>
      <c r="F15" s="6" t="s">
        <v>20</v>
      </c>
      <c r="J15">
        <v>5</v>
      </c>
      <c r="K15">
        <v>5</v>
      </c>
      <c r="L15">
        <v>6</v>
      </c>
      <c r="M15">
        <v>4</v>
      </c>
      <c r="N15">
        <v>5</v>
      </c>
      <c r="O15">
        <v>4</v>
      </c>
    </row>
    <row r="16" spans="1:15" x14ac:dyDescent="0.25">
      <c r="A16">
        <v>15</v>
      </c>
      <c r="B16" s="5">
        <v>45369.522453703707</v>
      </c>
      <c r="C16" s="5">
        <v>45369.525453703704</v>
      </c>
      <c r="D16" s="6" t="s">
        <v>39</v>
      </c>
      <c r="E16" s="6" t="s">
        <v>22</v>
      </c>
      <c r="F16" s="6" t="s">
        <v>33</v>
      </c>
      <c r="J16">
        <v>4</v>
      </c>
      <c r="K16">
        <v>5</v>
      </c>
      <c r="L16">
        <v>5</v>
      </c>
      <c r="M16">
        <v>5</v>
      </c>
      <c r="N16">
        <v>5</v>
      </c>
      <c r="O16">
        <v>5</v>
      </c>
    </row>
    <row r="17" spans="1:15" x14ac:dyDescent="0.25">
      <c r="A17">
        <v>16</v>
      </c>
      <c r="B17" s="5">
        <v>45370.522453703707</v>
      </c>
      <c r="C17" s="5">
        <v>45370.525453703704</v>
      </c>
      <c r="D17" s="6" t="s">
        <v>40</v>
      </c>
      <c r="E17" s="6" t="s">
        <v>25</v>
      </c>
      <c r="F17" s="6" t="s">
        <v>20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</row>
    <row r="18" spans="1:15" x14ac:dyDescent="0.25">
      <c r="A18">
        <v>17</v>
      </c>
      <c r="B18" s="5">
        <v>45371.522453703707</v>
      </c>
      <c r="C18" s="5">
        <v>45371.525453703704</v>
      </c>
      <c r="D18" s="6" t="s">
        <v>41</v>
      </c>
      <c r="E18" s="6" t="s">
        <v>22</v>
      </c>
      <c r="F18" s="6" t="s">
        <v>20</v>
      </c>
      <c r="J18">
        <v>6</v>
      </c>
      <c r="K18">
        <v>6</v>
      </c>
      <c r="L18">
        <v>5</v>
      </c>
      <c r="M18">
        <v>5</v>
      </c>
      <c r="N18">
        <v>4</v>
      </c>
      <c r="O18">
        <v>5</v>
      </c>
    </row>
    <row r="19" spans="1:15" x14ac:dyDescent="0.25">
      <c r="A19">
        <v>18</v>
      </c>
      <c r="B19" s="5">
        <v>45372.522453703707</v>
      </c>
      <c r="C19" s="5">
        <v>45372.525453703704</v>
      </c>
      <c r="D19" s="6" t="s">
        <v>42</v>
      </c>
      <c r="E19" s="6" t="s">
        <v>22</v>
      </c>
      <c r="F19" s="6" t="s">
        <v>36</v>
      </c>
      <c r="J19">
        <v>5</v>
      </c>
      <c r="K19">
        <v>5</v>
      </c>
      <c r="L19">
        <v>5</v>
      </c>
      <c r="M19">
        <v>6</v>
      </c>
      <c r="N19">
        <v>5</v>
      </c>
      <c r="O19">
        <v>5</v>
      </c>
    </row>
    <row r="20" spans="1:15" x14ac:dyDescent="0.25">
      <c r="A20">
        <v>19</v>
      </c>
      <c r="B20" s="5">
        <v>45374.526122685187</v>
      </c>
      <c r="C20" s="5">
        <v>45374.529122685184</v>
      </c>
      <c r="D20" s="6" t="s">
        <v>43</v>
      </c>
      <c r="E20" s="6" t="s">
        <v>19</v>
      </c>
      <c r="F20" s="6" t="s">
        <v>36</v>
      </c>
      <c r="J20">
        <v>4</v>
      </c>
      <c r="K20">
        <v>5</v>
      </c>
      <c r="L20">
        <v>4</v>
      </c>
      <c r="M20">
        <v>5</v>
      </c>
      <c r="N20">
        <v>4</v>
      </c>
      <c r="O20">
        <v>5</v>
      </c>
    </row>
    <row r="21" spans="1:15" x14ac:dyDescent="0.25">
      <c r="A21">
        <v>20</v>
      </c>
      <c r="B21" s="5">
        <v>45375.568495370368</v>
      </c>
      <c r="C21" s="5">
        <v>45375.571495370372</v>
      </c>
      <c r="D21" s="6" t="s">
        <v>44</v>
      </c>
      <c r="E21" s="6" t="s">
        <v>25</v>
      </c>
      <c r="F21" s="6" t="s">
        <v>36</v>
      </c>
      <c r="J21">
        <v>4</v>
      </c>
      <c r="K21">
        <v>4</v>
      </c>
      <c r="L21">
        <v>4</v>
      </c>
      <c r="M21">
        <v>4</v>
      </c>
      <c r="N21">
        <v>3</v>
      </c>
      <c r="O21">
        <v>3</v>
      </c>
    </row>
    <row r="22" spans="1:15" x14ac:dyDescent="0.25">
      <c r="A22">
        <v>21</v>
      </c>
      <c r="B22" s="5">
        <v>45376.595590277779</v>
      </c>
      <c r="C22" s="5">
        <v>45376.598590277776</v>
      </c>
      <c r="D22" s="6" t="s">
        <v>45</v>
      </c>
      <c r="E22" s="6" t="s">
        <v>25</v>
      </c>
      <c r="F22" s="6" t="s">
        <v>20</v>
      </c>
      <c r="J22">
        <v>5</v>
      </c>
      <c r="K22">
        <v>3</v>
      </c>
      <c r="L22">
        <v>4</v>
      </c>
      <c r="M22">
        <v>4</v>
      </c>
      <c r="N22">
        <v>5</v>
      </c>
      <c r="O22">
        <v>5</v>
      </c>
    </row>
    <row r="23" spans="1:15" x14ac:dyDescent="0.25">
      <c r="A23">
        <v>22</v>
      </c>
      <c r="B23" s="5">
        <v>45373.736307870371</v>
      </c>
      <c r="C23" s="5">
        <v>45373.736643518518</v>
      </c>
      <c r="D23" s="6" t="s">
        <v>46</v>
      </c>
      <c r="E23" s="6" t="s">
        <v>22</v>
      </c>
      <c r="F23" s="6" t="s">
        <v>20</v>
      </c>
      <c r="J23">
        <v>5</v>
      </c>
      <c r="K23">
        <v>5</v>
      </c>
      <c r="L23">
        <v>6</v>
      </c>
      <c r="M23">
        <v>5</v>
      </c>
      <c r="N23">
        <v>6</v>
      </c>
      <c r="O23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5F63-8BD2-437C-957B-E8AEF696F029}">
  <dimension ref="A1:O23"/>
  <sheetViews>
    <sheetView workbookViewId="0">
      <selection activeCell="C8" sqref="C8"/>
    </sheetView>
  </sheetViews>
  <sheetFormatPr baseColWidth="10" defaultColWidth="8.85546875" defaultRowHeight="15" x14ac:dyDescent="0.25"/>
  <cols>
    <col min="1" max="15" width="28.5703125" customWidth="1"/>
  </cols>
  <sheetData>
    <row r="1" spans="1:15" x14ac:dyDescent="0.25">
      <c r="A1" t="s">
        <v>3</v>
      </c>
      <c r="B1" s="2" t="s">
        <v>4</v>
      </c>
      <c r="C1" s="2" t="s">
        <v>5</v>
      </c>
      <c r="D1" t="s">
        <v>6</v>
      </c>
      <c r="E1" t="s">
        <v>7</v>
      </c>
      <c r="F1" s="2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  <row r="2" spans="1:15" x14ac:dyDescent="0.25">
      <c r="A2">
        <v>1</v>
      </c>
      <c r="B2" s="2">
        <v>45355.522453703707</v>
      </c>
      <c r="C2" s="2">
        <f>TabReponsesFORMS[[#This Row],[Heure de début]]+0.003</f>
        <v>45355.525453703704</v>
      </c>
      <c r="F2" s="2"/>
      <c r="G2">
        <v>6</v>
      </c>
      <c r="H2">
        <v>6</v>
      </c>
      <c r="I2">
        <v>6</v>
      </c>
      <c r="J2">
        <v>5</v>
      </c>
      <c r="K2">
        <v>6</v>
      </c>
      <c r="L2">
        <v>5</v>
      </c>
      <c r="M2" t="s">
        <v>18</v>
      </c>
      <c r="N2" t="s">
        <v>19</v>
      </c>
      <c r="O2" t="s">
        <v>20</v>
      </c>
    </row>
    <row r="3" spans="1:15" x14ac:dyDescent="0.25">
      <c r="A3">
        <v>2</v>
      </c>
      <c r="B3" s="2">
        <v>45356.522453703707</v>
      </c>
      <c r="C3" s="2">
        <f>TabReponsesFORMS[[#This Row],[Heure de début]]+0.003</f>
        <v>45356.525453703704</v>
      </c>
      <c r="F3" s="2"/>
      <c r="G3">
        <v>4</v>
      </c>
      <c r="H3">
        <v>4</v>
      </c>
      <c r="I3">
        <v>4</v>
      </c>
      <c r="J3">
        <v>5</v>
      </c>
      <c r="K3">
        <v>4</v>
      </c>
      <c r="L3">
        <v>5</v>
      </c>
      <c r="M3" t="s">
        <v>21</v>
      </c>
      <c r="N3" t="s">
        <v>22</v>
      </c>
      <c r="O3" t="s">
        <v>20</v>
      </c>
    </row>
    <row r="4" spans="1:15" x14ac:dyDescent="0.25">
      <c r="A4">
        <v>3</v>
      </c>
      <c r="B4" s="2">
        <v>45357.522453703707</v>
      </c>
      <c r="C4" s="2">
        <f>TabReponsesFORMS[[#This Row],[Heure de début]]+0.003</f>
        <v>45357.525453703704</v>
      </c>
      <c r="F4" s="2"/>
      <c r="G4">
        <v>4</v>
      </c>
      <c r="H4">
        <v>4</v>
      </c>
      <c r="I4">
        <v>4</v>
      </c>
      <c r="J4">
        <v>5</v>
      </c>
      <c r="K4">
        <v>4</v>
      </c>
      <c r="L4">
        <v>5</v>
      </c>
      <c r="M4" t="s">
        <v>23</v>
      </c>
      <c r="N4" t="s">
        <v>19</v>
      </c>
      <c r="O4" t="s">
        <v>20</v>
      </c>
    </row>
    <row r="5" spans="1:15" x14ac:dyDescent="0.25">
      <c r="A5">
        <v>4</v>
      </c>
      <c r="B5" s="2">
        <v>45358.522453703707</v>
      </c>
      <c r="C5" s="2">
        <f>TabReponsesFORMS[[#This Row],[Heure de début]]+0.003</f>
        <v>45358.525453703704</v>
      </c>
      <c r="F5" s="2"/>
      <c r="G5">
        <v>5</v>
      </c>
      <c r="H5">
        <v>5</v>
      </c>
      <c r="I5">
        <v>5</v>
      </c>
      <c r="J5">
        <v>6</v>
      </c>
      <c r="K5">
        <v>5</v>
      </c>
      <c r="L5">
        <v>6</v>
      </c>
      <c r="M5" t="s">
        <v>24</v>
      </c>
      <c r="N5" t="s">
        <v>25</v>
      </c>
      <c r="O5" t="s">
        <v>20</v>
      </c>
    </row>
    <row r="6" spans="1:15" x14ac:dyDescent="0.25">
      <c r="A6">
        <v>5</v>
      </c>
      <c r="B6" s="2">
        <v>45359.522453703707</v>
      </c>
      <c r="C6" s="2">
        <f>TabReponsesFORMS[[#This Row],[Heure de début]]+0.003</f>
        <v>45359.525453703704</v>
      </c>
      <c r="F6" s="2"/>
      <c r="G6">
        <v>5</v>
      </c>
      <c r="H6">
        <v>5</v>
      </c>
      <c r="I6">
        <v>5</v>
      </c>
      <c r="J6">
        <v>6</v>
      </c>
      <c r="K6">
        <v>5</v>
      </c>
      <c r="L6">
        <v>6</v>
      </c>
      <c r="M6" t="s">
        <v>26</v>
      </c>
      <c r="N6" t="s">
        <v>19</v>
      </c>
      <c r="O6" t="s">
        <v>20</v>
      </c>
    </row>
    <row r="7" spans="1:15" x14ac:dyDescent="0.25">
      <c r="A7">
        <v>6</v>
      </c>
      <c r="B7" s="2">
        <v>45360.522453703707</v>
      </c>
      <c r="C7" s="2">
        <f>TabReponsesFORMS[[#This Row],[Heure de début]]+0.003</f>
        <v>45360.525453703704</v>
      </c>
      <c r="F7" s="2"/>
      <c r="G7">
        <v>5</v>
      </c>
      <c r="H7">
        <v>5</v>
      </c>
      <c r="I7">
        <v>5</v>
      </c>
      <c r="J7">
        <v>6</v>
      </c>
      <c r="K7">
        <v>5</v>
      </c>
      <c r="L7">
        <v>6</v>
      </c>
      <c r="M7" t="s">
        <v>27</v>
      </c>
      <c r="N7" t="s">
        <v>19</v>
      </c>
      <c r="O7" t="s">
        <v>20</v>
      </c>
    </row>
    <row r="8" spans="1:15" x14ac:dyDescent="0.25">
      <c r="A8">
        <v>7</v>
      </c>
      <c r="B8" s="2">
        <v>45361.522453703707</v>
      </c>
      <c r="C8" s="2">
        <f>TabReponsesFORMS[[#This Row],[Heure de début]]+0.003</f>
        <v>45361.525453703704</v>
      </c>
      <c r="F8" s="2"/>
      <c r="G8">
        <v>4</v>
      </c>
      <c r="H8">
        <v>5</v>
      </c>
      <c r="I8">
        <v>4</v>
      </c>
      <c r="J8">
        <v>5</v>
      </c>
      <c r="K8">
        <v>4</v>
      </c>
      <c r="L8">
        <v>5</v>
      </c>
      <c r="M8" t="s">
        <v>28</v>
      </c>
      <c r="N8" t="s">
        <v>29</v>
      </c>
      <c r="O8" t="s">
        <v>20</v>
      </c>
    </row>
    <row r="9" spans="1:15" x14ac:dyDescent="0.25">
      <c r="A9">
        <v>8</v>
      </c>
      <c r="B9" s="2">
        <v>45362.522453703707</v>
      </c>
      <c r="C9" s="2">
        <f>TabReponsesFORMS[[#This Row],[Heure de début]]+0.003</f>
        <v>45362.525453703704</v>
      </c>
      <c r="F9" s="2"/>
      <c r="G9">
        <v>6</v>
      </c>
      <c r="H9">
        <v>6</v>
      </c>
      <c r="I9">
        <v>6</v>
      </c>
      <c r="J9">
        <v>6</v>
      </c>
      <c r="K9">
        <v>5</v>
      </c>
      <c r="L9">
        <v>6</v>
      </c>
      <c r="M9" t="s">
        <v>30</v>
      </c>
      <c r="N9" t="s">
        <v>25</v>
      </c>
      <c r="O9" t="s">
        <v>20</v>
      </c>
    </row>
    <row r="10" spans="1:15" x14ac:dyDescent="0.25">
      <c r="A10">
        <v>9</v>
      </c>
      <c r="B10" s="2">
        <v>45363.522453703707</v>
      </c>
      <c r="C10" s="2">
        <f>TabReponsesFORMS[[#This Row],[Heure de début]]+0.003</f>
        <v>45363.525453703704</v>
      </c>
      <c r="F10" s="2"/>
      <c r="G10">
        <v>4</v>
      </c>
      <c r="H10">
        <v>5</v>
      </c>
      <c r="I10">
        <v>3</v>
      </c>
      <c r="J10">
        <v>5</v>
      </c>
      <c r="K10">
        <v>4</v>
      </c>
      <c r="L10">
        <v>3</v>
      </c>
      <c r="M10" t="s">
        <v>31</v>
      </c>
      <c r="N10" t="s">
        <v>22</v>
      </c>
      <c r="O10" t="s">
        <v>20</v>
      </c>
    </row>
    <row r="11" spans="1:15" x14ac:dyDescent="0.25">
      <c r="A11">
        <v>10</v>
      </c>
      <c r="B11" s="2">
        <v>45364.522453703707</v>
      </c>
      <c r="C11" s="2">
        <f>TabReponsesFORMS[[#This Row],[Heure de début]]+0.003</f>
        <v>45364.525453703704</v>
      </c>
      <c r="F11" s="2"/>
      <c r="G11">
        <v>5</v>
      </c>
      <c r="H11">
        <v>5</v>
      </c>
      <c r="I11">
        <v>4</v>
      </c>
      <c r="J11">
        <v>6</v>
      </c>
      <c r="K11">
        <v>5</v>
      </c>
      <c r="L11">
        <v>4</v>
      </c>
      <c r="M11" t="s">
        <v>32</v>
      </c>
      <c r="N11" t="s">
        <v>19</v>
      </c>
      <c r="O11" t="s">
        <v>33</v>
      </c>
    </row>
    <row r="12" spans="1:15" x14ac:dyDescent="0.25">
      <c r="A12">
        <v>11</v>
      </c>
      <c r="B12" s="2">
        <v>45365.522453703707</v>
      </c>
      <c r="C12" s="2">
        <f>TabReponsesFORMS[[#This Row],[Heure de début]]+0.003</f>
        <v>45365.525453703704</v>
      </c>
      <c r="F12" s="2"/>
      <c r="G12">
        <v>4</v>
      </c>
      <c r="H12">
        <v>5</v>
      </c>
      <c r="I12">
        <v>4</v>
      </c>
      <c r="J12">
        <v>5</v>
      </c>
      <c r="K12">
        <v>4</v>
      </c>
      <c r="L12">
        <v>2</v>
      </c>
      <c r="M12" t="s">
        <v>34</v>
      </c>
      <c r="N12" t="s">
        <v>29</v>
      </c>
      <c r="O12" t="s">
        <v>33</v>
      </c>
    </row>
    <row r="13" spans="1:15" x14ac:dyDescent="0.25">
      <c r="A13">
        <v>12</v>
      </c>
      <c r="B13" s="2">
        <v>45366.522453703707</v>
      </c>
      <c r="C13" s="2">
        <f>TabReponsesFORMS[[#This Row],[Heure de début]]+0.003</f>
        <v>45366.525453703704</v>
      </c>
      <c r="F13" s="2"/>
      <c r="G13">
        <v>4</v>
      </c>
      <c r="H13">
        <v>4</v>
      </c>
      <c r="I13">
        <v>4</v>
      </c>
      <c r="J13">
        <v>5</v>
      </c>
      <c r="K13">
        <v>4</v>
      </c>
      <c r="L13">
        <v>4</v>
      </c>
      <c r="M13" t="s">
        <v>35</v>
      </c>
      <c r="N13" t="s">
        <v>25</v>
      </c>
      <c r="O13" t="s">
        <v>36</v>
      </c>
    </row>
    <row r="14" spans="1:15" x14ac:dyDescent="0.25">
      <c r="A14">
        <v>13</v>
      </c>
      <c r="B14" s="2">
        <v>45367.522453703707</v>
      </c>
      <c r="C14" s="2">
        <f>TabReponsesFORMS[[#This Row],[Heure de début]]+0.003</f>
        <v>45367.525453703704</v>
      </c>
      <c r="F14" s="2"/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 t="s">
        <v>37</v>
      </c>
      <c r="N14" t="s">
        <v>29</v>
      </c>
      <c r="O14" t="s">
        <v>36</v>
      </c>
    </row>
    <row r="15" spans="1:15" x14ac:dyDescent="0.25">
      <c r="A15">
        <v>14</v>
      </c>
      <c r="B15" s="2">
        <v>45368.522453703707</v>
      </c>
      <c r="C15" s="2">
        <f>TabReponsesFORMS[[#This Row],[Heure de début]]+0.003</f>
        <v>45368.525453703704</v>
      </c>
      <c r="F15" s="2"/>
      <c r="G15">
        <v>5</v>
      </c>
      <c r="H15">
        <v>5</v>
      </c>
      <c r="I15">
        <v>6</v>
      </c>
      <c r="J15">
        <v>4</v>
      </c>
      <c r="K15">
        <v>5</v>
      </c>
      <c r="L15">
        <v>4</v>
      </c>
      <c r="M15" t="s">
        <v>38</v>
      </c>
      <c r="N15" t="s">
        <v>25</v>
      </c>
      <c r="O15" t="s">
        <v>20</v>
      </c>
    </row>
    <row r="16" spans="1:15" x14ac:dyDescent="0.25">
      <c r="A16">
        <v>15</v>
      </c>
      <c r="B16" s="2">
        <v>45369.522453703707</v>
      </c>
      <c r="C16" s="2">
        <f>TabReponsesFORMS[[#This Row],[Heure de début]]+0.003</f>
        <v>45369.525453703704</v>
      </c>
      <c r="F16" s="2"/>
      <c r="G16">
        <v>4</v>
      </c>
      <c r="H16">
        <v>5</v>
      </c>
      <c r="I16">
        <v>5</v>
      </c>
      <c r="J16">
        <v>5</v>
      </c>
      <c r="K16">
        <v>5</v>
      </c>
      <c r="L16">
        <v>5</v>
      </c>
      <c r="M16" t="s">
        <v>39</v>
      </c>
      <c r="N16" t="s">
        <v>22</v>
      </c>
      <c r="O16" t="s">
        <v>33</v>
      </c>
    </row>
    <row r="17" spans="1:15" x14ac:dyDescent="0.25">
      <c r="A17">
        <v>16</v>
      </c>
      <c r="B17" s="2">
        <v>45370.522453703707</v>
      </c>
      <c r="C17" s="2">
        <f>TabReponsesFORMS[[#This Row],[Heure de début]]+0.003</f>
        <v>45370.525453703704</v>
      </c>
      <c r="F17" s="2"/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 t="s">
        <v>40</v>
      </c>
      <c r="N17" t="s">
        <v>25</v>
      </c>
      <c r="O17" t="s">
        <v>20</v>
      </c>
    </row>
    <row r="18" spans="1:15" x14ac:dyDescent="0.25">
      <c r="A18">
        <v>17</v>
      </c>
      <c r="B18" s="2">
        <v>45371.522453703707</v>
      </c>
      <c r="C18" s="2">
        <f>TabReponsesFORMS[[#This Row],[Heure de début]]+0.003</f>
        <v>45371.525453703704</v>
      </c>
      <c r="F18" s="2"/>
      <c r="G18">
        <v>6</v>
      </c>
      <c r="H18">
        <v>6</v>
      </c>
      <c r="I18">
        <v>5</v>
      </c>
      <c r="J18">
        <v>5</v>
      </c>
      <c r="K18">
        <v>4</v>
      </c>
      <c r="L18">
        <v>5</v>
      </c>
      <c r="M18" t="s">
        <v>41</v>
      </c>
      <c r="N18" t="s">
        <v>22</v>
      </c>
      <c r="O18" t="s">
        <v>20</v>
      </c>
    </row>
    <row r="19" spans="1:15" x14ac:dyDescent="0.25">
      <c r="A19">
        <v>18</v>
      </c>
      <c r="B19" s="2">
        <v>45372.522453703707</v>
      </c>
      <c r="C19" s="2">
        <f>TabReponsesFORMS[[#This Row],[Heure de début]]+0.003</f>
        <v>45372.525453703704</v>
      </c>
      <c r="F19" s="2"/>
      <c r="G19">
        <v>5</v>
      </c>
      <c r="H19">
        <v>5</v>
      </c>
      <c r="I19">
        <v>5</v>
      </c>
      <c r="J19">
        <v>6</v>
      </c>
      <c r="K19">
        <v>5</v>
      </c>
      <c r="L19">
        <v>5</v>
      </c>
      <c r="M19" t="s">
        <v>42</v>
      </c>
      <c r="N19" t="s">
        <v>22</v>
      </c>
      <c r="O19" t="s">
        <v>36</v>
      </c>
    </row>
    <row r="20" spans="1:15" x14ac:dyDescent="0.25">
      <c r="A20">
        <v>19</v>
      </c>
      <c r="B20" s="2">
        <v>45374.526122685187</v>
      </c>
      <c r="C20" s="2">
        <f>TabReponsesFORMS[[#This Row],[Heure de début]]+0.003</f>
        <v>45374.529122685184</v>
      </c>
      <c r="F20" s="2"/>
      <c r="G20">
        <v>4</v>
      </c>
      <c r="H20">
        <v>5</v>
      </c>
      <c r="I20">
        <v>4</v>
      </c>
      <c r="J20">
        <v>5</v>
      </c>
      <c r="K20">
        <v>4</v>
      </c>
      <c r="L20">
        <v>5</v>
      </c>
      <c r="M20" t="s">
        <v>43</v>
      </c>
      <c r="N20" t="s">
        <v>19</v>
      </c>
      <c r="O20" t="s">
        <v>36</v>
      </c>
    </row>
    <row r="21" spans="1:15" x14ac:dyDescent="0.25">
      <c r="A21">
        <v>20</v>
      </c>
      <c r="B21" s="2">
        <v>45375.568495370368</v>
      </c>
      <c r="C21" s="2">
        <f>TabReponsesFORMS[[#This Row],[Heure de début]]+0.003</f>
        <v>45375.571495370365</v>
      </c>
      <c r="F21" s="2"/>
      <c r="G21">
        <v>4</v>
      </c>
      <c r="H21">
        <v>4</v>
      </c>
      <c r="I21">
        <v>4</v>
      </c>
      <c r="J21">
        <v>4</v>
      </c>
      <c r="K21">
        <v>3</v>
      </c>
      <c r="L21">
        <v>3</v>
      </c>
      <c r="M21" t="s">
        <v>44</v>
      </c>
      <c r="N21" t="s">
        <v>25</v>
      </c>
      <c r="O21" t="s">
        <v>36</v>
      </c>
    </row>
    <row r="22" spans="1:15" x14ac:dyDescent="0.25">
      <c r="A22">
        <v>21</v>
      </c>
      <c r="B22" s="2">
        <v>45376.595590277779</v>
      </c>
      <c r="C22" s="2">
        <f>TabReponsesFORMS[[#This Row],[Heure de début]]+0.003</f>
        <v>45376.598590277776</v>
      </c>
      <c r="F22" s="2"/>
      <c r="G22">
        <v>5</v>
      </c>
      <c r="H22">
        <v>3</v>
      </c>
      <c r="I22">
        <v>4</v>
      </c>
      <c r="J22">
        <v>4</v>
      </c>
      <c r="K22">
        <v>5</v>
      </c>
      <c r="L22">
        <v>5</v>
      </c>
      <c r="M22" t="s">
        <v>45</v>
      </c>
      <c r="N22" t="s">
        <v>25</v>
      </c>
      <c r="O22" t="s">
        <v>20</v>
      </c>
    </row>
    <row r="23" spans="1:15" x14ac:dyDescent="0.25">
      <c r="A23">
        <v>22</v>
      </c>
      <c r="B23" s="2">
        <v>45373.736307870371</v>
      </c>
      <c r="C23" s="2">
        <v>45373.736643518518</v>
      </c>
      <c r="F23" s="2"/>
      <c r="G23">
        <v>5</v>
      </c>
      <c r="H23">
        <v>5</v>
      </c>
      <c r="I23">
        <v>6</v>
      </c>
      <c r="J23">
        <v>5</v>
      </c>
      <c r="K23">
        <v>6</v>
      </c>
      <c r="L23">
        <v>5</v>
      </c>
      <c r="M23" t="s">
        <v>46</v>
      </c>
      <c r="N23" t="s">
        <v>22</v>
      </c>
      <c r="O23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97DE-FBFA-41E6-9889-AB9DF5D7C7E8}">
  <dimension ref="A1:C7"/>
  <sheetViews>
    <sheetView workbookViewId="0">
      <selection activeCell="C2" sqref="C2"/>
    </sheetView>
  </sheetViews>
  <sheetFormatPr baseColWidth="10" defaultColWidth="11.42578125" defaultRowHeight="15" x14ac:dyDescent="0.25"/>
  <cols>
    <col min="1" max="1" width="47.5703125" customWidth="1"/>
    <col min="2" max="2" width="65.28515625" customWidth="1"/>
    <col min="3" max="3" width="16" customWidth="1"/>
  </cols>
  <sheetData>
    <row r="1" spans="1:3" x14ac:dyDescent="0.25">
      <c r="A1" t="s">
        <v>47</v>
      </c>
      <c r="B1" t="s">
        <v>48</v>
      </c>
      <c r="C1" t="s">
        <v>49</v>
      </c>
    </row>
    <row r="2" spans="1:3" x14ac:dyDescent="0.25">
      <c r="A2" t="s">
        <v>9</v>
      </c>
      <c r="B2">
        <v>1</v>
      </c>
      <c r="C2">
        <v>4.8</v>
      </c>
    </row>
    <row r="3" spans="1:3" x14ac:dyDescent="0.25">
      <c r="A3" t="s">
        <v>10</v>
      </c>
      <c r="B3">
        <v>2</v>
      </c>
      <c r="C3">
        <v>4.8</v>
      </c>
    </row>
    <row r="4" spans="1:3" x14ac:dyDescent="0.25">
      <c r="A4" t="s">
        <v>11</v>
      </c>
      <c r="B4">
        <v>3</v>
      </c>
      <c r="C4">
        <v>4.5</v>
      </c>
    </row>
    <row r="5" spans="1:3" x14ac:dyDescent="0.25">
      <c r="A5" t="s">
        <v>12</v>
      </c>
      <c r="B5">
        <v>4</v>
      </c>
      <c r="C5">
        <v>4.5999999999999996</v>
      </c>
    </row>
    <row r="6" spans="1:3" x14ac:dyDescent="0.25">
      <c r="A6" t="s">
        <v>13</v>
      </c>
      <c r="B6">
        <v>5</v>
      </c>
      <c r="C6">
        <v>4.5</v>
      </c>
    </row>
    <row r="7" spans="1:3" x14ac:dyDescent="0.25">
      <c r="A7" t="s">
        <v>14</v>
      </c>
      <c r="B7">
        <v>6</v>
      </c>
      <c r="C7">
        <v>4.5999999999999996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FEA5-29C4-4D2B-8B56-7306FF613347}">
  <dimension ref="A1:F5"/>
  <sheetViews>
    <sheetView workbookViewId="0">
      <selection activeCell="A4" sqref="A4"/>
    </sheetView>
  </sheetViews>
  <sheetFormatPr baseColWidth="10" defaultColWidth="8.85546875" defaultRowHeight="15" x14ac:dyDescent="0.25"/>
  <cols>
    <col min="1" max="1" width="21.85546875" bestFit="1" customWidth="1"/>
    <col min="2" max="2" width="13.7109375" customWidth="1"/>
    <col min="3" max="3" width="13.42578125" bestFit="1" customWidth="1"/>
    <col min="4" max="4" width="15.5703125" bestFit="1" customWidth="1"/>
    <col min="5" max="5" width="20" bestFit="1" customWidth="1"/>
    <col min="6" max="6" width="16.85546875" bestFit="1" customWidth="1"/>
  </cols>
  <sheetData>
    <row r="1" spans="1:6" x14ac:dyDescent="0.25">
      <c r="A1" s="3" t="s">
        <v>16</v>
      </c>
      <c r="B1" t="s">
        <v>29</v>
      </c>
    </row>
    <row r="2" spans="1:6" x14ac:dyDescent="0.25">
      <c r="A2" s="3" t="s">
        <v>17</v>
      </c>
      <c r="B2" t="s">
        <v>20</v>
      </c>
    </row>
    <row r="4" spans="1:6" ht="105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</row>
    <row r="5" spans="1:6" x14ac:dyDescent="0.25">
      <c r="A5">
        <v>4</v>
      </c>
      <c r="B5">
        <v>5</v>
      </c>
      <c r="C5">
        <v>4</v>
      </c>
      <c r="D5">
        <v>5</v>
      </c>
      <c r="E5">
        <v>4</v>
      </c>
      <c r="F5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52E0-8B34-44F1-AA8A-5BD43F0FE085}">
  <dimension ref="A1:F23"/>
  <sheetViews>
    <sheetView workbookViewId="0">
      <selection activeCell="D27" sqref="D27"/>
    </sheetView>
  </sheetViews>
  <sheetFormatPr baseColWidth="10" defaultColWidth="8.85546875" defaultRowHeight="15" x14ac:dyDescent="0.25"/>
  <cols>
    <col min="1" max="1" width="15.42578125" bestFit="1" customWidth="1"/>
    <col min="2" max="2" width="16" bestFit="1" customWidth="1"/>
    <col min="3" max="3" width="16" customWidth="1"/>
    <col min="4" max="6" width="23.85546875" bestFit="1" customWidth="1"/>
  </cols>
  <sheetData>
    <row r="1" spans="1:6" x14ac:dyDescent="0.25">
      <c r="A1" t="s">
        <v>57</v>
      </c>
      <c r="B1" s="2" t="s">
        <v>56</v>
      </c>
      <c r="C1" s="2" t="s">
        <v>61</v>
      </c>
      <c r="D1" t="s">
        <v>58</v>
      </c>
      <c r="E1" t="s">
        <v>59</v>
      </c>
      <c r="F1" t="s">
        <v>60</v>
      </c>
    </row>
    <row r="2" spans="1:6" x14ac:dyDescent="0.25">
      <c r="A2">
        <v>1</v>
      </c>
      <c r="B2" s="2">
        <v>45355.522453703707</v>
      </c>
      <c r="C2" s="2" t="s">
        <v>62</v>
      </c>
      <c r="D2">
        <v>6</v>
      </c>
      <c r="E2">
        <v>6</v>
      </c>
      <c r="F2">
        <v>6</v>
      </c>
    </row>
    <row r="3" spans="1:6" x14ac:dyDescent="0.25">
      <c r="A3">
        <v>2</v>
      </c>
      <c r="B3" s="2">
        <v>45356.522453703707</v>
      </c>
      <c r="C3" s="2" t="s">
        <v>62</v>
      </c>
      <c r="D3">
        <v>4</v>
      </c>
      <c r="E3">
        <v>4</v>
      </c>
      <c r="F3">
        <v>4</v>
      </c>
    </row>
    <row r="4" spans="1:6" x14ac:dyDescent="0.25">
      <c r="A4">
        <v>3</v>
      </c>
      <c r="B4" s="2">
        <v>45357.522453703707</v>
      </c>
      <c r="C4" s="2" t="s">
        <v>63</v>
      </c>
      <c r="D4">
        <v>4</v>
      </c>
      <c r="E4">
        <v>4</v>
      </c>
      <c r="F4">
        <v>4</v>
      </c>
    </row>
    <row r="5" spans="1:6" x14ac:dyDescent="0.25">
      <c r="A5">
        <v>4</v>
      </c>
      <c r="B5" s="2">
        <v>45358.522453703707</v>
      </c>
      <c r="C5" s="2" t="s">
        <v>63</v>
      </c>
      <c r="D5">
        <v>5</v>
      </c>
      <c r="E5">
        <v>5</v>
      </c>
      <c r="F5">
        <v>5</v>
      </c>
    </row>
    <row r="6" spans="1:6" x14ac:dyDescent="0.25">
      <c r="A6">
        <v>5</v>
      </c>
      <c r="B6" s="2">
        <v>45359.522453703707</v>
      </c>
      <c r="C6" s="2" t="s">
        <v>63</v>
      </c>
      <c r="D6">
        <v>5</v>
      </c>
      <c r="E6">
        <v>5</v>
      </c>
      <c r="F6">
        <v>5</v>
      </c>
    </row>
    <row r="7" spans="1:6" x14ac:dyDescent="0.25">
      <c r="A7">
        <v>6</v>
      </c>
      <c r="B7" s="2">
        <v>45360.522453703707</v>
      </c>
      <c r="C7" s="2" t="s">
        <v>64</v>
      </c>
      <c r="D7">
        <v>5</v>
      </c>
      <c r="E7">
        <v>5</v>
      </c>
      <c r="F7">
        <v>5</v>
      </c>
    </row>
    <row r="8" spans="1:6" x14ac:dyDescent="0.25">
      <c r="A8">
        <v>7</v>
      </c>
      <c r="B8" s="2">
        <v>45361.522453703707</v>
      </c>
      <c r="C8" s="2" t="s">
        <v>65</v>
      </c>
      <c r="D8">
        <v>4</v>
      </c>
      <c r="E8">
        <v>5</v>
      </c>
      <c r="F8">
        <v>4</v>
      </c>
    </row>
    <row r="9" spans="1:6" x14ac:dyDescent="0.25">
      <c r="A9">
        <v>8</v>
      </c>
      <c r="B9" s="2">
        <v>45362.522453703707</v>
      </c>
      <c r="C9" s="2" t="s">
        <v>62</v>
      </c>
      <c r="D9">
        <v>6</v>
      </c>
      <c r="E9">
        <v>6</v>
      </c>
      <c r="F9">
        <v>6</v>
      </c>
    </row>
    <row r="10" spans="1:6" x14ac:dyDescent="0.25">
      <c r="A10">
        <v>9</v>
      </c>
      <c r="B10" s="2">
        <v>45363.522453703707</v>
      </c>
      <c r="C10" s="2" t="s">
        <v>62</v>
      </c>
      <c r="D10">
        <v>4</v>
      </c>
      <c r="E10">
        <v>5</v>
      </c>
      <c r="F10">
        <v>3</v>
      </c>
    </row>
    <row r="11" spans="1:6" x14ac:dyDescent="0.25">
      <c r="A11">
        <v>10</v>
      </c>
      <c r="B11" s="2">
        <v>45364.522453703707</v>
      </c>
      <c r="C11" s="2" t="s">
        <v>62</v>
      </c>
      <c r="D11">
        <v>5</v>
      </c>
      <c r="E11">
        <v>5</v>
      </c>
      <c r="F11">
        <v>4</v>
      </c>
    </row>
    <row r="12" spans="1:6" x14ac:dyDescent="0.25">
      <c r="A12">
        <v>11</v>
      </c>
      <c r="B12" s="2">
        <v>45365.522453703707</v>
      </c>
      <c r="C12" s="2" t="s">
        <v>62</v>
      </c>
      <c r="D12">
        <v>4</v>
      </c>
      <c r="E12">
        <v>5</v>
      </c>
      <c r="F12">
        <v>4</v>
      </c>
    </row>
    <row r="13" spans="1:6" x14ac:dyDescent="0.25">
      <c r="A13">
        <v>12</v>
      </c>
      <c r="B13" s="2">
        <v>45366.522453703707</v>
      </c>
      <c r="C13" s="2" t="s">
        <v>62</v>
      </c>
      <c r="D13">
        <v>4</v>
      </c>
      <c r="E13">
        <v>4</v>
      </c>
      <c r="F13">
        <v>4</v>
      </c>
    </row>
    <row r="14" spans="1:6" x14ac:dyDescent="0.25">
      <c r="A14">
        <v>13</v>
      </c>
      <c r="B14" s="2">
        <v>45367.522453703707</v>
      </c>
      <c r="C14" s="2" t="s">
        <v>62</v>
      </c>
      <c r="D14">
        <v>5</v>
      </c>
      <c r="E14">
        <v>5</v>
      </c>
      <c r="F14">
        <v>5</v>
      </c>
    </row>
    <row r="15" spans="1:6" x14ac:dyDescent="0.25">
      <c r="A15">
        <v>14</v>
      </c>
      <c r="B15" s="2">
        <v>45368.522453703707</v>
      </c>
      <c r="C15" s="2" t="s">
        <v>62</v>
      </c>
      <c r="D15">
        <v>5</v>
      </c>
      <c r="E15">
        <v>5</v>
      </c>
      <c r="F15">
        <v>6</v>
      </c>
    </row>
    <row r="16" spans="1:6" x14ac:dyDescent="0.25">
      <c r="A16">
        <v>15</v>
      </c>
      <c r="B16" s="2">
        <v>45369.522453703707</v>
      </c>
      <c r="C16" s="2" t="s">
        <v>62</v>
      </c>
      <c r="D16">
        <v>4</v>
      </c>
      <c r="E16">
        <v>5</v>
      </c>
      <c r="F16">
        <v>5</v>
      </c>
    </row>
    <row r="17" spans="1:6" x14ac:dyDescent="0.25">
      <c r="A17">
        <v>16</v>
      </c>
      <c r="B17" s="2">
        <v>45370.522453703707</v>
      </c>
      <c r="C17" s="2" t="s">
        <v>62</v>
      </c>
      <c r="D17">
        <v>4</v>
      </c>
      <c r="E17">
        <v>4</v>
      </c>
      <c r="F17">
        <v>4</v>
      </c>
    </row>
    <row r="18" spans="1:6" x14ac:dyDescent="0.25">
      <c r="A18">
        <v>17</v>
      </c>
      <c r="B18" s="2">
        <v>45371.522453703707</v>
      </c>
      <c r="C18" s="2" t="s">
        <v>62</v>
      </c>
      <c r="D18">
        <v>6</v>
      </c>
      <c r="E18">
        <v>6</v>
      </c>
      <c r="F18">
        <v>5</v>
      </c>
    </row>
    <row r="19" spans="1:6" x14ac:dyDescent="0.25">
      <c r="A19">
        <v>18</v>
      </c>
      <c r="B19" s="2">
        <v>45372.522453703707</v>
      </c>
      <c r="C19" s="2" t="s">
        <v>62</v>
      </c>
      <c r="D19">
        <v>5</v>
      </c>
      <c r="E19">
        <v>5</v>
      </c>
      <c r="F19">
        <v>5</v>
      </c>
    </row>
    <row r="20" spans="1:6" x14ac:dyDescent="0.25">
      <c r="A20">
        <v>19</v>
      </c>
      <c r="B20" s="2">
        <v>45374.526122685187</v>
      </c>
      <c r="C20" s="2" t="s">
        <v>62</v>
      </c>
      <c r="D20">
        <v>4</v>
      </c>
      <c r="E20">
        <v>5</v>
      </c>
      <c r="F20">
        <v>4</v>
      </c>
    </row>
    <row r="21" spans="1:6" x14ac:dyDescent="0.25">
      <c r="A21">
        <v>20</v>
      </c>
      <c r="B21" s="2">
        <v>45375.568495370368</v>
      </c>
      <c r="C21" s="2" t="s">
        <v>62</v>
      </c>
      <c r="D21">
        <v>4</v>
      </c>
      <c r="E21">
        <v>4</v>
      </c>
      <c r="F21">
        <v>4</v>
      </c>
    </row>
    <row r="22" spans="1:6" x14ac:dyDescent="0.25">
      <c r="A22">
        <v>21</v>
      </c>
      <c r="B22" s="2">
        <v>45376.595590277779</v>
      </c>
      <c r="C22" s="2" t="s">
        <v>62</v>
      </c>
      <c r="D22">
        <v>5</v>
      </c>
      <c r="E22">
        <v>3</v>
      </c>
      <c r="F22">
        <v>4</v>
      </c>
    </row>
    <row r="23" spans="1:6" x14ac:dyDescent="0.25">
      <c r="A23">
        <v>22</v>
      </c>
      <c r="B23" s="2">
        <v>45373.736307870371</v>
      </c>
      <c r="C23" s="2" t="s">
        <v>62</v>
      </c>
      <c r="D23">
        <v>5</v>
      </c>
      <c r="E23">
        <v>5</v>
      </c>
      <c r="F23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40C1EF-F547-40D4-960B-10EC7F4F05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TabReponsesFORMS</vt:lpstr>
      <vt:lpstr>Form1</vt:lpstr>
      <vt:lpstr>OBJECTIFS</vt:lpstr>
      <vt:lpstr>TCD Verif</vt:lpstr>
      <vt:lpstr>Copie ecran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Olivier Aillery</cp:lastModifiedBy>
  <cp:revision/>
  <dcterms:created xsi:type="dcterms:W3CDTF">2006-09-16T00:00:00Z</dcterms:created>
  <dcterms:modified xsi:type="dcterms:W3CDTF">2025-11-04T13:19:55Z</dcterms:modified>
  <cp:category/>
  <cp:contentStatus/>
</cp:coreProperties>
</file>